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6"/>
  <Override ContentType="application/binary" PartName="/xl/commentsmeta7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W 전체_JWP MKT 구분" sheetId="1" r:id="rId4"/>
    <sheet state="visible" name="시장정의 &amp; Target" sheetId="2" r:id="rId5"/>
    <sheet state="visible" name="정의 상세 ▶" sheetId="3" r:id="rId6"/>
    <sheet state="visible" name="라베칸 라베칸듀오" sheetId="4" r:id="rId7"/>
    <sheet state="visible" name="제이클" sheetId="5" r:id="rId8"/>
    <sheet state="visible" name="가드렛 가드메트" sheetId="6" r:id="rId9"/>
    <sheet state="visible" name="타발리스" sheetId="7" r:id="rId10"/>
    <sheet state="visible" name="시그마트" sheetId="8" r:id="rId11"/>
    <sheet state="visible" name="리바로 리바로젯" sheetId="9" r:id="rId12"/>
    <sheet state="visible" name="리바로페노" sheetId="10" r:id="rId13"/>
    <sheet state="visible" name="리바로하이 리바로브이" sheetId="11" r:id="rId14"/>
    <sheet state="visible" name="트루패스 피나스타 제이다트" sheetId="12" r:id="rId15"/>
    <sheet state="visible" name="뉴트로진 모빌리아" sheetId="13" r:id="rId16"/>
    <sheet state="visible" name="악템라" sheetId="14" r:id="rId17"/>
    <sheet state="visible" name="페린젝트 베노훼럼" sheetId="15" r:id="rId18"/>
    <sheet state="visible" name="헴리브라" sheetId="16" r:id="rId19"/>
    <sheet state="visible" name="엔커버" sheetId="17" r:id="rId20"/>
    <sheet state="visible" name="위너프 위너프A+" sheetId="18" r:id="rId21"/>
    <sheet state="visible" name="플라주오피" sheetId="19" r:id="rId22"/>
  </sheets>
  <definedNames>
    <definedName hidden="1" localSheetId="0" name="_xlnm._FilterDatabase">'JW 전체_JWP MKT 구분'!$A$1:$J$258</definedName>
    <definedName hidden="1" localSheetId="7" name="_xlnm._FilterDatabase">'시그마트'!$B$5:$J$299</definedName>
    <definedName hidden="1" localSheetId="8" name="_xlnm._FilterDatabase">'리바로 리바로젯'!$B$4:$L$1099</definedName>
    <definedName hidden="1" localSheetId="9" name="_xlnm._FilterDatabase">'리바로페노'!$B$4:$K$612</definedName>
    <definedName hidden="1" localSheetId="11" name="_xlnm._FilterDatabase">'트루패스 피나스타 제이다트'!$B$5:$I$411</definedName>
    <definedName hidden="1" localSheetId="13" name="_xlnm._FilterDatabase">'악템라'!$B$5:$I$26</definedName>
    <definedName hidden="1" localSheetId="14" name="_xlnm._FilterDatabase">'페린젝트 베노훼럼'!$A$5:$V$80</definedName>
    <definedName hidden="1" localSheetId="15" name="_xlnm._FilterDatabase">'헴리브라'!$B$5:$I$19</definedName>
    <definedName hidden="1" localSheetId="17" name="_xlnm._FilterDatabase">'위너프 위너프A+'!$B$5:$O$336</definedName>
    <definedName hidden="1" localSheetId="18" name="_xlnm._FilterDatabase">'플라주오피'!$B$5:$J$56</definedName>
  </definedNames>
  <calcPr/>
  <extLst>
    <ext uri="GoogleSheetsCustomDataVersion2">
      <go:sheetsCustomData xmlns:go="http://customooxmlschemas.google.com/" r:id="rId23" roundtripDataChecksum="D+rAloJO+Q/vHe+xgKq3u+auriw6EjRuFzUTRNt4zu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ID#AAAB4sojR4o
이소영    (2026-04-21 11:11:12)
GLP-1RA와 인슐린 시장이 포함되면 iqvia로 전체 치료 class 시장을, 
원외 급여로 OAD 시장만을 deep dive 본다면 ubist로 구분되어야 합니다. 
전체 당뇨병 치료 시장 Class -&gt; OAD 순으로 가면 어떨까 합니다.</t>
      </text>
    </comment>
    <comment authorId="0" ref="B60">
      <text>
        <t xml:space="preserve">======
ID#AAAB4sojR4w
이소영    (2026-04-21 11:11:12)
iqvia는 QoQ
ubist는 MoM 
제시된 지표외에 검토 중인 것도 있어 검토 후에 
반영하겠습니다</t>
      </text>
    </comment>
    <comment authorId="0" ref="B10">
      <text>
        <t xml:space="preserve">======
ID#AAAB4sojR4Y
이소영    (2026-04-21 11:11:12)
각 데이터의 최종 분석값은 대부분 금액, 수량인데 모든 값에 대해 대시보드 상에 세워주시는지요?
그런 바로 이해 하고 있습니다.</t>
      </text>
    </comment>
    <comment authorId="0" ref="T57">
      <text>
        <t xml:space="preserve">======
ID#AAAB4sojR4A
이소영    (2026-04-21 11:11:12)
iqvia로 전체 원내외 
시장 추이가 보여지고 
그 아래에 원외로 
유통 기관별 분포가 보여지면 좋을 것 같습니다. 
(진료과까지는 무리일 것 같아, 채팅에서 진료과를 확인하는 바가 고려 됩니다.)</t>
      </text>
    </comment>
  </commentList>
  <extLst>
    <ext uri="GoogleSheetsCustomDataVersion2">
      <go:sheetsCustomData xmlns:go="http://customooxmlschemas.google.com/" r:id="rId1" roundtripDataSignature="AMtx7mhpXDRueSQtSGuru50a++LXacQma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ID#AAAB4sojR4s
이소영    (2026-04-21 11:11:12)
반드시 판매사 기준
Ubist로 보는 데이터는 이하 모두 동일</t>
      </text>
    </comment>
    <comment authorId="0" ref="K4">
      <text>
        <t xml:space="preserve">======
ID#AAAB4sojR4M
이소영    (2026-04-21 11:11:12)
오리지널(Ox)외 
모두 제네릭(Gx) 
PTV 기준으로 Gx 침투 확인 목적</t>
      </text>
    </comment>
  </commentList>
  <extLst>
    <ext uri="GoogleSheetsCustomDataVersion2">
      <go:sheetsCustomData xmlns:go="http://customooxmlschemas.google.com/" r:id="rId1" roundtripDataSignature="AMtx7mgAO5abe09Wi5wIuaH8LUBefCLza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">
      <text>
        <t xml:space="preserve">======
ID#AAAB4sojR4Q
이소영    (2026-04-21 11:11:12)
오리지널(Ox)외 
모두 제네릭(Gx)</t>
      </text>
    </comment>
  </commentList>
  <extLst>
    <ext uri="GoogleSheetsCustomDataVersion2">
      <go:sheetsCustomData xmlns:go="http://customooxmlschemas.google.com/" r:id="rId1" roundtripDataSignature="AMtx7miSBe/nZ5jD2SoR3LCO+SwtE0ymz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5">
      <text>
        <t xml:space="preserve">======
ID#AAAB4sojR4c
이소영    (2026-04-21 11:11:12)
오리지널(Ox)외 
모두 제네릭(Gx)</t>
      </text>
    </comment>
    <comment authorId="0" ref="N5">
      <text>
        <t xml:space="preserve">======
ID#AAAB4sojR4E
이소영    (2026-04-21 11:11:12)
고혈압 복합제 저용량 
출시 trend</t>
      </text>
    </comment>
  </commentList>
  <extLst>
    <ext uri="GoogleSheetsCustomDataVersion2">
      <go:sheetsCustomData xmlns:go="http://customooxmlschemas.google.com/" r:id="rId1" roundtripDataSignature="AMtx7mi1e/49BflAgmBRZqHyNeotpPYm4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1">
      <text>
        <t xml:space="preserve">======
ID#AAAB4sojR4I
이소영    (2026-04-21 11:11:12)
iqvia 내 Molecule decs 수정 필요
Remark의 성분으로 적용</t>
      </text>
    </comment>
  </commentList>
  <extLst>
    <ext uri="GoogleSheetsCustomDataVersion2">
      <go:sheetsCustomData xmlns:go="http://customooxmlschemas.google.com/" r:id="rId1" roundtripDataSignature="AMtx7miwCzzpx/WpUH9GNXyB0V2aGWgCKQ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">
      <text>
        <t xml:space="preserve">======
ID#AAAB4sojR4g
이소영    (2026-04-21 11:11:12)
총 철(Fe) 함량 
(단위: mg)</t>
      </text>
    </comment>
  </commentList>
  <extLst>
    <ext uri="GoogleSheetsCustomDataVersion2">
      <go:sheetsCustomData xmlns:go="http://customooxmlschemas.google.com/" r:id="rId1" roundtripDataSignature="AMtx7mhnBxJWYU78hK5bSKen8pJth8Wf7g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======
ID#AAAB4sojR4U
이소영    (2026-04-21 11:11:12)
Molecule Desc가 아닌 
Class 기준 구분 필요
==&gt; 이후 브랜드 분석</t>
      </text>
    </comment>
  </commentList>
  <extLst>
    <ext uri="GoogleSheetsCustomDataVersion2">
      <go:sheetsCustomData xmlns:go="http://customooxmlschemas.google.com/" r:id="rId1" roundtripDataSignature="AMtx7mjT7qy9NMBxb6GNr6aTAWmgZjMANw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ID#AAAB4sojR40
이소영    (2026-04-21 11:11:12)
Non-NHI 시장은 
NRB실 담당 품목
MKT3팀은 
위너프/A+는 급여 시장 기준 (3CB 기준)</t>
      </text>
    </comment>
  </commentList>
  <extLst>
    <ext uri="GoogleSheetsCustomDataVersion2">
      <go:sheetsCustomData xmlns:go="http://customooxmlschemas.google.com/" r:id="rId1" roundtripDataSignature="AMtx7mjIoiyBuSuXCJl+nk7TmHWTCqUTpA=="/>
    </ext>
  </extLst>
</comments>
</file>

<file path=xl/sharedStrings.xml><?xml version="1.0" encoding="utf-8"?>
<sst xmlns="http://schemas.openxmlformats.org/spreadsheetml/2006/main" count="38418" uniqueCount="8738">
  <si>
    <t>ATC 4 CODE</t>
  </si>
  <si>
    <t>ATC 4 DESC</t>
  </si>
  <si>
    <t>NHI TYPE</t>
  </si>
  <si>
    <t>PRODUCT NAME KOR</t>
  </si>
  <si>
    <t xml:space="preserve">구분 (JWP MKT 기준) </t>
  </si>
  <si>
    <t>합계 : 2021_Values LC</t>
  </si>
  <si>
    <t>합계 : 2022_Values LC</t>
  </si>
  <si>
    <t>합계 : 2023_Values LC</t>
  </si>
  <si>
    <t>합계 : 2024_Values LC</t>
  </si>
  <si>
    <t>합계 : 2025_Values LC</t>
  </si>
  <si>
    <t>K01D2</t>
  </si>
  <si>
    <t>FAT EMULSIONS,COMBINAT</t>
  </si>
  <si>
    <t>NHI</t>
  </si>
  <si>
    <t>위너프페리</t>
  </si>
  <si>
    <t>MKT 3팀</t>
  </si>
  <si>
    <t>위너프</t>
  </si>
  <si>
    <t>위너프에이플러스페리</t>
  </si>
  <si>
    <t>위너프에이플러스</t>
  </si>
  <si>
    <t>콤비플렉스리피드페리</t>
  </si>
  <si>
    <t>콤비플렉스엠시티페리</t>
  </si>
  <si>
    <t>NON-NHI</t>
  </si>
  <si>
    <t>C10C0</t>
  </si>
  <si>
    <t>LIP.REG.CO.W.OTH.LIP.REG</t>
  </si>
  <si>
    <t>리바로젯</t>
  </si>
  <si>
    <t>MKT 1팀</t>
  </si>
  <si>
    <t>C10A1</t>
  </si>
  <si>
    <t>STATINS (HMG-COA RED)</t>
  </si>
  <si>
    <t>리바로</t>
  </si>
  <si>
    <t>K01B1</t>
  </si>
  <si>
    <t>SODIUM CHLORIDE SOLUTIONS</t>
  </si>
  <si>
    <t>엔에스</t>
  </si>
  <si>
    <t>염화나트륨0.45% 중외</t>
  </si>
  <si>
    <t>염화나트륨 중외</t>
  </si>
  <si>
    <t>V06D0</t>
  </si>
  <si>
    <t>OTHER GENERAL NUTRIENTS</t>
  </si>
  <si>
    <t>엔커버</t>
  </si>
  <si>
    <t>MKT 2팀</t>
  </si>
  <si>
    <t>B02D1</t>
  </si>
  <si>
    <t>FACTOR VIII INCL SUBSTIT</t>
  </si>
  <si>
    <t>헴리브라</t>
  </si>
  <si>
    <t>M01C0</t>
  </si>
  <si>
    <t>SPEC ANTIRHEUMATIC AGENT</t>
  </si>
  <si>
    <t>악템라</t>
  </si>
  <si>
    <t>B03A1</t>
  </si>
  <si>
    <t>IRON PLAIN</t>
  </si>
  <si>
    <t>페린젝트</t>
  </si>
  <si>
    <t>베노훼럼</t>
  </si>
  <si>
    <t>훼럼키드</t>
  </si>
  <si>
    <t>K06A0</t>
  </si>
  <si>
    <t>HAEMO DIALYSIS SOLUTIONS</t>
  </si>
  <si>
    <t>헤모비덱스</t>
  </si>
  <si>
    <t>헤모트레이트비-2</t>
  </si>
  <si>
    <t>헤모트레이트비-1</t>
  </si>
  <si>
    <t>디아카트</t>
  </si>
  <si>
    <t>A06A6</t>
  </si>
  <si>
    <t>OSMOTIC LAXATIVES</t>
  </si>
  <si>
    <t>듀락칸이지</t>
  </si>
  <si>
    <t>듀락칸</t>
  </si>
  <si>
    <t>베비움</t>
  </si>
  <si>
    <t>J01P2</t>
  </si>
  <si>
    <t>PENEMS AND CARBAPENEMS</t>
  </si>
  <si>
    <t>포스페넴</t>
  </si>
  <si>
    <t>프리페넴 중외</t>
  </si>
  <si>
    <t>피니페넴</t>
  </si>
  <si>
    <t>K01E1</t>
  </si>
  <si>
    <t>AMINO ACID STANDARD SOLS</t>
  </si>
  <si>
    <t>콤비플렉스</t>
  </si>
  <si>
    <t>콤비플렉스페리</t>
  </si>
  <si>
    <t>후리아민</t>
  </si>
  <si>
    <t>크레타민</t>
  </si>
  <si>
    <t>바이타솔</t>
  </si>
  <si>
    <t>닥터라민</t>
  </si>
  <si>
    <t>유바솔</t>
  </si>
  <si>
    <t>후리아민에이취비씨</t>
  </si>
  <si>
    <t>라보솔</t>
  </si>
  <si>
    <t>에버라민</t>
  </si>
  <si>
    <t>뉴바솔</t>
  </si>
  <si>
    <t>S01K1</t>
  </si>
  <si>
    <t>ARTIFIC TEAR&amp;OCUL LUBRIC</t>
  </si>
  <si>
    <t>프렌즈아이드롭(쿨,쿨하이,순,마일드)</t>
  </si>
  <si>
    <t>프렌즈아이드롭아이스</t>
  </si>
  <si>
    <t>프렌즈아이엔젤마일드</t>
  </si>
  <si>
    <t>아이엔젤톡톡</t>
  </si>
  <si>
    <t>센쥬씨엘</t>
  </si>
  <si>
    <t>프렌즈아이원쿨</t>
  </si>
  <si>
    <t>K04B2</t>
  </si>
  <si>
    <t>STAND SOLN(&gt;20ML&amp;&lt;100ML)</t>
  </si>
  <si>
    <t>포도당 중외</t>
  </si>
  <si>
    <t>C01D0</t>
  </si>
  <si>
    <t>CORONARY THERAPY</t>
  </si>
  <si>
    <t>시그마트</t>
  </si>
  <si>
    <t xml:space="preserve">MKT 1팀 </t>
  </si>
  <si>
    <t>L03A1</t>
  </si>
  <si>
    <t>COLONY-STIMULATING FACT.</t>
  </si>
  <si>
    <t>뉴트로진</t>
  </si>
  <si>
    <t>K01A3</t>
  </si>
  <si>
    <t>1/2-ELECTROLYTE SOLUTIONS</t>
  </si>
  <si>
    <t>플라주오피</t>
  </si>
  <si>
    <t xml:space="preserve">MKT 3팀 </t>
  </si>
  <si>
    <t>포도당가엔에이케이2 중외</t>
  </si>
  <si>
    <t>포도당가엔에이케이1 중외</t>
  </si>
  <si>
    <t>원투쓰리 중외</t>
  </si>
  <si>
    <t>K05A2</t>
  </si>
  <si>
    <t>IRRIGATING SALINE</t>
  </si>
  <si>
    <t>크린조</t>
  </si>
  <si>
    <t>크린클</t>
  </si>
  <si>
    <t>K01B3</t>
  </si>
  <si>
    <t>CARBONHYDRAT SOL UNDER10%</t>
  </si>
  <si>
    <t>과당 중외</t>
  </si>
  <si>
    <t>G04C2</t>
  </si>
  <si>
    <t>BPH ALPH-ADREN ANTAG PLN</t>
  </si>
  <si>
    <t>트루패스</t>
  </si>
  <si>
    <t>K04B1</t>
  </si>
  <si>
    <t>STANDARD SOLNS(&lt;=20ML)</t>
  </si>
  <si>
    <t>생리식염 중외</t>
  </si>
  <si>
    <t>B01B1</t>
  </si>
  <si>
    <t>UNFRACTIONATED HEPARINS</t>
  </si>
  <si>
    <t>헤파린 중외</t>
  </si>
  <si>
    <t>J01G2</t>
  </si>
  <si>
    <t>INJ FLUOROQUINOLONES</t>
  </si>
  <si>
    <t>시프로플록사신 중외</t>
  </si>
  <si>
    <t>레보플록사신 중외</t>
  </si>
  <si>
    <t>목시플록사신 중외</t>
  </si>
  <si>
    <t>L01B0</t>
  </si>
  <si>
    <t>ANTIMETABOLITES</t>
  </si>
  <si>
    <t>5-에프유 중외</t>
  </si>
  <si>
    <t>시타라빈 중외</t>
  </si>
  <si>
    <t>엠티엑스</t>
  </si>
  <si>
    <t>G04C3</t>
  </si>
  <si>
    <t>BPH 5-ARI PLAIN</t>
  </si>
  <si>
    <t>피나스타</t>
  </si>
  <si>
    <t>제이다트</t>
  </si>
  <si>
    <t>두타모아</t>
  </si>
  <si>
    <t>N02B0</t>
  </si>
  <si>
    <t>NON-NARCOTIC ANALGESICS</t>
  </si>
  <si>
    <t>아세타펜</t>
  </si>
  <si>
    <t>프리브로펜</t>
  </si>
  <si>
    <t>이부프로펜프리믹스 중외</t>
  </si>
  <si>
    <t>페인엔젤키즈</t>
  </si>
  <si>
    <t>K01A7</t>
  </si>
  <si>
    <t>RINGER&amp;RINGER LACTATE SOL</t>
  </si>
  <si>
    <t>하트만 중외</t>
  </si>
  <si>
    <t>하트만덱스 중외</t>
  </si>
  <si>
    <t>J08B0</t>
  </si>
  <si>
    <t>ANAEROBICIDES</t>
  </si>
  <si>
    <t>트리젤</t>
  </si>
  <si>
    <t>L03A9</t>
  </si>
  <si>
    <t>OTH.IMMUNOSTIM.EX.INTFRN</t>
  </si>
  <si>
    <t>모빌리아</t>
  </si>
  <si>
    <t>C11A1</t>
  </si>
  <si>
    <t>LIPREG.CV.MULT-TH.FX.COM</t>
  </si>
  <si>
    <t>리바로브이</t>
  </si>
  <si>
    <t>리바로하이</t>
  </si>
  <si>
    <t>A02B2</t>
  </si>
  <si>
    <t>PROTON PUMP INHIBITORS</t>
  </si>
  <si>
    <t>라베칸</t>
  </si>
  <si>
    <t>라베칸듀오</t>
  </si>
  <si>
    <t>에소메칸</t>
  </si>
  <si>
    <t>J02A0</t>
  </si>
  <si>
    <t>SYST ANTIFUNGAL AGENTS</t>
  </si>
  <si>
    <t>원플루</t>
  </si>
  <si>
    <t>히트라졸</t>
  </si>
  <si>
    <t>K01E4</t>
  </si>
  <si>
    <t>HEPATIC AMINO-ACID SOLUTI</t>
  </si>
  <si>
    <t>헤파타민</t>
  </si>
  <si>
    <t>제이헤파민</t>
  </si>
  <si>
    <t>뉴타민</t>
  </si>
  <si>
    <t>K01B2</t>
  </si>
  <si>
    <t>SOD.CHLOR.SOL + CARBONHYD</t>
  </si>
  <si>
    <t>포도당생리식염 중외</t>
  </si>
  <si>
    <t>에스디1 4 중외</t>
  </si>
  <si>
    <t>에스디 1 2 중외</t>
  </si>
  <si>
    <t>5%포도당가0.45%염화나트륨 중외</t>
  </si>
  <si>
    <t>10%포도당가0.45%염화나트륨 중외</t>
  </si>
  <si>
    <t>에스디1 3 중외</t>
  </si>
  <si>
    <t>J05B4</t>
  </si>
  <si>
    <t>INFLUENZA ANTIVIRALS</t>
  </si>
  <si>
    <t>플루엔페라</t>
  </si>
  <si>
    <t>C09C0</t>
  </si>
  <si>
    <t>ANGIOTENS-II ANTAG, PLAIN</t>
  </si>
  <si>
    <t>올멕</t>
  </si>
  <si>
    <t>발사렉트</t>
  </si>
  <si>
    <t>D11A0</t>
  </si>
  <si>
    <t>OTHER DERMATOLOGICALS</t>
  </si>
  <si>
    <t>모나스타</t>
  </si>
  <si>
    <t>볼두민</t>
  </si>
  <si>
    <t>A10N1</t>
  </si>
  <si>
    <t>DPP-IV INH A-DIAB PLAIN</t>
  </si>
  <si>
    <t>가드렛</t>
  </si>
  <si>
    <t>M05B3</t>
  </si>
  <si>
    <t>BISPHOSPH OSTEOPOROSIS</t>
  </si>
  <si>
    <t>제이본</t>
  </si>
  <si>
    <t>A10N3</t>
  </si>
  <si>
    <t>DPP-IV INH &amp; BIGUAN COMB</t>
  </si>
  <si>
    <t>가드메트</t>
  </si>
  <si>
    <t>M01A1</t>
  </si>
  <si>
    <t>ANTIRHEUMATICS NON-S PLN</t>
  </si>
  <si>
    <t>메수리드 중외</t>
  </si>
  <si>
    <t>페인엔젤프로</t>
  </si>
  <si>
    <t>페인엔젤센</t>
  </si>
  <si>
    <t>페인엔젤이부</t>
  </si>
  <si>
    <t>브레핀에스</t>
  </si>
  <si>
    <t>C09D3</t>
  </si>
  <si>
    <t>AT2 ANTG COMB CALC ANTAG</t>
  </si>
  <si>
    <t>올멕포스에이치</t>
  </si>
  <si>
    <t>올멕포스</t>
  </si>
  <si>
    <t>발사포스</t>
  </si>
  <si>
    <t>K04A1</t>
  </si>
  <si>
    <t>ELECTROLYTE SOLNS(&lt;=20ML)</t>
  </si>
  <si>
    <t>포스텐</t>
  </si>
  <si>
    <t>염화칼륨 중외</t>
  </si>
  <si>
    <t>염화칼슘 중외</t>
  </si>
  <si>
    <t>후루트만</t>
  </si>
  <si>
    <t>제이블루</t>
  </si>
  <si>
    <t>제이셀렌</t>
  </si>
  <si>
    <t>라시크롤</t>
  </si>
  <si>
    <t>N03A0</t>
  </si>
  <si>
    <t>ANTI-EPILEPTICS</t>
  </si>
  <si>
    <t>레비티람</t>
  </si>
  <si>
    <t>N07D1</t>
  </si>
  <si>
    <t>ANTI-ALZ PROD CHOL INHIB</t>
  </si>
  <si>
    <t>도네페질 중외</t>
  </si>
  <si>
    <t>N06B0</t>
  </si>
  <si>
    <t>PSYCHO-STIMULANTS</t>
  </si>
  <si>
    <t>프로비질</t>
  </si>
  <si>
    <t>V03G1</t>
  </si>
  <si>
    <t>HYPERKALAEMIA PRODUCTS</t>
  </si>
  <si>
    <t>아가메이트</t>
  </si>
  <si>
    <t>K01C1</t>
  </si>
  <si>
    <t>ONE CARBONHYD.SOL OVER10%</t>
  </si>
  <si>
    <t>M02A0</t>
  </si>
  <si>
    <t>TOP A-RHEUMATICS &amp; ANALG</t>
  </si>
  <si>
    <t>피록시캄 중외</t>
  </si>
  <si>
    <t>노펜펠비낙</t>
  </si>
  <si>
    <t>노펜한방파프</t>
  </si>
  <si>
    <t>노펜 중외</t>
  </si>
  <si>
    <t>노펜24센</t>
  </si>
  <si>
    <t>펠비낙 중외</t>
  </si>
  <si>
    <t>노펜24쿨</t>
  </si>
  <si>
    <t>노펜스트롱</t>
  </si>
  <si>
    <t>노펜파워핫</t>
  </si>
  <si>
    <t>노펜미니</t>
  </si>
  <si>
    <t>노펜24</t>
  </si>
  <si>
    <t>R03C2</t>
  </si>
  <si>
    <t>N-STER RESP A-INFLAM,SYST</t>
  </si>
  <si>
    <t>도메난</t>
  </si>
  <si>
    <t>리자벤</t>
  </si>
  <si>
    <t>K01E3</t>
  </si>
  <si>
    <t>NEPHRO AMINO-ACID SOLUTIO</t>
  </si>
  <si>
    <t>네프라민</t>
  </si>
  <si>
    <t>닥터라민골드</t>
  </si>
  <si>
    <t>R05A0</t>
  </si>
  <si>
    <t>COLD PREPARATIONS</t>
  </si>
  <si>
    <t>화콜클래식원</t>
  </si>
  <si>
    <t>화콜씨콜드</t>
  </si>
  <si>
    <t>화콜</t>
  </si>
  <si>
    <t>신한방화콜</t>
  </si>
  <si>
    <t>화콜씨노즈</t>
  </si>
  <si>
    <t>화콜씨코프</t>
  </si>
  <si>
    <t>화콜키즈콜드</t>
  </si>
  <si>
    <t>A05B0</t>
  </si>
  <si>
    <t>LIVER DIS HEP PROT&amp;LIPOT</t>
  </si>
  <si>
    <t>가네톡</t>
  </si>
  <si>
    <t>리시브골드</t>
  </si>
  <si>
    <t>아데라빈9호</t>
  </si>
  <si>
    <t>L01C2</t>
  </si>
  <si>
    <t>TAXANE ANTINEOPLASTICS</t>
  </si>
  <si>
    <t>네오탁스</t>
  </si>
  <si>
    <t>N01A2</t>
  </si>
  <si>
    <t>INJECT GEN ANAESTHETICS</t>
  </si>
  <si>
    <t>펜토탈소디움 중외</t>
  </si>
  <si>
    <t>제이세덱스</t>
  </si>
  <si>
    <t>V03G2</t>
  </si>
  <si>
    <t>HYPERPHOSPHATAEMIA PRODS</t>
  </si>
  <si>
    <t>포스레놀</t>
  </si>
  <si>
    <t>J01D2</t>
  </si>
  <si>
    <t>INJECTABLE CEPHALOSPORINS</t>
  </si>
  <si>
    <t>파세틴</t>
  </si>
  <si>
    <t>B01C2</t>
  </si>
  <si>
    <t>ADP RECEP ANTAG PLAT INH</t>
  </si>
  <si>
    <t>제이그렐</t>
  </si>
  <si>
    <t>N06D0</t>
  </si>
  <si>
    <t>NOOTROPICS</t>
  </si>
  <si>
    <t>뉴글리아</t>
  </si>
  <si>
    <t>A03F0</t>
  </si>
  <si>
    <t>GASTROPROKINETICS</t>
  </si>
  <si>
    <t>가나칸</t>
  </si>
  <si>
    <t>B02E9</t>
  </si>
  <si>
    <t>PLATELET-ENHAN PRDS OTH</t>
  </si>
  <si>
    <t>타발리스</t>
  </si>
  <si>
    <t>K01F1</t>
  </si>
  <si>
    <t>OSMOTIC THERAPY</t>
  </si>
  <si>
    <t>만니톨 중외</t>
  </si>
  <si>
    <t>세롤</t>
  </si>
  <si>
    <t>K01D1</t>
  </si>
  <si>
    <t>FAT EMULSIONS,PLAIN</t>
  </si>
  <si>
    <t>리피션</t>
  </si>
  <si>
    <t>리피션엠씨티</t>
  </si>
  <si>
    <t>C09D1</t>
  </si>
  <si>
    <t>AT2 ANTG COMB C2 &amp;/O DIU</t>
  </si>
  <si>
    <t>올멕플러스</t>
  </si>
  <si>
    <t>코발사렉트</t>
  </si>
  <si>
    <t>A02B1</t>
  </si>
  <si>
    <t>H2 ANTAGONISTS</t>
  </si>
  <si>
    <t>에취투</t>
  </si>
  <si>
    <t>C05B0</t>
  </si>
  <si>
    <t>TOP.ANTIVARICOSE PREPS</t>
  </si>
  <si>
    <t>노블루</t>
  </si>
  <si>
    <t>A11A4</t>
  </si>
  <si>
    <t>MVIT + MIN OTHERS</t>
  </si>
  <si>
    <t>메코비</t>
  </si>
  <si>
    <t>뉴먼트에이스</t>
  </si>
  <si>
    <t>뉴먼트마하</t>
  </si>
  <si>
    <t>뉴먼트파워</t>
  </si>
  <si>
    <t>G02E0</t>
  </si>
  <si>
    <t>LABOUR INHIBITORS</t>
  </si>
  <si>
    <t>라보파</t>
  </si>
  <si>
    <t>A11E3</t>
  </si>
  <si>
    <t>VITAMIN B COMPLEX OTHERS</t>
  </si>
  <si>
    <t>엠지플러스큐(뉴먼트엠지플러스큐)</t>
  </si>
  <si>
    <t>뉴먼트프리미엄B</t>
  </si>
  <si>
    <t>펜비타</t>
  </si>
  <si>
    <t>투비원</t>
  </si>
  <si>
    <t>K01A1</t>
  </si>
  <si>
    <t>1/1-ELECTROLYTE SOLUTIONS</t>
  </si>
  <si>
    <t>엔에이.케이200</t>
  </si>
  <si>
    <t>엔에이.케이20</t>
  </si>
  <si>
    <t>게라토스</t>
  </si>
  <si>
    <t>M01A3</t>
  </si>
  <si>
    <t>COXIBS PLAIN</t>
  </si>
  <si>
    <t>제이브렉스</t>
  </si>
  <si>
    <t>L01A0</t>
  </si>
  <si>
    <t>ALKYLATING AGENTS</t>
  </si>
  <si>
    <t>알키록산</t>
  </si>
  <si>
    <t>R01A9</t>
  </si>
  <si>
    <t>OTH TOPICAL NASAL PREPS</t>
  </si>
  <si>
    <t>베베클</t>
  </si>
  <si>
    <t>L02A2</t>
  </si>
  <si>
    <t>CYTOSTATIC PROGESTOGENS</t>
  </si>
  <si>
    <t>제이트롤</t>
  </si>
  <si>
    <t>G02X1</t>
  </si>
  <si>
    <t>GYNAECOLOG ANTISPASMODIC</t>
  </si>
  <si>
    <t>페인엔젤레이디</t>
  </si>
  <si>
    <t>A02A1</t>
  </si>
  <si>
    <t>PLAIN ANTACIDS</t>
  </si>
  <si>
    <t>위엔젤더블액션</t>
  </si>
  <si>
    <t>K01E5</t>
  </si>
  <si>
    <t>PAEDIATRIC AMINO-ACID SOL</t>
  </si>
  <si>
    <t>트로파민</t>
  </si>
  <si>
    <t>N06A9</t>
  </si>
  <si>
    <t>ANTIDEPRESSANTS ALL OTH</t>
  </si>
  <si>
    <t>케이넵틴</t>
  </si>
  <si>
    <t>A11D9</t>
  </si>
  <si>
    <t>OTHER VITAMIN B1 COMBS</t>
  </si>
  <si>
    <t>비타임트리플엠지</t>
  </si>
  <si>
    <t>V06B0</t>
  </si>
  <si>
    <t>PROTEIN SUPPLEMENTS</t>
  </si>
  <si>
    <t>제이리브</t>
  </si>
  <si>
    <t>G02A0</t>
  </si>
  <si>
    <t>UTEROTONIC PRODUCTS</t>
  </si>
  <si>
    <t>옥시토신 중외</t>
  </si>
  <si>
    <t>J01D1</t>
  </si>
  <si>
    <t>ORAL CEPHALOSPORINS</t>
  </si>
  <si>
    <t>세파클러 중외</t>
  </si>
  <si>
    <t>M03B0</t>
  </si>
  <si>
    <t>MUSCLE RELAXANTS,CENTRAL</t>
  </si>
  <si>
    <t>에페리손 중외</t>
  </si>
  <si>
    <t>S01X2</t>
  </si>
  <si>
    <t>OTH OPHTHALM TOPICAL</t>
  </si>
  <si>
    <t>마이드롭</t>
  </si>
  <si>
    <t>A12A0</t>
  </si>
  <si>
    <t>CALCIUM</t>
  </si>
  <si>
    <t>글루콘산칼슘 중외</t>
  </si>
  <si>
    <t>K04C0</t>
  </si>
  <si>
    <t>CALORIC SOLUTIONS&lt;=100ML</t>
  </si>
  <si>
    <t>A10H0</t>
  </si>
  <si>
    <t>SULPHONYLUREA A-DIABS</t>
  </si>
  <si>
    <t>메피그릴</t>
  </si>
  <si>
    <t>B01C4</t>
  </si>
  <si>
    <t>PL CAMP ENH PLAT AG INH</t>
  </si>
  <si>
    <t>제이실로CR</t>
  </si>
  <si>
    <t>A01A0</t>
  </si>
  <si>
    <t>STOMATOLOGICALS</t>
  </si>
  <si>
    <t>덴드리스</t>
  </si>
  <si>
    <t>덴탈큐</t>
  </si>
  <si>
    <t>A10M1</t>
  </si>
  <si>
    <t>GLINIDE A-DIABS PLAIN</t>
  </si>
  <si>
    <t>글루패스트</t>
  </si>
  <si>
    <t>V03E0</t>
  </si>
  <si>
    <t>ANTIDOTES</t>
  </si>
  <si>
    <t>파무</t>
  </si>
  <si>
    <t>N07X0</t>
  </si>
  <si>
    <t>ALL OTHER CNS DRUGS</t>
  </si>
  <si>
    <t>슈브리온</t>
  </si>
  <si>
    <t>A09A0</t>
  </si>
  <si>
    <t>DIGESTIVES INCL ENZYMES</t>
  </si>
  <si>
    <t>위엔젤</t>
  </si>
  <si>
    <t>J05C1</t>
  </si>
  <si>
    <t>NUCLEOS/T REV.TR.INH.</t>
  </si>
  <si>
    <t>테노펙션</t>
  </si>
  <si>
    <t>S01G5</t>
  </si>
  <si>
    <t>OCUL.DECONG.SYMPATHOMIM</t>
  </si>
  <si>
    <t>프렌즈아이드롭케어</t>
  </si>
  <si>
    <t>L01D0</t>
  </si>
  <si>
    <t>ANTINEOPLAS. ANTIBIOTICS</t>
  </si>
  <si>
    <t>이다루</t>
  </si>
  <si>
    <t>J05D2</t>
  </si>
  <si>
    <t>HEPATITIS B ANTIVIRALS</t>
  </si>
  <si>
    <t>엔테칸</t>
  </si>
  <si>
    <t>R06A0</t>
  </si>
  <si>
    <t>ANTIHISTAMINES SYSTEMIC</t>
  </si>
  <si>
    <t>알지퀵</t>
  </si>
  <si>
    <t>K01A4</t>
  </si>
  <si>
    <t>1/3-ELECTROLYTE SOLUTIONS</t>
  </si>
  <si>
    <t>엔에이시엘케이40</t>
  </si>
  <si>
    <t>A02X0</t>
  </si>
  <si>
    <t>OTH STOMACH DISORDER PRD</t>
  </si>
  <si>
    <t>유파칸</t>
  </si>
  <si>
    <t>A06B2</t>
  </si>
  <si>
    <t>OSMOT BWL CLEAN W ELECTR</t>
  </si>
  <si>
    <t>제이클</t>
  </si>
  <si>
    <t>K01A9</t>
  </si>
  <si>
    <t>OTH ELECTROLYTE SOLUTIONS</t>
  </si>
  <si>
    <t>K07A0</t>
  </si>
  <si>
    <t>PERFUSION SOLUTIONS</t>
  </si>
  <si>
    <t>심정지액1호</t>
  </si>
  <si>
    <t>R07C0</t>
  </si>
  <si>
    <t>LUNG SURFACTANTS</t>
  </si>
  <si>
    <t>인파서프</t>
  </si>
  <si>
    <t>A13A2</t>
  </si>
  <si>
    <t>ALL OTHER TONICS</t>
  </si>
  <si>
    <t>머슬린</t>
  </si>
  <si>
    <t>L01H1</t>
  </si>
  <si>
    <t>PKI A-NEOPLASTIC BCR-ABL</t>
  </si>
  <si>
    <t>제이티닙</t>
  </si>
  <si>
    <t>A10P3</t>
  </si>
  <si>
    <t>SGLT2 INH &amp; BIGUAN COMBS</t>
  </si>
  <si>
    <t>자디메트</t>
  </si>
  <si>
    <t>R01A7</t>
  </si>
  <si>
    <t>NASAL DECONGESTANTS</t>
  </si>
  <si>
    <t>A10P1</t>
  </si>
  <si>
    <t>SGLT2 INHIB A-DIAB PLAIN</t>
  </si>
  <si>
    <t>자디하트</t>
  </si>
  <si>
    <t>B03A2</t>
  </si>
  <si>
    <t>IRON COMBINATION PRODUCTS</t>
  </si>
  <si>
    <t>훼럼포유</t>
  </si>
  <si>
    <t>H04D0</t>
  </si>
  <si>
    <t>ANTIDIURETIC HORMONES</t>
  </si>
  <si>
    <t>데소닉스</t>
  </si>
  <si>
    <t>J01K0</t>
  </si>
  <si>
    <t>AMINOGLYCOSIDES</t>
  </si>
  <si>
    <t>겐타마이신 중외</t>
  </si>
  <si>
    <t>하베카신</t>
  </si>
  <si>
    <t>H02A1</t>
  </si>
  <si>
    <t>INJ CORTICOSTEROIDS PLAIN</t>
  </si>
  <si>
    <t>덱사메타손 중외</t>
  </si>
  <si>
    <t>T02C0</t>
  </si>
  <si>
    <t>PREGNANCY&amp;OVULATION TEST</t>
  </si>
  <si>
    <t>원큐플러스</t>
  </si>
  <si>
    <t>S01L0</t>
  </si>
  <si>
    <t>CONTACT LENS PREPARATIONS</t>
  </si>
  <si>
    <t>네오에스피씨</t>
  </si>
  <si>
    <t>A10M3</t>
  </si>
  <si>
    <t>GLINIDE &amp; BIGUANIDE COMB</t>
  </si>
  <si>
    <t>다이아엠</t>
  </si>
  <si>
    <t>G04D4</t>
  </si>
  <si>
    <t>URINARY INCONTINENCE PRD</t>
  </si>
  <si>
    <t>라베그론</t>
  </si>
  <si>
    <t>A12C1</t>
  </si>
  <si>
    <t>MAGNESIUM SUPPLEMENTS</t>
  </si>
  <si>
    <t>엠지파워</t>
  </si>
  <si>
    <t>N06A4</t>
  </si>
  <si>
    <t>SSRI ANTIDEPRESSANTS</t>
  </si>
  <si>
    <t>듀미록스</t>
  </si>
  <si>
    <t>J01G1</t>
  </si>
  <si>
    <t>ORAL FLUOROQUINOLONES</t>
  </si>
  <si>
    <t>큐록신</t>
  </si>
  <si>
    <t>제이록사신</t>
  </si>
  <si>
    <t>B01C9</t>
  </si>
  <si>
    <t>OTHER PLATELET AGG INHIB</t>
  </si>
  <si>
    <t>키산본에스</t>
  </si>
  <si>
    <t>B01F0</t>
  </si>
  <si>
    <t>DIRECT FACTOR XA INHIBS</t>
  </si>
  <si>
    <t>제이렐토</t>
  </si>
  <si>
    <t>A02B9</t>
  </si>
  <si>
    <t>ALL OTHER ANTIULCERANTS</t>
  </si>
  <si>
    <t>아루사루민 중외</t>
  </si>
  <si>
    <t>D08A0</t>
  </si>
  <si>
    <t>ANTISEPTICS-DISINFECTANTS</t>
  </si>
  <si>
    <t>스크렌젤</t>
  </si>
  <si>
    <t>N01A1</t>
  </si>
  <si>
    <t>INHAL GEN ANAESTHETICS</t>
  </si>
  <si>
    <t>포란</t>
  </si>
  <si>
    <t>A10J1</t>
  </si>
  <si>
    <t>BIGUANIDE A-DIABS PLAIN</t>
  </si>
  <si>
    <t>메트폭스</t>
  </si>
  <si>
    <t>총합계</t>
  </si>
  <si>
    <t xml:space="preserve">*스카이조스터 제외 (MFR SK바이오사언스, 공동판매 : JW중외) </t>
  </si>
  <si>
    <t xml:space="preserve">시장분석 AI_대시보드 기준 </t>
  </si>
  <si>
    <r>
      <rPr>
        <rFont val="맑은 고딕"/>
        <b/>
        <color theme="1"/>
        <sz val="10.0"/>
      </rPr>
      <t>구분</t>
    </r>
    <r>
      <rPr>
        <rFont val="Calibri"/>
        <b/>
        <color theme="1"/>
        <sz val="10.0"/>
      </rPr>
      <t xml:space="preserve"> (JWP MKT </t>
    </r>
    <r>
      <rPr>
        <rFont val="맑은 고딕"/>
        <b/>
        <color theme="1"/>
        <sz val="10.0"/>
      </rPr>
      <t>기준</t>
    </r>
    <r>
      <rPr>
        <rFont val="Calibri"/>
        <b/>
        <color theme="1"/>
        <sz val="10.0"/>
      </rPr>
      <t xml:space="preserve">) </t>
    </r>
  </si>
  <si>
    <r>
      <rPr>
        <rFont val="Calibri"/>
        <b/>
        <color theme="1"/>
        <sz val="10.0"/>
      </rPr>
      <t>MKT 1</t>
    </r>
    <r>
      <rPr>
        <rFont val="맑은 고딕"/>
        <b/>
        <color theme="1"/>
        <sz val="10.0"/>
      </rPr>
      <t>팀</t>
    </r>
  </si>
  <si>
    <r>
      <rPr>
        <rFont val="Calibri"/>
        <b/>
        <color theme="1"/>
        <sz val="10.0"/>
      </rPr>
      <t>MKT 1</t>
    </r>
    <r>
      <rPr>
        <rFont val="맑은 고딕"/>
        <b/>
        <color theme="1"/>
        <sz val="10.0"/>
      </rPr>
      <t>팀</t>
    </r>
  </si>
  <si>
    <r>
      <rPr>
        <rFont val="Calibri"/>
        <b/>
        <color theme="1"/>
        <sz val="10.0"/>
      </rPr>
      <t>MKT 1</t>
    </r>
    <r>
      <rPr>
        <rFont val="맑은 고딕"/>
        <b/>
        <color theme="1"/>
        <sz val="10.0"/>
      </rPr>
      <t>팀</t>
    </r>
  </si>
  <si>
    <r>
      <rPr>
        <rFont val="Calibri"/>
        <b/>
        <color theme="1"/>
        <sz val="10.0"/>
      </rPr>
      <t>MKT 1</t>
    </r>
    <r>
      <rPr>
        <rFont val="맑은 고딕"/>
        <b/>
        <color theme="1"/>
        <sz val="10.0"/>
      </rPr>
      <t>팀</t>
    </r>
  </si>
  <si>
    <r>
      <rPr>
        <rFont val="Calibri"/>
        <b/>
        <color theme="1"/>
        <sz val="10.0"/>
      </rPr>
      <t>MKT 1</t>
    </r>
    <r>
      <rPr>
        <rFont val="맑은 고딕"/>
        <b/>
        <color theme="1"/>
        <sz val="10.0"/>
      </rPr>
      <t>팀</t>
    </r>
  </si>
  <si>
    <r>
      <rPr>
        <rFont val="Calibri"/>
        <b/>
        <color theme="1"/>
        <sz val="10.0"/>
      </rPr>
      <t>MKT 1</t>
    </r>
    <r>
      <rPr>
        <rFont val="맑은 고딕"/>
        <b/>
        <color theme="1"/>
        <sz val="10.0"/>
      </rPr>
      <t>팀</t>
    </r>
  </si>
  <si>
    <r>
      <rPr>
        <rFont val="Calibri"/>
        <b/>
        <color theme="1"/>
        <sz val="10.0"/>
      </rPr>
      <t>MKT 1</t>
    </r>
    <r>
      <rPr>
        <rFont val="맑은 고딕"/>
        <b/>
        <color theme="1"/>
        <sz val="10.0"/>
      </rPr>
      <t>팀</t>
    </r>
  </si>
  <si>
    <r>
      <rPr>
        <rFont val="Calibri"/>
        <b/>
        <color theme="1"/>
        <sz val="10.0"/>
      </rPr>
      <t>MKT 1</t>
    </r>
    <r>
      <rPr>
        <rFont val="맑은 고딕"/>
        <b/>
        <color theme="1"/>
        <sz val="10.0"/>
      </rPr>
      <t>팀</t>
    </r>
    <r>
      <rPr>
        <rFont val="Calibri"/>
        <b/>
        <color theme="1"/>
        <sz val="10.0"/>
      </rPr>
      <t xml:space="preserve"> </t>
    </r>
  </si>
  <si>
    <r>
      <rPr>
        <rFont val="Calibri"/>
        <b/>
        <color theme="1"/>
        <sz val="10.0"/>
      </rPr>
      <t>MKT 1</t>
    </r>
    <r>
      <rPr>
        <rFont val="맑은 고딕"/>
        <b/>
        <color theme="1"/>
        <sz val="10.0"/>
      </rPr>
      <t>팀</t>
    </r>
  </si>
  <si>
    <r>
      <rPr>
        <rFont val="Calibri"/>
        <b/>
        <color theme="1"/>
        <sz val="10.0"/>
      </rPr>
      <t>MKT 1</t>
    </r>
    <r>
      <rPr>
        <rFont val="맑은 고딕"/>
        <b/>
        <color theme="1"/>
        <sz val="10.0"/>
      </rPr>
      <t>팀</t>
    </r>
    <r>
      <rPr>
        <rFont val="Calibri"/>
        <b/>
        <color theme="1"/>
        <sz val="10.0"/>
      </rPr>
      <t xml:space="preserve"> </t>
    </r>
  </si>
  <si>
    <r>
      <rPr>
        <rFont val="Calibri"/>
        <b/>
        <color theme="1"/>
        <sz val="10.0"/>
      </rPr>
      <t>MKT 1</t>
    </r>
    <r>
      <rPr>
        <rFont val="맑은 고딕"/>
        <b/>
        <color theme="1"/>
        <sz val="10.0"/>
      </rPr>
      <t>팀</t>
    </r>
    <r>
      <rPr>
        <rFont val="Calibri"/>
        <b/>
        <color theme="1"/>
        <sz val="10.0"/>
      </rPr>
      <t xml:space="preserve"> </t>
    </r>
  </si>
  <si>
    <r>
      <rPr>
        <rFont val="Calibri"/>
        <b/>
        <color theme="1"/>
        <sz val="10.0"/>
      </rPr>
      <t>MKT 1</t>
    </r>
    <r>
      <rPr>
        <rFont val="맑은 고딕"/>
        <b/>
        <color theme="1"/>
        <sz val="10.0"/>
      </rPr>
      <t>팀</t>
    </r>
    <r>
      <rPr>
        <rFont val="Calibri"/>
        <b/>
        <color theme="1"/>
        <sz val="10.0"/>
      </rPr>
      <t xml:space="preserve"> </t>
    </r>
  </si>
  <si>
    <r>
      <rPr>
        <rFont val="Calibri"/>
        <b/>
        <color theme="1"/>
        <sz val="10.0"/>
      </rPr>
      <t>MKT 1</t>
    </r>
    <r>
      <rPr>
        <rFont val="맑은 고딕"/>
        <b/>
        <color theme="1"/>
        <sz val="10.0"/>
      </rPr>
      <t>팀</t>
    </r>
    <r>
      <rPr>
        <rFont val="Calibri"/>
        <b/>
        <color theme="1"/>
        <sz val="10.0"/>
      </rPr>
      <t xml:space="preserve"> </t>
    </r>
  </si>
  <si>
    <r>
      <rPr>
        <rFont val="Calibri"/>
        <b/>
        <color theme="1"/>
        <sz val="10.0"/>
      </rPr>
      <t>MKT 1</t>
    </r>
    <r>
      <rPr>
        <rFont val="맑은 고딕"/>
        <b/>
        <color theme="1"/>
        <sz val="10.0"/>
      </rPr>
      <t>팀</t>
    </r>
    <r>
      <rPr>
        <rFont val="Calibri"/>
        <b/>
        <color theme="1"/>
        <sz val="10.0"/>
      </rPr>
      <t xml:space="preserve"> </t>
    </r>
  </si>
  <si>
    <r>
      <rPr>
        <rFont val="Calibri"/>
        <b/>
        <color theme="1"/>
        <sz val="10.0"/>
      </rPr>
      <t>MKT 2</t>
    </r>
    <r>
      <rPr>
        <rFont val="맑은 고딕"/>
        <b/>
        <color theme="1"/>
        <sz val="10.0"/>
      </rPr>
      <t>팀</t>
    </r>
  </si>
  <si>
    <r>
      <rPr>
        <rFont val="Calibri"/>
        <b/>
        <color theme="1"/>
        <sz val="10.0"/>
      </rPr>
      <t>MKT 2</t>
    </r>
    <r>
      <rPr>
        <rFont val="맑은 고딕"/>
        <b/>
        <color theme="1"/>
        <sz val="10.0"/>
      </rPr>
      <t>팀</t>
    </r>
  </si>
  <si>
    <r>
      <rPr>
        <rFont val="Calibri"/>
        <b/>
        <color theme="1"/>
        <sz val="10.0"/>
      </rPr>
      <t>MKT 2</t>
    </r>
    <r>
      <rPr>
        <rFont val="맑은 고딕"/>
        <b/>
        <color theme="1"/>
        <sz val="10.0"/>
      </rPr>
      <t>팀</t>
    </r>
  </si>
  <si>
    <r>
      <rPr>
        <rFont val="Calibri"/>
        <b/>
        <color theme="1"/>
        <sz val="10.0"/>
      </rPr>
      <t>MKT 2</t>
    </r>
    <r>
      <rPr>
        <rFont val="맑은 고딕"/>
        <b/>
        <color theme="1"/>
        <sz val="10.0"/>
      </rPr>
      <t>팀</t>
    </r>
  </si>
  <si>
    <r>
      <rPr>
        <rFont val="Calibri"/>
        <b/>
        <color theme="1"/>
        <sz val="10.0"/>
      </rPr>
      <t>MKT 3</t>
    </r>
    <r>
      <rPr>
        <rFont val="맑은 고딕"/>
        <b/>
        <color theme="1"/>
        <sz val="10.0"/>
      </rPr>
      <t>팀</t>
    </r>
  </si>
  <si>
    <r>
      <rPr>
        <rFont val="Calibri"/>
        <b/>
        <color theme="1"/>
        <sz val="10.0"/>
      </rPr>
      <t>MKT 3</t>
    </r>
    <r>
      <rPr>
        <rFont val="맑은 고딕"/>
        <b/>
        <color theme="1"/>
        <sz val="10.0"/>
      </rPr>
      <t>팀</t>
    </r>
    <r>
      <rPr>
        <rFont val="Calibri"/>
        <b/>
        <color theme="1"/>
        <sz val="10.0"/>
      </rPr>
      <t xml:space="preserve"> </t>
    </r>
  </si>
  <si>
    <r>
      <rPr>
        <rFont val="맑은 고딕"/>
        <b/>
        <color theme="1"/>
        <sz val="10.0"/>
      </rPr>
      <t>라베칸</t>
    </r>
    <r>
      <rPr>
        <rFont val="Calibri"/>
        <b/>
        <color theme="1"/>
        <sz val="10.0"/>
      </rPr>
      <t>/</t>
    </r>
    <r>
      <rPr>
        <rFont val="Arial Unicode MS"/>
        <b/>
        <color theme="1"/>
        <sz val="10.0"/>
      </rPr>
      <t>라베칸듀오</t>
    </r>
    <r>
      <rPr>
        <rFont val="Calibri"/>
        <b/>
        <color theme="1"/>
        <sz val="10.0"/>
      </rPr>
      <t xml:space="preserve"> </t>
    </r>
  </si>
  <si>
    <r>
      <rPr>
        <rFont val="맑은 고딕"/>
        <b/>
        <color theme="1"/>
        <sz val="10.0"/>
      </rPr>
      <t>제이클</t>
    </r>
  </si>
  <si>
    <r>
      <rPr>
        <rFont val="맑은 고딕"/>
        <b/>
        <color theme="1"/>
        <sz val="10.0"/>
      </rPr>
      <t>가드렛</t>
    </r>
    <r>
      <rPr>
        <rFont val="Calibri"/>
        <b/>
        <color theme="1"/>
        <sz val="10.0"/>
      </rPr>
      <t>/</t>
    </r>
    <r>
      <rPr>
        <rFont val="맑은 고딕"/>
        <b/>
        <color theme="1"/>
        <sz val="10.0"/>
      </rPr>
      <t>가드메트</t>
    </r>
    <r>
      <rPr>
        <rFont val="Calibri"/>
        <b/>
        <color theme="1"/>
        <sz val="10.0"/>
      </rPr>
      <t xml:space="preserve"> </t>
    </r>
  </si>
  <si>
    <r>
      <rPr>
        <rFont val="맑은 고딕"/>
        <b/>
        <color theme="1"/>
        <sz val="10.0"/>
      </rPr>
      <t>타발리스</t>
    </r>
  </si>
  <si>
    <r>
      <rPr>
        <rFont val="맑은 고딕"/>
        <b/>
        <color theme="1"/>
        <sz val="10.0"/>
      </rPr>
      <t>시그마트</t>
    </r>
  </si>
  <si>
    <r>
      <rPr>
        <rFont val="맑은 고딕"/>
        <b/>
        <color theme="1"/>
        <sz val="10.0"/>
      </rPr>
      <t>리바로</t>
    </r>
    <r>
      <rPr>
        <rFont val="Calibri"/>
        <b/>
        <color theme="1"/>
        <sz val="10.0"/>
      </rPr>
      <t>/</t>
    </r>
    <r>
      <rPr>
        <rFont val="Arial Unicode MS"/>
        <b/>
        <color theme="1"/>
        <sz val="10.0"/>
      </rPr>
      <t>리바로젯</t>
    </r>
    <r>
      <rPr>
        <rFont val="Calibri"/>
        <b/>
        <color theme="1"/>
        <sz val="10.0"/>
      </rPr>
      <t xml:space="preserve"> </t>
    </r>
  </si>
  <si>
    <t xml:space="preserve">리바로페노 </t>
  </si>
  <si>
    <r>
      <rPr>
        <rFont val="맑은 고딕"/>
        <b/>
        <color theme="1"/>
        <sz val="10.0"/>
      </rPr>
      <t>리바로하이</t>
    </r>
  </si>
  <si>
    <r>
      <rPr>
        <rFont val="맑은 고딕"/>
        <b/>
        <color theme="1"/>
        <sz val="10.0"/>
      </rPr>
      <t>리바로브이</t>
    </r>
  </si>
  <si>
    <r>
      <rPr>
        <rFont val="맑은 고딕"/>
        <b/>
        <color theme="1"/>
        <sz val="10.0"/>
      </rPr>
      <t>트루패스</t>
    </r>
  </si>
  <si>
    <r>
      <rPr>
        <rFont val="맑은 고딕"/>
        <b/>
        <color theme="1"/>
        <sz val="10.0"/>
      </rPr>
      <t>피나스타</t>
    </r>
    <r>
      <rPr>
        <rFont val="Calibri"/>
        <b/>
        <color theme="1"/>
        <sz val="10.0"/>
      </rPr>
      <t>/</t>
    </r>
    <r>
      <rPr>
        <rFont val="Arial Unicode MS"/>
        <b/>
        <color theme="1"/>
        <sz val="10.0"/>
      </rPr>
      <t>제이다트</t>
    </r>
    <r>
      <rPr>
        <rFont val="Calibri"/>
        <b/>
        <color theme="1"/>
        <sz val="10.0"/>
      </rPr>
      <t xml:space="preserve"> </t>
    </r>
  </si>
  <si>
    <r>
      <rPr>
        <rFont val="맑은 고딕"/>
        <b/>
        <color theme="1"/>
        <sz val="10.0"/>
      </rPr>
      <t>뉴트로진</t>
    </r>
  </si>
  <si>
    <r>
      <rPr>
        <rFont val="맑은 고딕"/>
        <b/>
        <color theme="1"/>
        <sz val="10.0"/>
      </rPr>
      <t>모빌리아</t>
    </r>
  </si>
  <si>
    <r>
      <rPr>
        <rFont val="맑은 고딕"/>
        <b/>
        <color theme="1"/>
        <sz val="10.0"/>
      </rPr>
      <t>악템라</t>
    </r>
  </si>
  <si>
    <r>
      <rPr>
        <rFont val="맑은 고딕"/>
        <b/>
        <color theme="1"/>
        <sz val="10.0"/>
      </rPr>
      <t>페린젝트</t>
    </r>
  </si>
  <si>
    <r>
      <rPr>
        <rFont val="맑은 고딕"/>
        <b/>
        <color theme="1"/>
        <sz val="10.0"/>
      </rPr>
      <t>베노훼럼</t>
    </r>
  </si>
  <si>
    <r>
      <rPr>
        <rFont val="맑은 고딕"/>
        <b/>
        <color theme="1"/>
        <sz val="10.0"/>
      </rPr>
      <t>헴리브라</t>
    </r>
  </si>
  <si>
    <r>
      <rPr>
        <rFont val="맑은 고딕"/>
        <b/>
        <color theme="1"/>
        <sz val="10.0"/>
      </rPr>
      <t>엔커버</t>
    </r>
  </si>
  <si>
    <r>
      <rPr>
        <rFont val="맑은 고딕"/>
        <b/>
        <color theme="1"/>
        <sz val="10.0"/>
      </rPr>
      <t>위너프</t>
    </r>
    <r>
      <rPr>
        <rFont val="Calibri"/>
        <b/>
        <color theme="1"/>
        <sz val="10.0"/>
      </rPr>
      <t>/A+</t>
    </r>
  </si>
  <si>
    <r>
      <rPr>
        <rFont val="맑은 고딕"/>
        <b/>
        <color theme="1"/>
        <sz val="10.0"/>
      </rPr>
      <t>플라주오피</t>
    </r>
  </si>
  <si>
    <t>A10N1/A10N3</t>
  </si>
  <si>
    <t>C10A1/C10C0</t>
  </si>
  <si>
    <t xml:space="preserve">C10C </t>
  </si>
  <si>
    <t>분석 데이터 출처</t>
  </si>
  <si>
    <t>Ubist</t>
  </si>
  <si>
    <t xml:space="preserve">Iqvia </t>
  </si>
  <si>
    <t xml:space="preserve">Ubist / IQVIA </t>
  </si>
  <si>
    <t xml:space="preserve">Ubist </t>
  </si>
  <si>
    <t xml:space="preserve">Iqvia, Ubist </t>
  </si>
  <si>
    <t xml:space="preserve">분석값 </t>
  </si>
  <si>
    <t xml:space="preserve">처방조제액, 처방량 </t>
  </si>
  <si>
    <t xml:space="preserve">Value, Unit </t>
  </si>
  <si>
    <t xml:space="preserve">Value, Dosage Unit, 처방조제액, 처방량 </t>
  </si>
  <si>
    <t xml:space="preserve">Value, Dosage Unit </t>
  </si>
  <si>
    <t xml:space="preserve">시장 분석 Level </t>
  </si>
  <si>
    <t xml:space="preserve">Class </t>
  </si>
  <si>
    <t>O</t>
  </si>
  <si>
    <t xml:space="preserve">O (IQVIA) </t>
  </si>
  <si>
    <t xml:space="preserve">Molecule </t>
  </si>
  <si>
    <r>
      <rPr>
        <rFont val="Calibri"/>
        <color theme="1"/>
        <sz val="10.0"/>
      </rPr>
      <t xml:space="preserve">O (OAD </t>
    </r>
    <r>
      <rPr>
        <rFont val="Arial Unicode MS"/>
        <color theme="1"/>
        <sz val="10.0"/>
      </rPr>
      <t xml:space="preserve">기준- </t>
    </r>
    <r>
      <rPr>
        <rFont val="Calibri"/>
        <color theme="1"/>
        <sz val="10.0"/>
      </rPr>
      <t xml:space="preserve">Ubist) </t>
    </r>
  </si>
  <si>
    <t xml:space="preserve">Brand </t>
  </si>
  <si>
    <t xml:space="preserve">O </t>
  </si>
  <si>
    <r>
      <rPr>
        <rFont val="Calibri"/>
        <color theme="1"/>
        <sz val="10.0"/>
      </rPr>
      <t xml:space="preserve">O (OAD </t>
    </r>
    <r>
      <rPr>
        <rFont val="Arial Unicode MS"/>
        <color theme="1"/>
        <sz val="10.0"/>
      </rPr>
      <t xml:space="preserve">기준- DPP-4i(+MET) </t>
    </r>
  </si>
  <si>
    <r>
      <rPr>
        <rFont val="Calibri"/>
        <color theme="1"/>
        <sz val="10.0"/>
      </rPr>
      <t>Dosage Form (</t>
    </r>
    <r>
      <rPr>
        <rFont val="Arial Unicode MS"/>
        <color theme="1"/>
        <sz val="10.0"/>
      </rPr>
      <t xml:space="preserve">제형/투여경로) </t>
    </r>
  </si>
  <si>
    <t xml:space="preserve">O (Oral vs. Inj) </t>
  </si>
  <si>
    <r>
      <rPr>
        <rFont val="Calibri"/>
        <color theme="1"/>
        <sz val="10.0"/>
      </rPr>
      <t>strength (</t>
    </r>
    <r>
      <rPr>
        <rFont val="Arial Unicode MS"/>
        <color theme="1"/>
        <sz val="10.0"/>
      </rPr>
      <t xml:space="preserve">용량) </t>
    </r>
  </si>
  <si>
    <t xml:space="preserve">기타 </t>
  </si>
  <si>
    <t xml:space="preserve">급여/비급여 </t>
  </si>
  <si>
    <t>Biologics (Ox/Biosimilar)</t>
  </si>
  <si>
    <r>
      <rPr>
        <rFont val="Calibri"/>
        <color theme="1"/>
        <sz val="10.0"/>
      </rPr>
      <t xml:space="preserve">FISH OIL </t>
    </r>
    <r>
      <rPr>
        <rFont val="맑은 고딕"/>
        <color theme="1"/>
        <sz val="10.0"/>
      </rPr>
      <t>여부</t>
    </r>
  </si>
  <si>
    <t xml:space="preserve">전체 치료 시장 정의 (Ephmra ATC Code) *ATC Code 이후 상세 분석 정의는 각 제품별 시트 참고 </t>
  </si>
  <si>
    <t>[A2B2] 프로톤 펌프 억제제</t>
  </si>
  <si>
    <t>A06B1OSMOTIC BOWEL CLEANSERS</t>
  </si>
  <si>
    <t>B02E1</t>
  </si>
  <si>
    <t>[C1E] 아질산염 및 질산염류</t>
  </si>
  <si>
    <t>[C10C] 지질조절제 복합제제</t>
  </si>
  <si>
    <t>[C9C] ANGIOTENSIN-II 길항제 (단일)</t>
  </si>
  <si>
    <t>[G4C2] BPH 알파 아드레날린 길항제</t>
  </si>
  <si>
    <t>L03A1 COLONY-STIMULATING FACT.</t>
  </si>
  <si>
    <t>B03A1IRON PLAIN</t>
  </si>
  <si>
    <t>B02D1FACTOR VIII INCL SUBSTIT</t>
  </si>
  <si>
    <t>V06D0OTHER GENERAL NUTRIENTS</t>
  </si>
  <si>
    <t>K01EAMINO-ACID SOLUTION</t>
  </si>
  <si>
    <t>K01A31/2-ELECTROLYTE SOLUTIONS</t>
  </si>
  <si>
    <t>A06B2OSMOT BWL CLEAN W ELECTR</t>
  </si>
  <si>
    <t>A10S0</t>
  </si>
  <si>
    <t>[C1D] 관상동맥 치료제</t>
  </si>
  <si>
    <r>
      <rPr>
        <rFont val="Calibri"/>
        <color theme="1"/>
        <sz val="10.0"/>
      </rPr>
      <t xml:space="preserve">[C10A1] </t>
    </r>
    <r>
      <rPr>
        <rFont val="맑은 고딕"/>
        <color theme="1"/>
        <sz val="10.0"/>
      </rPr>
      <t>스타틴류</t>
    </r>
    <r>
      <rPr>
        <rFont val="Calibri"/>
        <color theme="1"/>
        <sz val="10.0"/>
      </rPr>
      <t xml:space="preserve"> (HMG-CoA </t>
    </r>
    <r>
      <rPr>
        <rFont val="맑은 고딕"/>
        <color theme="1"/>
        <sz val="10.0"/>
      </rPr>
      <t>환원효소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억제제</t>
    </r>
    <r>
      <rPr>
        <rFont val="Calibri"/>
        <color theme="1"/>
        <sz val="10.0"/>
      </rPr>
      <t>)</t>
    </r>
  </si>
  <si>
    <t>[C10A2] Fibrate 유도체</t>
  </si>
  <si>
    <t>[C9D1] Angiotensin-II 길항제, 고혈압제 (C2) 혹은 이뇨제 복합제제</t>
  </si>
  <si>
    <t>[G4C3] BPH 5- 알파 환원 효소 저해 테스토스테론 단일제</t>
  </si>
  <si>
    <t>L03A9 OTH.IMMUNOSTIM.EX.INTFRN</t>
  </si>
  <si>
    <t>B03A2IRON COMBINATION PRODUCTS</t>
  </si>
  <si>
    <t>B02D3HAEMOPHILIA ANTI-INH PRD</t>
  </si>
  <si>
    <t>K01DFAT EMULSIONS,INCL TPN</t>
  </si>
  <si>
    <t>K01A11/1-ELECTROLYTE SOLUTIONS</t>
  </si>
  <si>
    <t>[C7A] 베타 차단제(단일)</t>
  </si>
  <si>
    <t>[C10B] 천연물질 유래 동맥경화치료제</t>
  </si>
  <si>
    <t>[C9D3] Angiotensin-II 길항제 칼슘길항제 복합제</t>
  </si>
  <si>
    <t>[G4C4] BPH 알파 길항제와 5-ARIs 복합제</t>
  </si>
  <si>
    <t>[C8A] 칼슘길항제 (단일)</t>
  </si>
  <si>
    <t>[G4C9] 기타 BPH 제제</t>
  </si>
  <si>
    <t>A10C5</t>
  </si>
  <si>
    <t>[G4D4] 요실금 치료제</t>
  </si>
  <si>
    <t>[C11A1] 심혈관 질환 다중요법 목적의 복합제제 (단일 투약 형태)</t>
  </si>
  <si>
    <t>[C3A1] 칼륨보존성이뇨제</t>
  </si>
  <si>
    <t>[C3A2] Loop 계 이뇨제</t>
  </si>
  <si>
    <t>A10C3</t>
  </si>
  <si>
    <t>[C3A3] Thiazides 계 이뇨제</t>
  </si>
  <si>
    <t>A10K1</t>
  </si>
  <si>
    <t>[C7B1] 고혈압치료제/이뇨제와 복합한 제제</t>
  </si>
  <si>
    <t>A10C1</t>
  </si>
  <si>
    <t>[C9A] ACE 억제제 (단일)</t>
  </si>
  <si>
    <t>A10C9</t>
  </si>
  <si>
    <t>[C9B1] 고혈압제 (C2) 와 / 혹은 이뇨제 (C3)를 복함한 ACE 억제제</t>
  </si>
  <si>
    <t>A10P5</t>
  </si>
  <si>
    <t>[C9B3] ACE 억제제와 칼슘길항제 (C8) 복합제</t>
  </si>
  <si>
    <t>A10P9</t>
  </si>
  <si>
    <t>A10J2</t>
  </si>
  <si>
    <t>A10N9</t>
  </si>
  <si>
    <t>A10K3</t>
  </si>
  <si>
    <t>A10L0</t>
  </si>
  <si>
    <t>A10C2</t>
  </si>
  <si>
    <t>A10K2</t>
  </si>
  <si>
    <t>A10J9</t>
  </si>
  <si>
    <t xml:space="preserve">브랜드 직접 경쟁시장 정의 (Ephmra ATC Code) *ATC Code 이후 상세 분석 정의는 각 제품별 시트 참고 </t>
  </si>
  <si>
    <r>
      <rPr>
        <rFont val="Arial Unicode MS"/>
        <color theme="1"/>
        <sz val="10.0"/>
      </rPr>
      <t xml:space="preserve">라베칸: </t>
    </r>
    <r>
      <rPr>
        <rFont val="Calibri"/>
        <color theme="1"/>
        <sz val="10.0"/>
      </rPr>
      <t xml:space="preserve">[A2B2] </t>
    </r>
    <r>
      <rPr>
        <rFont val="맑은 고딕"/>
        <color theme="1"/>
        <sz val="10.0"/>
      </rPr>
      <t>프로톤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펌프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억제제</t>
    </r>
    <r>
      <rPr>
        <rFont val="Calibri"/>
        <color theme="1"/>
        <sz val="10.0"/>
      </rPr>
      <t xml:space="preserve"> - Rabeprazole </t>
    </r>
    <r>
      <rPr>
        <rFont val="Arial Unicode MS"/>
        <color theme="1"/>
        <sz val="10.0"/>
      </rPr>
      <t xml:space="preserve">단일제 </t>
    </r>
  </si>
  <si>
    <r>
      <rPr>
        <rFont val="Calibri"/>
        <color theme="1"/>
        <sz val="10.0"/>
      </rPr>
      <t xml:space="preserve">A06B1 &amp; A06B2 - </t>
    </r>
    <r>
      <rPr>
        <rFont val="Arial Unicode MS"/>
        <color theme="1"/>
        <sz val="10.0"/>
      </rPr>
      <t>비급여(</t>
    </r>
    <r>
      <rPr>
        <rFont val="Calibri"/>
        <color theme="1"/>
        <sz val="10.0"/>
      </rPr>
      <t xml:space="preserve">NON_NHI) </t>
    </r>
  </si>
  <si>
    <t>[C11A1] 심혈관 질환 다중요법 목적의 복합제제 (단일 투약 형태) - Statin/ARB/CCB</t>
  </si>
  <si>
    <r>
      <rPr>
        <rFont val="Calibri"/>
        <color theme="1"/>
        <sz val="10.0"/>
      </rPr>
      <t xml:space="preserve">[C11A1] </t>
    </r>
    <r>
      <rPr>
        <rFont val="맑은 고딕"/>
        <color theme="1"/>
        <sz val="10.0"/>
      </rPr>
      <t>심혈관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질환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다중요법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목적의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복합제제</t>
    </r>
    <r>
      <rPr>
        <rFont val="Calibri"/>
        <color theme="1"/>
        <sz val="10.0"/>
      </rPr>
      <t xml:space="preserve"> (</t>
    </r>
    <r>
      <rPr>
        <rFont val="맑은 고딕"/>
        <color theme="1"/>
        <sz val="10.0"/>
      </rPr>
      <t>단일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투약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형태</t>
    </r>
    <r>
      <rPr>
        <rFont val="Calibri"/>
        <color theme="1"/>
        <sz val="10.0"/>
      </rPr>
      <t>) - Statin/ARB</t>
    </r>
  </si>
  <si>
    <t xml:space="preserve">B03A1IRON PLAIN - IV Iron </t>
  </si>
  <si>
    <t xml:space="preserve">K01DFAT EMULSIONS,INCL TPN - 3CB &amp; NHI </t>
  </si>
  <si>
    <t xml:space="preserve">K01A31/2-ELECTROLYTE SOLUTIONS - Acetated Balanced Crystalloid </t>
  </si>
  <si>
    <r>
      <rPr>
        <rFont val="Arial Unicode MS"/>
        <color theme="1"/>
        <sz val="10.0"/>
      </rPr>
      <t xml:space="preserve">라베칸 듀오: </t>
    </r>
    <r>
      <rPr>
        <rFont val="Calibri"/>
        <color theme="1"/>
        <sz val="10.0"/>
      </rPr>
      <t xml:space="preserve">[A2B2] </t>
    </r>
    <r>
      <rPr>
        <rFont val="맑은 고딕"/>
        <color theme="1"/>
        <sz val="10.0"/>
      </rPr>
      <t>프로톤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펌프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억제제</t>
    </r>
    <r>
      <rPr>
        <rFont val="Calibri"/>
        <color theme="1"/>
        <sz val="10.0"/>
      </rPr>
      <t xml:space="preserve"> - Rabeprazole/</t>
    </r>
    <r>
      <rPr>
        <rFont val="Arial Unicode MS"/>
        <color theme="1"/>
        <sz val="10.0"/>
      </rPr>
      <t xml:space="preserve">제산제 </t>
    </r>
    <r>
      <rPr>
        <rFont val="Calibri"/>
        <color theme="1"/>
        <sz val="10.0"/>
      </rPr>
      <t xml:space="preserve">FDC </t>
    </r>
  </si>
  <si>
    <r>
      <rPr>
        <rFont val="Calibri"/>
        <color theme="1"/>
        <sz val="10.0"/>
      </rPr>
      <t xml:space="preserve">[C10A1] </t>
    </r>
    <r>
      <rPr>
        <rFont val="맑은 고딕"/>
        <color theme="1"/>
        <sz val="10.0"/>
      </rPr>
      <t>스타틴류</t>
    </r>
    <r>
      <rPr>
        <rFont val="Calibri"/>
        <color theme="1"/>
        <sz val="10.0"/>
      </rPr>
      <t xml:space="preserve"> (HMG-CoA </t>
    </r>
    <r>
      <rPr>
        <rFont val="맑은 고딕"/>
        <color theme="1"/>
        <sz val="10.0"/>
      </rPr>
      <t>환원효소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억제제</t>
    </r>
    <r>
      <rPr>
        <rFont val="Calibri"/>
        <color theme="1"/>
        <sz val="10.0"/>
      </rPr>
      <t>)</t>
    </r>
  </si>
  <si>
    <t xml:space="preserve">K01A11/1-ELECTROLYTE SOLUTIONS - Acetated Balanced Crystalloid </t>
  </si>
  <si>
    <t xml:space="preserve">Target Customer Priority </t>
  </si>
  <si>
    <t xml:space="preserve">Target1) </t>
  </si>
  <si>
    <t xml:space="preserve">GH GI </t>
  </si>
  <si>
    <t xml:space="preserve">GH Endo </t>
  </si>
  <si>
    <t xml:space="preserve">GH Cardio </t>
  </si>
  <si>
    <t xml:space="preserve">GH Uro </t>
  </si>
  <si>
    <t>KHPA</t>
  </si>
  <si>
    <t>IQVIA/KHPA</t>
  </si>
  <si>
    <r>
      <rPr>
        <rFont val="Calibri"/>
        <color theme="1"/>
        <sz val="10.0"/>
      </rPr>
      <t xml:space="preserve">NHI </t>
    </r>
    <r>
      <rPr>
        <rFont val="Arial Unicode MS"/>
        <color theme="1"/>
        <sz val="10.0"/>
      </rPr>
      <t xml:space="preserve">시장 기준 (1개 품목 비급여 포함, 상세 시트의 제외 참고) </t>
    </r>
  </si>
  <si>
    <t>Target2)</t>
  </si>
  <si>
    <t xml:space="preserve">CL Uro </t>
  </si>
  <si>
    <t>KCPA</t>
  </si>
  <si>
    <t>IQVIA/KCPA</t>
  </si>
  <si>
    <t xml:space="preserve">Target3) </t>
  </si>
  <si>
    <t xml:space="preserve">CL IGF </t>
  </si>
  <si>
    <t xml:space="preserve">GH Nephro </t>
  </si>
  <si>
    <t>GH Neuro</t>
  </si>
  <si>
    <t xml:space="preserve">KPA </t>
  </si>
  <si>
    <t xml:space="preserve">IQVIA/KPA </t>
  </si>
  <si>
    <t xml:space="preserve">Target4) </t>
  </si>
  <si>
    <r>
      <rPr>
        <rFont val="Calibri"/>
        <color theme="1"/>
        <sz val="10.0"/>
      </rPr>
      <t>Ubist/</t>
    </r>
    <r>
      <rPr>
        <rFont val="Arial Unicode MS"/>
        <color theme="1"/>
        <sz val="10.0"/>
      </rPr>
      <t xml:space="preserve">유통 기관별 (상급, 종병, 병원, 의원, 기타 기관) </t>
    </r>
  </si>
  <si>
    <t xml:space="preserve">분석 지표 (최근 1년 매월 혹은 매분기 제시 기준) </t>
  </si>
  <si>
    <t xml:space="preserve">1) </t>
  </si>
  <si>
    <t xml:space="preserve">Market Share </t>
  </si>
  <si>
    <t xml:space="preserve">2) </t>
  </si>
  <si>
    <t xml:space="preserve">MoM </t>
  </si>
  <si>
    <t>QoQ</t>
  </si>
  <si>
    <t xml:space="preserve">3) </t>
  </si>
  <si>
    <t xml:space="preserve">YoY (MAT 최근 1년기준) </t>
  </si>
  <si>
    <t xml:space="preserve">4) </t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</si>
  <si>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</si>
  <si>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</si>
  <si>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</si>
  <si>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</si>
  <si>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</si>
  <si>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</si>
  <si>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</si>
  <si>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</si>
  <si>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</si>
  <si>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</si>
  <si>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</si>
  <si>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</si>
  <si>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</si>
  <si>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</si>
  <si>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</si>
  <si>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</si>
  <si>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</si>
  <si>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</si>
  <si>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</si>
  <si>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r>
      <rPr>
        <rFont val="Arial Unicode MS"/>
        <color theme="1"/>
        <sz val="10.0"/>
      </rPr>
      <t xml:space="preserve">전년 동월 대비 </t>
    </r>
    <r>
      <rPr>
        <rFont val="Calibri"/>
        <color theme="1"/>
        <sz val="10.0"/>
      </rPr>
      <t>G/R</t>
    </r>
  </si>
  <si>
    <t xml:space="preserve">라베칸, 라베칸듀오 </t>
  </si>
  <si>
    <t>ATC</t>
  </si>
  <si>
    <t>성분</t>
  </si>
  <si>
    <t>판매사</t>
  </si>
  <si>
    <t>제품</t>
  </si>
  <si>
    <t>제조사</t>
  </si>
  <si>
    <t xml:space="preserve">Class Recode </t>
  </si>
  <si>
    <t xml:space="preserve">성분 Recode </t>
  </si>
  <si>
    <t>calcium carbonate p.p.t.,  esomeprazole magnesium</t>
  </si>
  <si>
    <t>경동제약</t>
  </si>
  <si>
    <t>에소카보</t>
  </si>
  <si>
    <t xml:space="preserve">PPI/제산제 FDC </t>
  </si>
  <si>
    <t>Esomeprazole</t>
  </si>
  <si>
    <t>녹십자</t>
  </si>
  <si>
    <t>에소카</t>
  </si>
  <si>
    <t>유한양행</t>
  </si>
  <si>
    <t>에소피드</t>
  </si>
  <si>
    <t>calcium carbonate p.p.t.,  esomeprazole magnesium trihydrate</t>
  </si>
  <si>
    <t>calcium carbonate p.p.t.,  lansoprazole</t>
  </si>
  <si>
    <t>구주제약</t>
  </si>
  <si>
    <t>란소 듀오</t>
  </si>
  <si>
    <t xml:space="preserve">Lansoprazole </t>
  </si>
  <si>
    <t>명문제약</t>
  </si>
  <si>
    <t>란스타</t>
  </si>
  <si>
    <t>에이치엘비제약</t>
  </si>
  <si>
    <t>란소앤</t>
  </si>
  <si>
    <t>유앤생명과학</t>
  </si>
  <si>
    <t>유니메드</t>
  </si>
  <si>
    <t>란탄 듀오</t>
  </si>
  <si>
    <t>유니온</t>
  </si>
  <si>
    <t>뉴란소 엑스</t>
  </si>
  <si>
    <t>하나제약</t>
  </si>
  <si>
    <t>란사톤 듀오</t>
  </si>
  <si>
    <t>dexlansoprazole</t>
  </si>
  <si>
    <t>동화약품</t>
  </si>
  <si>
    <t>덱실란트 디알</t>
  </si>
  <si>
    <t>다케다</t>
  </si>
  <si>
    <t>PPI</t>
  </si>
  <si>
    <t>Dexlansoprazole</t>
  </si>
  <si>
    <t>esomeprazole magnesium granule  ( as esomeprazole)</t>
  </si>
  <si>
    <t>동광제약</t>
  </si>
  <si>
    <t>에소마크</t>
  </si>
  <si>
    <t>오스코리아</t>
  </si>
  <si>
    <t>오시움</t>
  </si>
  <si>
    <t>유나이티드</t>
  </si>
  <si>
    <t>에소놀</t>
  </si>
  <si>
    <t>일성아이에스</t>
  </si>
  <si>
    <t>일성 에소멜</t>
  </si>
  <si>
    <t>일화</t>
  </si>
  <si>
    <t>에소파졸</t>
  </si>
  <si>
    <t>휴텍스</t>
  </si>
  <si>
    <t>넥시메졸</t>
  </si>
  <si>
    <t>esomeprazole magnesium trihydrate</t>
  </si>
  <si>
    <t>건일바이오팜</t>
  </si>
  <si>
    <t>엑소움</t>
  </si>
  <si>
    <t>에소프라졸</t>
  </si>
  <si>
    <t>경보제약</t>
  </si>
  <si>
    <t>넥소칸</t>
  </si>
  <si>
    <t>고려제약</t>
  </si>
  <si>
    <t>엑소시움</t>
  </si>
  <si>
    <t>광동제약</t>
  </si>
  <si>
    <t>엑시피움</t>
  </si>
  <si>
    <t>앤티시움</t>
  </si>
  <si>
    <t>국제약품</t>
  </si>
  <si>
    <t>넥시프라</t>
  </si>
  <si>
    <t>넥스팜</t>
  </si>
  <si>
    <t>에소라</t>
  </si>
  <si>
    <t>넬슨</t>
  </si>
  <si>
    <t>넬프라</t>
  </si>
  <si>
    <t>다림바이오텍</t>
  </si>
  <si>
    <t>다림 에스오메프라졸</t>
  </si>
  <si>
    <t>다산제약</t>
  </si>
  <si>
    <t>엑시다졸</t>
  </si>
  <si>
    <t>대우제약</t>
  </si>
  <si>
    <t>에소라졸</t>
  </si>
  <si>
    <t>대웅바이오</t>
  </si>
  <si>
    <t>넥시퀸</t>
  </si>
  <si>
    <t>대웅제약</t>
  </si>
  <si>
    <t>넥시어드</t>
  </si>
  <si>
    <t>대원바이오텍</t>
  </si>
  <si>
    <t>에스오텍</t>
  </si>
  <si>
    <t>에스오텍 디알</t>
  </si>
  <si>
    <t>대원제약</t>
  </si>
  <si>
    <t>에스원엠프</t>
  </si>
  <si>
    <t>대한뉴팜</t>
  </si>
  <si>
    <t>에스오엠</t>
  </si>
  <si>
    <t>대화제약</t>
  </si>
  <si>
    <t>에스오메</t>
  </si>
  <si>
    <t>동구 바이오</t>
  </si>
  <si>
    <t>오메톤 에스</t>
  </si>
  <si>
    <t>동국제약</t>
  </si>
  <si>
    <t>엑소라졸</t>
  </si>
  <si>
    <t>디에스오</t>
  </si>
  <si>
    <t>마더스</t>
  </si>
  <si>
    <t>에스오피엠</t>
  </si>
  <si>
    <t>맥널티</t>
  </si>
  <si>
    <t>넥시온</t>
  </si>
  <si>
    <t>메디카코리아</t>
  </si>
  <si>
    <t>에피움</t>
  </si>
  <si>
    <t>에스프롤</t>
  </si>
  <si>
    <t>바이넥스</t>
  </si>
  <si>
    <t>넥스라졸</t>
  </si>
  <si>
    <t>보령</t>
  </si>
  <si>
    <t>에소가드</t>
  </si>
  <si>
    <t>보령바이오 파마</t>
  </si>
  <si>
    <t>에넥시움</t>
  </si>
  <si>
    <t>비보존제약</t>
  </si>
  <si>
    <t>오메플</t>
  </si>
  <si>
    <t>삼성제약</t>
  </si>
  <si>
    <t>삼성 에스오메프라졸</t>
  </si>
  <si>
    <t>삼익제약</t>
  </si>
  <si>
    <t>오메스</t>
  </si>
  <si>
    <t>삼일제약</t>
  </si>
  <si>
    <t>엑소졸</t>
  </si>
  <si>
    <t>삼진제약</t>
  </si>
  <si>
    <t>네메올</t>
  </si>
  <si>
    <t>새한제약</t>
  </si>
  <si>
    <t>오메프로 에스</t>
  </si>
  <si>
    <t>서울제약</t>
  </si>
  <si>
    <t>네오메졸</t>
  </si>
  <si>
    <t>셀릭스</t>
  </si>
  <si>
    <t>에소멜</t>
  </si>
  <si>
    <t>셀비온</t>
  </si>
  <si>
    <t>엔티 오메</t>
  </si>
  <si>
    <t>셀트리온제약</t>
  </si>
  <si>
    <t>에소졸</t>
  </si>
  <si>
    <t>신일제약</t>
  </si>
  <si>
    <t>신에소메</t>
  </si>
  <si>
    <t>신풍제약</t>
  </si>
  <si>
    <t>에스넥졸</t>
  </si>
  <si>
    <t>씨엠지제약</t>
  </si>
  <si>
    <t>에소넬</t>
  </si>
  <si>
    <t>씨티씨바이오</t>
  </si>
  <si>
    <t>에소리움</t>
  </si>
  <si>
    <t>아스트라제네카</t>
  </si>
  <si>
    <t>넥시움</t>
  </si>
  <si>
    <t>아이월드</t>
  </si>
  <si>
    <t>에스메</t>
  </si>
  <si>
    <t>아이큐어</t>
  </si>
  <si>
    <t>에스프리졸</t>
  </si>
  <si>
    <t>아주약품</t>
  </si>
  <si>
    <t>아나프라졸</t>
  </si>
  <si>
    <t>안국뉴팜</t>
  </si>
  <si>
    <t>뉴 에스오프라</t>
  </si>
  <si>
    <t>안국약품</t>
  </si>
  <si>
    <t>에소펠</t>
  </si>
  <si>
    <t>유스메졸</t>
  </si>
  <si>
    <t>유영제약</t>
  </si>
  <si>
    <t>알리코</t>
  </si>
  <si>
    <t>넥시리움</t>
  </si>
  <si>
    <t>알보젠코리아</t>
  </si>
  <si>
    <t>에스오피라졸</t>
  </si>
  <si>
    <t>케이엠에스</t>
  </si>
  <si>
    <t>알피바이오</t>
  </si>
  <si>
    <t>알피에소</t>
  </si>
  <si>
    <t>넥시오메</t>
  </si>
  <si>
    <t>에이프로젠바이오로직스</t>
  </si>
  <si>
    <t>에소메라</t>
  </si>
  <si>
    <t>엔비케이제약</t>
  </si>
  <si>
    <t>넥시엔</t>
  </si>
  <si>
    <t>엘앤씨바이오</t>
  </si>
  <si>
    <t>에소메</t>
  </si>
  <si>
    <t>영일제약</t>
  </si>
  <si>
    <t>에스오</t>
  </si>
  <si>
    <t>영진약품</t>
  </si>
  <si>
    <t>엑스메졸</t>
  </si>
  <si>
    <t>영풍제약</t>
  </si>
  <si>
    <t>에스오멕스</t>
  </si>
  <si>
    <t>오스템파마</t>
  </si>
  <si>
    <t>오스템 에스오메프라졸</t>
  </si>
  <si>
    <t>오스틴</t>
  </si>
  <si>
    <t>이소졸</t>
  </si>
  <si>
    <t>옵투스제약</t>
  </si>
  <si>
    <t>넥스졸</t>
  </si>
  <si>
    <t>원광제약</t>
  </si>
  <si>
    <t>오메원</t>
  </si>
  <si>
    <t>위더스제약</t>
  </si>
  <si>
    <t>에스라졸</t>
  </si>
  <si>
    <t>에소시드</t>
  </si>
  <si>
    <t>유니시움</t>
  </si>
  <si>
    <t>유유제약</t>
  </si>
  <si>
    <t>에소원</t>
  </si>
  <si>
    <t>이든파마</t>
  </si>
  <si>
    <t>에소프라</t>
  </si>
  <si>
    <t>이연제약</t>
  </si>
  <si>
    <t>에스베트</t>
  </si>
  <si>
    <t>일양바이오팜</t>
  </si>
  <si>
    <t>에소시움</t>
  </si>
  <si>
    <t>제뉴원사이언스</t>
  </si>
  <si>
    <t>넥스페졸</t>
  </si>
  <si>
    <t>제일약품</t>
  </si>
  <si>
    <t>에소톤</t>
  </si>
  <si>
    <t>조아제약</t>
  </si>
  <si>
    <t>에프라민</t>
  </si>
  <si>
    <t>종근당</t>
  </si>
  <si>
    <t>오엠피 에스</t>
  </si>
  <si>
    <t>중헌제약</t>
  </si>
  <si>
    <t>넥사브이</t>
  </si>
  <si>
    <t>지엘파마</t>
  </si>
  <si>
    <t>에소메딘</t>
  </si>
  <si>
    <t>진양제약</t>
  </si>
  <si>
    <t>에스졸</t>
  </si>
  <si>
    <t>케이에스제약</t>
  </si>
  <si>
    <t>엑스푸</t>
  </si>
  <si>
    <t>코러스</t>
  </si>
  <si>
    <t>넥소메</t>
  </si>
  <si>
    <t>코스맥스파마</t>
  </si>
  <si>
    <t>에스오메투</t>
  </si>
  <si>
    <t>코오롱</t>
  </si>
  <si>
    <t>코프라졸</t>
  </si>
  <si>
    <t>킴스제약</t>
  </si>
  <si>
    <t>이소메</t>
  </si>
  <si>
    <t>킵스바이오파마</t>
  </si>
  <si>
    <t>에스시움</t>
  </si>
  <si>
    <t>테라젠이텍스</t>
  </si>
  <si>
    <t>넥스온</t>
  </si>
  <si>
    <t>파비스</t>
  </si>
  <si>
    <t>예스오메</t>
  </si>
  <si>
    <t>팜비오</t>
  </si>
  <si>
    <t>이마졸</t>
  </si>
  <si>
    <t>팜젠사이언스</t>
  </si>
  <si>
    <t>에소맥스</t>
  </si>
  <si>
    <t>풍림무약</t>
  </si>
  <si>
    <t>에소메프라</t>
  </si>
  <si>
    <t>피엠지</t>
  </si>
  <si>
    <t>반젤리스</t>
  </si>
  <si>
    <t>넥스파</t>
  </si>
  <si>
    <t>한국파마</t>
  </si>
  <si>
    <t>파마 에스오메프라졸</t>
  </si>
  <si>
    <t>한국프라임제약</t>
  </si>
  <si>
    <t>에스메졸</t>
  </si>
  <si>
    <t>한미약품</t>
  </si>
  <si>
    <t>에소메졸</t>
  </si>
  <si>
    <t>한올바이오</t>
  </si>
  <si>
    <t>한시움</t>
  </si>
  <si>
    <t>한풍제약</t>
  </si>
  <si>
    <t>오메나</t>
  </si>
  <si>
    <t>한화제약</t>
  </si>
  <si>
    <t>넥스프라졸</t>
  </si>
  <si>
    <t>현대약품</t>
  </si>
  <si>
    <t>에이치프라졸</t>
  </si>
  <si>
    <t>화이트생명과학</t>
  </si>
  <si>
    <t>넥세라</t>
  </si>
  <si>
    <t>화일약품</t>
  </si>
  <si>
    <t>에소엠피</t>
  </si>
  <si>
    <t>환인제약</t>
  </si>
  <si>
    <t>에스메프졸</t>
  </si>
  <si>
    <t>휴비스트제약</t>
  </si>
  <si>
    <t>휴비메졸</t>
  </si>
  <si>
    <t>휴온스</t>
  </si>
  <si>
    <t>에스엠프라</t>
  </si>
  <si>
    <t>휴온스메디텍</t>
  </si>
  <si>
    <t>에프라졸</t>
  </si>
  <si>
    <t>JW신약</t>
  </si>
  <si>
    <t>넥시알디</t>
  </si>
  <si>
    <t>JW중외제약</t>
  </si>
  <si>
    <t>esomeprazole magnesium trihydrate  ( as esomeprazole)</t>
  </si>
  <si>
    <t>에스코텐</t>
  </si>
  <si>
    <t>esomeprazole magnesium trihydrate  ( as esomeprazole),  magnesium hydroxide</t>
  </si>
  <si>
    <t>에소메졸 플러스</t>
  </si>
  <si>
    <t>esomeprazole magnesium trihydrate  ( as esomeprazole),  sodium bicarbonate</t>
  </si>
  <si>
    <t>에소듀오</t>
  </si>
  <si>
    <t>esomeprazole magnesium trihydrate,  sodium bicarbonate</t>
  </si>
  <si>
    <t>에소비카</t>
  </si>
  <si>
    <t>에스엠 듀오</t>
  </si>
  <si>
    <t>에피움 듀오</t>
  </si>
  <si>
    <t>네메올 듀오</t>
  </si>
  <si>
    <t>삼천당</t>
  </si>
  <si>
    <t>넥스졸 듀오</t>
  </si>
  <si>
    <t>에소프로</t>
  </si>
  <si>
    <t>에소리움 플러스</t>
  </si>
  <si>
    <t>안국뉴팜 에스오플러스</t>
  </si>
  <si>
    <t>에스오에스</t>
  </si>
  <si>
    <t>넥시리움듀오</t>
  </si>
  <si>
    <t>에스라졸 듀오</t>
  </si>
  <si>
    <t>에소프라 듀오</t>
  </si>
  <si>
    <t>에스졸 듀오</t>
  </si>
  <si>
    <t>에소미트</t>
  </si>
  <si>
    <t>에소맥스 듀오</t>
  </si>
  <si>
    <t>넥스파 듀오</t>
  </si>
  <si>
    <t>에소탄</t>
  </si>
  <si>
    <t>에스메졸 듀오</t>
  </si>
  <si>
    <t>한림제약</t>
  </si>
  <si>
    <t>에소원 탑</t>
  </si>
  <si>
    <t>넥시 듀오</t>
  </si>
  <si>
    <t>베스듀오</t>
  </si>
  <si>
    <t>esomeprazole Strontium Tetrahydrate</t>
  </si>
  <si>
    <t>fexuprazan hydrochloride</t>
  </si>
  <si>
    <t>위캡</t>
  </si>
  <si>
    <t xml:space="preserve">P-CAB </t>
  </si>
  <si>
    <t xml:space="preserve">Fexuprazan </t>
  </si>
  <si>
    <t>펙수클루</t>
  </si>
  <si>
    <t>아이엔테라퓨틱스</t>
  </si>
  <si>
    <t>벨록스캡</t>
  </si>
  <si>
    <t>에스피씨</t>
  </si>
  <si>
    <t>앱시토</t>
  </si>
  <si>
    <t>ilaprazole</t>
  </si>
  <si>
    <t>일양약품</t>
  </si>
  <si>
    <t>놀텍</t>
  </si>
  <si>
    <t>Ilaprazole</t>
  </si>
  <si>
    <t>ilaprazole,  sodium bicarbonate</t>
  </si>
  <si>
    <t>놀텍 플러스</t>
  </si>
  <si>
    <t>lansoprazole</t>
  </si>
  <si>
    <t>란시드</t>
  </si>
  <si>
    <t>란스터</t>
  </si>
  <si>
    <t>란프라</t>
  </si>
  <si>
    <t>란스톤 엘에프디티</t>
  </si>
  <si>
    <t>란소드</t>
  </si>
  <si>
    <t>란프톤</t>
  </si>
  <si>
    <t>란시졸</t>
  </si>
  <si>
    <t>유니란소</t>
  </si>
  <si>
    <t>뉴란소</t>
  </si>
  <si>
    <t>란소멜</t>
  </si>
  <si>
    <t>제뉴파마</t>
  </si>
  <si>
    <t>란시라</t>
  </si>
  <si>
    <t>제일 란스톤</t>
  </si>
  <si>
    <t>태준제약</t>
  </si>
  <si>
    <t>모노리툼 플라스</t>
  </si>
  <si>
    <t>란프졸</t>
  </si>
  <si>
    <t>피엠지 란스탑</t>
  </si>
  <si>
    <t>란사톤</t>
  </si>
  <si>
    <t>다프라</t>
  </si>
  <si>
    <t>란소졸</t>
  </si>
  <si>
    <t>현대 란소프라졸</t>
  </si>
  <si>
    <t>란소큐</t>
  </si>
  <si>
    <t>위란톤</t>
  </si>
  <si>
    <t>lansoprazole,  precipitated calcium carbonate</t>
  </si>
  <si>
    <t>magnesium oxide,  rabeprazole sodium</t>
  </si>
  <si>
    <t>라피 듀오</t>
  </si>
  <si>
    <t xml:space="preserve">Rabeprazole </t>
  </si>
  <si>
    <t>omeprazole</t>
  </si>
  <si>
    <t>애니시드</t>
  </si>
  <si>
    <t>Omeprazole</t>
  </si>
  <si>
    <t>대한뉴팜 오엠프라졸</t>
  </si>
  <si>
    <t>오프라졸</t>
  </si>
  <si>
    <t>오메톤</t>
  </si>
  <si>
    <t>오메프투</t>
  </si>
  <si>
    <t>바이넥스 오메프라졸</t>
  </si>
  <si>
    <t>성원애드콕</t>
  </si>
  <si>
    <t>오메푸졸</t>
  </si>
  <si>
    <t>셀비온 오메프란</t>
  </si>
  <si>
    <t>셀트리온 오메프라졸</t>
  </si>
  <si>
    <t>시어스제약</t>
  </si>
  <si>
    <t>오메그린</t>
  </si>
  <si>
    <t>바로메졸</t>
  </si>
  <si>
    <t>아주 오메프라졸</t>
  </si>
  <si>
    <t>큐라졸</t>
  </si>
  <si>
    <t>오큐졸</t>
  </si>
  <si>
    <t>오멕스</t>
  </si>
  <si>
    <t>오메딘</t>
  </si>
  <si>
    <t>오프라</t>
  </si>
  <si>
    <t>이연 오메프라졸</t>
  </si>
  <si>
    <t>익수제약</t>
  </si>
  <si>
    <t>오메타졸</t>
  </si>
  <si>
    <t>일동제약</t>
  </si>
  <si>
    <t>오메큐</t>
  </si>
  <si>
    <t>오엠피</t>
  </si>
  <si>
    <t>아메졸</t>
  </si>
  <si>
    <t>오메존</t>
  </si>
  <si>
    <t>오프졸</t>
  </si>
  <si>
    <t>오메다</t>
  </si>
  <si>
    <t>오메졸</t>
  </si>
  <si>
    <t>엠프라</t>
  </si>
  <si>
    <t>오메프라존</t>
  </si>
  <si>
    <t>SK케미칼</t>
  </si>
  <si>
    <t>오메드</t>
  </si>
  <si>
    <t>omeprazole, sodium bicarbonate</t>
  </si>
  <si>
    <t>제로시드</t>
  </si>
  <si>
    <t>애보트</t>
  </si>
  <si>
    <t>가나플럭스</t>
  </si>
  <si>
    <t>pantoprazole sodium sesquihydrate  ( as pantoprazole)</t>
  </si>
  <si>
    <t>판포졸</t>
  </si>
  <si>
    <t>Pantoprazole</t>
  </si>
  <si>
    <t>경보 토프라졸</t>
  </si>
  <si>
    <t>판테졸</t>
  </si>
  <si>
    <t>동아에스티</t>
  </si>
  <si>
    <t>판토라인</t>
  </si>
  <si>
    <t>판토시드</t>
  </si>
  <si>
    <t>판토라</t>
  </si>
  <si>
    <t>익스트림</t>
  </si>
  <si>
    <t>판타릴</t>
  </si>
  <si>
    <t>판테온</t>
  </si>
  <si>
    <t>판프라졸</t>
  </si>
  <si>
    <t>판터롤</t>
  </si>
  <si>
    <t>판토케이</t>
  </si>
  <si>
    <t>판토원</t>
  </si>
  <si>
    <t>펩타졸</t>
  </si>
  <si>
    <t>판토스탁</t>
  </si>
  <si>
    <t>판피록</t>
  </si>
  <si>
    <t>판토록</t>
  </si>
  <si>
    <t>precipitated calcium carbonate,  rabeprazole sodium</t>
  </si>
  <si>
    <t>라베가드</t>
  </si>
  <si>
    <t>라베드 온</t>
  </si>
  <si>
    <t>카라 듀오</t>
  </si>
  <si>
    <t>rabeprazole sodium</t>
  </si>
  <si>
    <t>라베건</t>
  </si>
  <si>
    <t>베프졸</t>
  </si>
  <si>
    <t>경보 라베프라졸</t>
  </si>
  <si>
    <t>라비엠</t>
  </si>
  <si>
    <t>라베민</t>
  </si>
  <si>
    <t>파라베졸</t>
  </si>
  <si>
    <t>라베파졸</t>
  </si>
  <si>
    <t>대웅 라베프라졸</t>
  </si>
  <si>
    <t>파리원</t>
  </si>
  <si>
    <t>파리벤</t>
  </si>
  <si>
    <t>라피졸</t>
  </si>
  <si>
    <t>라베라톤</t>
  </si>
  <si>
    <t>더유제약</t>
  </si>
  <si>
    <t>파리엔</t>
  </si>
  <si>
    <t>라베스타</t>
  </si>
  <si>
    <t>라베프리</t>
  </si>
  <si>
    <t>라베드</t>
  </si>
  <si>
    <t>동성제약</t>
  </si>
  <si>
    <t>동성 라베프라졸</t>
  </si>
  <si>
    <t>라베 플러스</t>
  </si>
  <si>
    <t>라이트팜텍</t>
  </si>
  <si>
    <t>라프라이트</t>
  </si>
  <si>
    <t>라베 엠</t>
  </si>
  <si>
    <t>라베라 엠</t>
  </si>
  <si>
    <t>라베투</t>
  </si>
  <si>
    <t>라베움</t>
  </si>
  <si>
    <t>메딕스제약</t>
  </si>
  <si>
    <t>메딕스 라베핀</t>
  </si>
  <si>
    <t>바스칸바이오제약</t>
  </si>
  <si>
    <t>레프라졸</t>
  </si>
  <si>
    <t>라베넥스</t>
  </si>
  <si>
    <t>라베맥스</t>
  </si>
  <si>
    <t>라바졸</t>
  </si>
  <si>
    <t>비보존 라베프라졸</t>
  </si>
  <si>
    <t>삼성 라베프라졸</t>
  </si>
  <si>
    <t>삼아제약</t>
  </si>
  <si>
    <t>파리아졸</t>
  </si>
  <si>
    <t>드라베</t>
  </si>
  <si>
    <t>라베올</t>
  </si>
  <si>
    <t>라베</t>
  </si>
  <si>
    <t>서흥</t>
  </si>
  <si>
    <t>라라베</t>
  </si>
  <si>
    <t>라베젠</t>
  </si>
  <si>
    <t>얼사라</t>
  </si>
  <si>
    <t>뉴라베</t>
  </si>
  <si>
    <t>라베리트</t>
  </si>
  <si>
    <t>라피에스</t>
  </si>
  <si>
    <t>베라졸</t>
  </si>
  <si>
    <t>씨엠지 라베프라졸</t>
  </si>
  <si>
    <t>라프라졸</t>
  </si>
  <si>
    <t>라프리졸</t>
  </si>
  <si>
    <t>파리아톤</t>
  </si>
  <si>
    <t>뉴베라</t>
  </si>
  <si>
    <t>라베톤</t>
  </si>
  <si>
    <t>피아이졸</t>
  </si>
  <si>
    <t>파비라졸</t>
  </si>
  <si>
    <t>알피라베</t>
  </si>
  <si>
    <t>라베피아</t>
  </si>
  <si>
    <t>에이치케이이노엔</t>
  </si>
  <si>
    <t>라베원</t>
  </si>
  <si>
    <t>에이프로젠 라베프라졸</t>
  </si>
  <si>
    <t>에자이</t>
  </si>
  <si>
    <t>파리에트</t>
  </si>
  <si>
    <t>라벤프</t>
  </si>
  <si>
    <t>파비졸</t>
  </si>
  <si>
    <t>오코라졸</t>
  </si>
  <si>
    <t>빠리바</t>
  </si>
  <si>
    <t>레이프라</t>
  </si>
  <si>
    <t>로베돌</t>
  </si>
  <si>
    <t>유니라베프</t>
  </si>
  <si>
    <t>라베트라</t>
  </si>
  <si>
    <t>라베라</t>
  </si>
  <si>
    <t>네오베트</t>
  </si>
  <si>
    <t>라비에트</t>
  </si>
  <si>
    <t>라베린</t>
  </si>
  <si>
    <t>라베르</t>
  </si>
  <si>
    <t>벤프라</t>
  </si>
  <si>
    <t>뉴라벨</t>
  </si>
  <si>
    <t>라베프롤</t>
  </si>
  <si>
    <t>라베프론</t>
  </si>
  <si>
    <t>에스프라</t>
  </si>
  <si>
    <t>라베에트</t>
  </si>
  <si>
    <t>피피라졸</t>
  </si>
  <si>
    <t>라페졸</t>
  </si>
  <si>
    <t>글로라베</t>
  </si>
  <si>
    <t>라베졸</t>
  </si>
  <si>
    <t>티디에스팜</t>
  </si>
  <si>
    <t>티디라베</t>
  </si>
  <si>
    <t>파마킹</t>
  </si>
  <si>
    <t>라베트</t>
  </si>
  <si>
    <t>파비스 라베프라졸</t>
  </si>
  <si>
    <t>라벨라</t>
  </si>
  <si>
    <t>라비파</t>
  </si>
  <si>
    <t>라베프란</t>
  </si>
  <si>
    <t>파라메트</t>
  </si>
  <si>
    <t>하원제약</t>
  </si>
  <si>
    <t>라베스틴</t>
  </si>
  <si>
    <t>라베프린</t>
  </si>
  <si>
    <t>라베핀</t>
  </si>
  <si>
    <t>라베폰</t>
  </si>
  <si>
    <t>레스프라졸</t>
  </si>
  <si>
    <t>라베프졸</t>
  </si>
  <si>
    <t>라베탑</t>
  </si>
  <si>
    <t>환인 라베프라졸</t>
  </si>
  <si>
    <t>라베휴</t>
  </si>
  <si>
    <t>라베스토</t>
  </si>
  <si>
    <t>라베라즈</t>
  </si>
  <si>
    <t>휴온스생명과학</t>
  </si>
  <si>
    <t>라베나</t>
  </si>
  <si>
    <t>파리나졸</t>
  </si>
  <si>
    <t>라베로즈</t>
  </si>
  <si>
    <t>rabeprazole sodium,  sodium bicarbonate</t>
  </si>
  <si>
    <t>라베비카</t>
  </si>
  <si>
    <t>라비 듀오</t>
  </si>
  <si>
    <t>라베듀엣</t>
  </si>
  <si>
    <t>라베올 듀오</t>
  </si>
  <si>
    <t>라베뉴</t>
  </si>
  <si>
    <t>라베듀오</t>
  </si>
  <si>
    <t>라베미니</t>
  </si>
  <si>
    <t>라베라듀오</t>
  </si>
  <si>
    <t>라비에트 듀오</t>
  </si>
  <si>
    <t>파라메트 듀오</t>
  </si>
  <si>
    <t>라베프탑</t>
  </si>
  <si>
    <t>라베모어</t>
  </si>
  <si>
    <t>라베칸 듀오</t>
  </si>
  <si>
    <t>revaprazan</t>
  </si>
  <si>
    <t>레바넥스</t>
  </si>
  <si>
    <t>Revaprazan</t>
  </si>
  <si>
    <t>s-pantoprazole sodium trihydrate  ( as s-pantoprazole)</t>
  </si>
  <si>
    <t>레토프라</t>
  </si>
  <si>
    <t xml:space="preserve">S-pantoprazole </t>
  </si>
  <si>
    <t>tegoprazan</t>
  </si>
  <si>
    <t>케이캡</t>
  </si>
  <si>
    <t>Tegoprazan</t>
  </si>
  <si>
    <t>zastaprazan citrate</t>
  </si>
  <si>
    <t>자큐보</t>
  </si>
  <si>
    <t>온코닉테라퓨틱스</t>
  </si>
  <si>
    <t>Zastaprazan</t>
  </si>
  <si>
    <t>큐제타스</t>
  </si>
  <si>
    <t>제일헬스사이언스</t>
  </si>
  <si>
    <t>온캡</t>
  </si>
  <si>
    <t xml:space="preserve">IQVIA </t>
  </si>
  <si>
    <t xml:space="preserve">제이클 </t>
  </si>
  <si>
    <t>MOLECULE DESC</t>
  </si>
  <si>
    <t>MFR NAME KOR</t>
  </si>
  <si>
    <t xml:space="preserve">Recode 제형 </t>
  </si>
  <si>
    <t xml:space="preserve">Recode Class(성분) </t>
  </si>
  <si>
    <t xml:space="preserve">Remark </t>
  </si>
  <si>
    <t>A06B1</t>
  </si>
  <si>
    <t>OSMOTIC BOWEL CLEANSERS</t>
  </si>
  <si>
    <t>ASCORBIC ACID+SODIUM+SORBITOL</t>
  </si>
  <si>
    <t>원프렙</t>
  </si>
  <si>
    <t>건강약품</t>
  </si>
  <si>
    <t>산제</t>
  </si>
  <si>
    <t>기타</t>
  </si>
  <si>
    <t>CITRIC ACID+MAGNESIUM+PICOSULFURIC ACID</t>
  </si>
  <si>
    <t>피코솔루션</t>
  </si>
  <si>
    <t>한국팜비오</t>
  </si>
  <si>
    <t>액제</t>
  </si>
  <si>
    <t xml:space="preserve">SPMC </t>
  </si>
  <si>
    <t>피코라이트</t>
  </si>
  <si>
    <t>씨엠라이트</t>
  </si>
  <si>
    <t>씨엠지</t>
  </si>
  <si>
    <t>켐라이트</t>
  </si>
  <si>
    <t>피콜렙</t>
  </si>
  <si>
    <t>피코프리</t>
  </si>
  <si>
    <t>삼천당제약</t>
  </si>
  <si>
    <t>콜론피코</t>
  </si>
  <si>
    <t>피코네이드</t>
  </si>
  <si>
    <t>MACROGOL(S)+PICOSULFURIC ACID+SORBITOL</t>
  </si>
  <si>
    <t>세이프렙</t>
  </si>
  <si>
    <t xml:space="preserve">PEG 기타 </t>
  </si>
  <si>
    <t>쿨리파</t>
  </si>
  <si>
    <t>MAGNESIUM+POTASSIUM+SIMETICONE+SODIUM</t>
  </si>
  <si>
    <t>오라팡</t>
  </si>
  <si>
    <t>경구</t>
  </si>
  <si>
    <t xml:space="preserve">Trisulfate </t>
  </si>
  <si>
    <t>MAGNESIUM+POTASSIUM+SODIUM</t>
  </si>
  <si>
    <t>수클리어</t>
  </si>
  <si>
    <t>수프렙미니</t>
  </si>
  <si>
    <t>이노프리</t>
  </si>
  <si>
    <t>수프렙</t>
  </si>
  <si>
    <t>MAGNESIUM+POTASSIUM+SULFURIC ACID</t>
  </si>
  <si>
    <t>이노쿨</t>
  </si>
  <si>
    <t>인트로바이오파마</t>
  </si>
  <si>
    <t>PHOSPHORIC ACID</t>
  </si>
  <si>
    <t>크리콜론</t>
  </si>
  <si>
    <t>넥스콜론</t>
  </si>
  <si>
    <t>포스파놀</t>
  </si>
  <si>
    <t>하이플생명과학</t>
  </si>
  <si>
    <t>크리콜론에스</t>
  </si>
  <si>
    <t>PHOSPHORIC ACID+SODIUM</t>
  </si>
  <si>
    <t>이지콜론</t>
  </si>
  <si>
    <t>부광약품</t>
  </si>
  <si>
    <t>ASCORBIC ACID+MACROGOL(S)+POTASSIUM+SIMETICONE+SODIUM</t>
  </si>
  <si>
    <t>쿨프렙골드</t>
  </si>
  <si>
    <t>PEG+Asc</t>
  </si>
  <si>
    <t>ASCORBIC ACID+MACROGOL(S)+POTASSIUM+SODIUM</t>
  </si>
  <si>
    <t>크린뷰올</t>
  </si>
  <si>
    <t>플렌뷰</t>
  </si>
  <si>
    <t>하프렙</t>
  </si>
  <si>
    <t>내시쿨</t>
  </si>
  <si>
    <t>퍼슨</t>
  </si>
  <si>
    <t>맥스쿨 파비스</t>
  </si>
  <si>
    <t>한국파비스제약</t>
  </si>
  <si>
    <t>씨엠쿨</t>
  </si>
  <si>
    <t>프리프렙</t>
  </si>
  <si>
    <t>엔도클린</t>
  </si>
  <si>
    <t>쿨라이트</t>
  </si>
  <si>
    <t>크린프렙</t>
  </si>
  <si>
    <t>크리쿨</t>
  </si>
  <si>
    <t>레디프리</t>
  </si>
  <si>
    <t>ASCORBIC ACID+MACROGOL(S)+POTASSIUM+SODIUM+SULFURIC ACID</t>
  </si>
  <si>
    <t>쿨프렙</t>
  </si>
  <si>
    <t>에스콜론</t>
  </si>
  <si>
    <t>알보젠</t>
  </si>
  <si>
    <t>MACROGOL(S)+POTASSIUM+SODIUM</t>
  </si>
  <si>
    <t>코리트</t>
  </si>
  <si>
    <t>PEG</t>
  </si>
  <si>
    <t>코리트에프</t>
  </si>
  <si>
    <t xml:space="preserve">PEG </t>
  </si>
  <si>
    <t>MAGNESIUM+PICOSULFURIC ACID+POTASSIUM+SIMETICONE+SULFURIC ACID</t>
  </si>
  <si>
    <t>클린콜 대웅</t>
  </si>
  <si>
    <t xml:space="preserve">Trisulfate/Picosulfate </t>
  </si>
  <si>
    <t>제이더블유중외제약</t>
  </si>
  <si>
    <t>오라팡이지</t>
  </si>
  <si>
    <t>POTASSIUM+SIMETICONE+SODIUM</t>
  </si>
  <si>
    <t>수프렙미니에스</t>
  </si>
  <si>
    <t xml:space="preserve">Sulfate 2종 </t>
  </si>
  <si>
    <t xml:space="preserve">*Trisulfate에 포함 필요 </t>
  </si>
  <si>
    <t xml:space="preserve">가드렛, 가드메트 </t>
  </si>
  <si>
    <t xml:space="preserve">제형 Recode </t>
  </si>
  <si>
    <t>ALOGLIPTIN+METFORMIN</t>
  </si>
  <si>
    <t>DPP-4i+MET</t>
  </si>
  <si>
    <t>Oral</t>
  </si>
  <si>
    <t>ANAGLIPTIN+METFORMIN</t>
  </si>
  <si>
    <t>EVOGLIPTIN+METFORMIN</t>
  </si>
  <si>
    <t>GEMIGLIPTIN+METFORMIN</t>
  </si>
  <si>
    <t>LINAGLIPTIN+METFORMIN</t>
  </si>
  <si>
    <t>METFORMIN+SAXAGLIPTIN</t>
  </si>
  <si>
    <t>METFORMIN+SITAGLIPTIN</t>
  </si>
  <si>
    <t>METFORMIN+TENELIGLIPTIN</t>
  </si>
  <si>
    <t>METFORMIN+VILDAGLIPTIN</t>
  </si>
  <si>
    <t>GLP-1 AGONIST A-DIABS</t>
  </si>
  <si>
    <t>DULAGLUTIDE</t>
  </si>
  <si>
    <t>GLP-1RA</t>
  </si>
  <si>
    <t>Inj</t>
  </si>
  <si>
    <t>LIRAGLUTIDE</t>
  </si>
  <si>
    <t>SEMAGLUTIDE</t>
  </si>
  <si>
    <t>TIRZEPATIDE</t>
  </si>
  <si>
    <t xml:space="preserve">GLP-1RA(/GIP) </t>
  </si>
  <si>
    <t xml:space="preserve">*GLP-1RA 시장에 통합 </t>
  </si>
  <si>
    <t>ALOGLIPTIN</t>
  </si>
  <si>
    <t>DPP-4i</t>
  </si>
  <si>
    <t>ANAGLIPTIN</t>
  </si>
  <si>
    <t>EVOGLIPTIN</t>
  </si>
  <si>
    <t>GEMIGLIPTIN</t>
  </si>
  <si>
    <t>LINAGLIPTIN</t>
  </si>
  <si>
    <t>SAXAGLIPTIN</t>
  </si>
  <si>
    <t>SITAGLIPTIN</t>
  </si>
  <si>
    <t>TENELIGLIPTIN</t>
  </si>
  <si>
    <t>VILDAGLIPTIN</t>
  </si>
  <si>
    <t>DAPAGLIFLOZIN</t>
  </si>
  <si>
    <t>SGLT-2i</t>
  </si>
  <si>
    <t>EMPAGLIFLOZIN</t>
  </si>
  <si>
    <t>ENAVOGLIFLOZIN</t>
  </si>
  <si>
    <t>ERTUGLIFLOZIN</t>
  </si>
  <si>
    <t>IPRAGLIFLOZIN</t>
  </si>
  <si>
    <t>H INSUL+ANA LONG ACT</t>
  </si>
  <si>
    <t>INSULIN DEGLUDEC</t>
  </si>
  <si>
    <t>초장시간/장시간(지속형) 인슐린</t>
  </si>
  <si>
    <t>INSULIN DETEMIR</t>
  </si>
  <si>
    <t>INSULIN GLARGINE</t>
  </si>
  <si>
    <t>DAPAGLIFLOZIN+METFORMIN</t>
  </si>
  <si>
    <t>SGLT-2i+MET</t>
  </si>
  <si>
    <t>EMPAGLIFLOZIN+METFORMIN</t>
  </si>
  <si>
    <t>ENAVOGLIFLOZIN+METFORMIN</t>
  </si>
  <si>
    <t>METFORMIN</t>
  </si>
  <si>
    <t>MET</t>
  </si>
  <si>
    <t>GLIBENCLAMIDE</t>
  </si>
  <si>
    <t>SU</t>
  </si>
  <si>
    <t>GLICLAZIDE</t>
  </si>
  <si>
    <t>GLIMEPIRIDE</t>
  </si>
  <si>
    <t>GLIPIZIDE</t>
  </si>
  <si>
    <t>H INSUL+AN I- OR L-A+F-A</t>
  </si>
  <si>
    <t>INSULIN ASPART+INSULIN ASPART PROTAMINE CRYSTALLINE</t>
  </si>
  <si>
    <t>혼합형 인슐린</t>
  </si>
  <si>
    <t>INSULIN ASPART+INSULIN DEGLUDEC</t>
  </si>
  <si>
    <t>INSULIN HUMAN BASE+INSULIN HUMAN ISOPHANE</t>
  </si>
  <si>
    <t>INSULIN LISPRO+INSULIN LISPRO PROTAMINE</t>
  </si>
  <si>
    <t>GLITAZONE A-DIABS PLAIN</t>
  </si>
  <si>
    <t>LOBEGLITAZONE</t>
  </si>
  <si>
    <t>TZD</t>
  </si>
  <si>
    <t>PIOGLITAZONE</t>
  </si>
  <si>
    <t>H INSUL+ANA FAST ACT</t>
  </si>
  <si>
    <t>INSULIN ASPART</t>
  </si>
  <si>
    <t>초속효성/속효성 인슐린</t>
  </si>
  <si>
    <t>INSULIN GLULISINE</t>
  </si>
  <si>
    <t>INSULIN HUMAN BASE</t>
  </si>
  <si>
    <t>INSULIN LISPRO</t>
  </si>
  <si>
    <t>OTH H INSULINS+ANALOGUES</t>
  </si>
  <si>
    <t>INSULIN DEGLUDEC+LIRAGLUTIDE</t>
  </si>
  <si>
    <t xml:space="preserve">인슐린+GLP-1RA FRC </t>
  </si>
  <si>
    <t>INSULIN GLARGINE+LIXISENATIDE</t>
  </si>
  <si>
    <t>SGLT2 INH&amp;DPP-IV INH COM</t>
  </si>
  <si>
    <t>DAPAGLIFLOZIN+EVOGLIPTIN</t>
  </si>
  <si>
    <t>DPP-4i+SGLT-2i</t>
  </si>
  <si>
    <t>DAPAGLIFLOZIN+GEMIGLIPTIN</t>
  </si>
  <si>
    <t>DAPAGLIFLOZIN+LINAGLIPTIN</t>
  </si>
  <si>
    <t>DAPAGLIFLOZIN+SAXAGLIPTIN</t>
  </si>
  <si>
    <t>DAPAGLIFLOZIN+SITAGLIPTIN</t>
  </si>
  <si>
    <t>EMPAGLIFLOZIN+LINAGLIPTIN</t>
  </si>
  <si>
    <t>EMPAGLIFLOZIN+SITAGLIPTIN</t>
  </si>
  <si>
    <t>ERTUGLIFLOZIN+SITAGLIPTIN</t>
  </si>
  <si>
    <t>SGLT2 INH A-DIAB COM OTH</t>
  </si>
  <si>
    <t>DAPAGLIFLOZIN+EVOGLIPTIN+METFORMIN</t>
  </si>
  <si>
    <t>DPP-4i+SGLT-2i+MET</t>
  </si>
  <si>
    <t>DAPAGLIFLOZIN+GLIMEPIRIDE</t>
  </si>
  <si>
    <t>SGLT-2i+SU</t>
  </si>
  <si>
    <t>DAPAGLIFLOZIN+METFORMIN+SITAGLIPTIN</t>
  </si>
  <si>
    <t>DAPAGLIFLOZIN+PIOGLITAZONE</t>
  </si>
  <si>
    <t>SGLT-2i+TZD</t>
  </si>
  <si>
    <t>EMPAGLIFLOZIN+METFORMIN+SITAGLIPTIN</t>
  </si>
  <si>
    <t>BIGUANIDE &amp; S-UREA COMBS</t>
  </si>
  <si>
    <t>GLIBENCLAMIDE+METFORMIN</t>
  </si>
  <si>
    <t>MET+SU</t>
  </si>
  <si>
    <t>GLICLAZIDE+METFORMIN</t>
  </si>
  <si>
    <t>GLIMEPIRIDE+METFORMIN</t>
  </si>
  <si>
    <t>DPP-IV INHIB COMBS OTH</t>
  </si>
  <si>
    <t>ALOGLIPTIN+PIOGLITAZONE</t>
  </si>
  <si>
    <t>DPP-4i+TZD</t>
  </si>
  <si>
    <t>LOBEGLITAZONE+METFORMIN+SITAGLIPTIN</t>
  </si>
  <si>
    <t>DPP-4i+TZD+MET</t>
  </si>
  <si>
    <t>LOBEGLITAZONE+SITAGLIPTIN</t>
  </si>
  <si>
    <t>PIOGLITAZONE+SITAGLIPTIN</t>
  </si>
  <si>
    <t>GLITAZONE &amp; BIGUAN COMBS</t>
  </si>
  <si>
    <t>LOBEGLITAZONE+METFORMIN</t>
  </si>
  <si>
    <t>MET+TZD</t>
  </si>
  <si>
    <t>METFORMIN+PIOGLITAZONE</t>
  </si>
  <si>
    <t>A-GLUCOSIDASE INH A-DIAB</t>
  </si>
  <si>
    <t>ACARBOSE</t>
  </si>
  <si>
    <t>AGI</t>
  </si>
  <si>
    <t>VOGLIBOSE</t>
  </si>
  <si>
    <t>MIGLITOL</t>
  </si>
  <si>
    <t>H INSUL+ANA INTERMED ACT</t>
  </si>
  <si>
    <t>INSULIN HUMAN ISOPHANE</t>
  </si>
  <si>
    <t>중간형 인슐린</t>
  </si>
  <si>
    <t>MITIGLINIDE</t>
  </si>
  <si>
    <t>Meglitinide</t>
  </si>
  <si>
    <t>REPAGLINIDE</t>
  </si>
  <si>
    <t>NATEGLINIDE</t>
  </si>
  <si>
    <t>GLITAZONE &amp; S-UREA COMBS</t>
  </si>
  <si>
    <t>GLIMEPIRIDE+PIOGLITAZONE</t>
  </si>
  <si>
    <t>SU+TZD</t>
  </si>
  <si>
    <t>METFORMIN+MITIGLINIDE</t>
  </si>
  <si>
    <t>MET+Meglitinide</t>
  </si>
  <si>
    <t>BIGUANIDE A-DIAB COM OTH</t>
  </si>
  <si>
    <t>METFORMIN+VOGLIBOSE</t>
  </si>
  <si>
    <t>MET+AGI</t>
  </si>
  <si>
    <t xml:space="preserve">타발리스 </t>
  </si>
  <si>
    <t>PACK DESC</t>
  </si>
  <si>
    <t>THROMBOPOIETIN AGONISTS</t>
  </si>
  <si>
    <t>AVATROMBOPAG</t>
  </si>
  <si>
    <t>도프텔렛</t>
  </si>
  <si>
    <t>한독</t>
  </si>
  <si>
    <t>C.TAB FILM 20MG 15</t>
  </si>
  <si>
    <t>TPO-RA</t>
  </si>
  <si>
    <t>C.TAB FILM 20MG 30</t>
  </si>
  <si>
    <t>ELTROMBOPAG</t>
  </si>
  <si>
    <t>레볼레이드</t>
  </si>
  <si>
    <t>한국노바티스</t>
  </si>
  <si>
    <t>C.TAB FILM 25MG 28</t>
  </si>
  <si>
    <t>C.TAB FILM 50MG 28</t>
  </si>
  <si>
    <t>엘팍</t>
  </si>
  <si>
    <t>ROMIPLOSTIM</t>
  </si>
  <si>
    <t>로미플레이트</t>
  </si>
  <si>
    <t>한국쿄와하코기린</t>
  </si>
  <si>
    <t>V.SC DRY 0.25MG</t>
  </si>
  <si>
    <t>FOSTAMATINIB</t>
  </si>
  <si>
    <t>C.TAB FILM 100MG 60</t>
  </si>
  <si>
    <t>SKYi</t>
  </si>
  <si>
    <t>C.TAB FILM 150MG 60</t>
  </si>
  <si>
    <t>*TPO-RA : ITP 외 허가 적응증 있으며, ITP 치료 시장 규모 추산을 위해서는 Ubist 데이터 기반 수식 적용 필요 ==&gt; 시장 추산이 필요한데 이거 수식 어떻게 적용할 지 논의하면 좋겠습니다. / 해당 Ubist 데이터는 AI에 포함되지 않습니다</t>
  </si>
  <si>
    <t xml:space="preserve">시그마트 </t>
  </si>
  <si>
    <t>처방조제액(원)2026년 3월</t>
  </si>
  <si>
    <t>처방량_P2026년 3월</t>
  </si>
  <si>
    <t>Class Recode</t>
  </si>
  <si>
    <t>Molecule Recode</t>
  </si>
  <si>
    <t>isosorbide dinitrate</t>
  </si>
  <si>
    <t>이소맥</t>
  </si>
  <si>
    <t>Nitrates</t>
  </si>
  <si>
    <t>isosorbide</t>
  </si>
  <si>
    <t>에리슨제약</t>
  </si>
  <si>
    <t>이소켓</t>
  </si>
  <si>
    <t>유니팜</t>
  </si>
  <si>
    <t>앤지비드</t>
  </si>
  <si>
    <t>isosorbide mononitrate</t>
  </si>
  <si>
    <t>경풍약품</t>
  </si>
  <si>
    <t>엘탄</t>
  </si>
  <si>
    <t>이소트릴</t>
  </si>
  <si>
    <t>엘로톤</t>
  </si>
  <si>
    <t>nitroglycerin</t>
  </si>
  <si>
    <t>명문 니트로글리세린</t>
  </si>
  <si>
    <t>하나 니트로글리세린</t>
  </si>
  <si>
    <t>nitroglycerin diluted solution</t>
  </si>
  <si>
    <t>니트로링구알</t>
  </si>
  <si>
    <t>ivabradine HCl</t>
  </si>
  <si>
    <t>세르비에</t>
  </si>
  <si>
    <t>프로코라란</t>
  </si>
  <si>
    <t>Others</t>
  </si>
  <si>
    <t>ivabradine</t>
  </si>
  <si>
    <t>molsidomine</t>
  </si>
  <si>
    <t>몰시톤</t>
  </si>
  <si>
    <t>nicorandil</t>
  </si>
  <si>
    <t>바딜</t>
  </si>
  <si>
    <t>니코란</t>
  </si>
  <si>
    <t>trimetazidine 2HCl</t>
  </si>
  <si>
    <t>메타진</t>
  </si>
  <si>
    <t>trimetazidine</t>
  </si>
  <si>
    <t>트리진</t>
  </si>
  <si>
    <t>삼남제약</t>
  </si>
  <si>
    <t>삼남 염산트리메타지딘</t>
  </si>
  <si>
    <t>바스티난</t>
  </si>
  <si>
    <t>바스티난 엠알</t>
  </si>
  <si>
    <t>셀트리메</t>
  </si>
  <si>
    <t>arotinolol HCl</t>
  </si>
  <si>
    <t>알잘</t>
  </si>
  <si>
    <t>BB</t>
  </si>
  <si>
    <t>arotinolol</t>
  </si>
  <si>
    <t>알말</t>
  </si>
  <si>
    <t>atenolol</t>
  </si>
  <si>
    <t>아테놀</t>
  </si>
  <si>
    <t>대우 아테놀올</t>
  </si>
  <si>
    <t>베테놀</t>
  </si>
  <si>
    <t>아테날</t>
  </si>
  <si>
    <t>신일 아테놀올</t>
  </si>
  <si>
    <t>아놀렉스</t>
  </si>
  <si>
    <t>올테놀</t>
  </si>
  <si>
    <t>아테놀민</t>
  </si>
  <si>
    <t>케이엠에스 아테놀올</t>
  </si>
  <si>
    <t>아테나</t>
  </si>
  <si>
    <t>현대 테놀민</t>
  </si>
  <si>
    <t>betaxolol HCl</t>
  </si>
  <si>
    <t>부광 켈론</t>
  </si>
  <si>
    <t>betaxolol</t>
  </si>
  <si>
    <t>bisoprolol hemifumarate</t>
  </si>
  <si>
    <t>콩브럭</t>
  </si>
  <si>
    <t>bisoprolo</t>
  </si>
  <si>
    <t>콩크린</t>
  </si>
  <si>
    <t>콩코르</t>
  </si>
  <si>
    <t>머크</t>
  </si>
  <si>
    <t>헤미푸롤</t>
  </si>
  <si>
    <t>베타원</t>
  </si>
  <si>
    <t>베타프롤</t>
  </si>
  <si>
    <t>베타드렌</t>
  </si>
  <si>
    <t>비소폴</t>
  </si>
  <si>
    <t>carteolol hydrochloride</t>
  </si>
  <si>
    <t>오츠카</t>
  </si>
  <si>
    <t>미케란</t>
  </si>
  <si>
    <t>carteolol</t>
  </si>
  <si>
    <t>carvedilol</t>
  </si>
  <si>
    <t>건카베딜</t>
  </si>
  <si>
    <t>카딜란</t>
  </si>
  <si>
    <t>경보 카르베딜롤</t>
  </si>
  <si>
    <t>바소딜렌</t>
  </si>
  <si>
    <t>뉴딜렌</t>
  </si>
  <si>
    <t>대웅바이오 카베디아</t>
  </si>
  <si>
    <t>카베디아</t>
  </si>
  <si>
    <t>원베롤</t>
  </si>
  <si>
    <t>카디렌</t>
  </si>
  <si>
    <t>바소트롤</t>
  </si>
  <si>
    <t>디카베 엠</t>
  </si>
  <si>
    <t>카베타</t>
  </si>
  <si>
    <t>명인제약</t>
  </si>
  <si>
    <t>카터</t>
  </si>
  <si>
    <t>바이넥스 카르베딜롤</t>
  </si>
  <si>
    <t>딜라돌</t>
  </si>
  <si>
    <t>알파디롤</t>
  </si>
  <si>
    <t>카비롤</t>
  </si>
  <si>
    <t>인트랙</t>
  </si>
  <si>
    <t>카베딘</t>
  </si>
  <si>
    <t>카베날</t>
  </si>
  <si>
    <t>카르디날</t>
  </si>
  <si>
    <t>카베씨티</t>
  </si>
  <si>
    <t>뉴카르벨로</t>
  </si>
  <si>
    <t>안국 카르베딜롤</t>
  </si>
  <si>
    <t>알베롤</t>
  </si>
  <si>
    <t>알보젠 카베디롤</t>
  </si>
  <si>
    <t>카르베타</t>
  </si>
  <si>
    <t>카베올</t>
  </si>
  <si>
    <t>카베돌</t>
  </si>
  <si>
    <t>카베딜</t>
  </si>
  <si>
    <t>듀베롤</t>
  </si>
  <si>
    <t>딜라트렌</t>
  </si>
  <si>
    <t>딜라트렌 에스알 캡슐</t>
  </si>
  <si>
    <t>디란트</t>
  </si>
  <si>
    <t>글로디올</t>
  </si>
  <si>
    <t>카베트렌</t>
  </si>
  <si>
    <t>카베닐</t>
  </si>
  <si>
    <t>카르베</t>
  </si>
  <si>
    <t>카르베롤 서방캡슐</t>
  </si>
  <si>
    <t>카르베롤 정</t>
  </si>
  <si>
    <t>딜라트롤</t>
  </si>
  <si>
    <t>달라트</t>
  </si>
  <si>
    <t>carvedilol granule ( as carvedilol)</t>
  </si>
  <si>
    <t>딜라트렌 에스알 정</t>
  </si>
  <si>
    <t>metoprolol tartrate</t>
  </si>
  <si>
    <t>베타록</t>
  </si>
  <si>
    <t>metoprolol</t>
  </si>
  <si>
    <t>nadolol</t>
  </si>
  <si>
    <t>큐엘파마</t>
  </si>
  <si>
    <t>나도가드</t>
  </si>
  <si>
    <t>nebivolol hydrochloride ( as nebivolol)</t>
  </si>
  <si>
    <t>네비스톨</t>
  </si>
  <si>
    <t>nebivolo</t>
  </si>
  <si>
    <t>한국메나리니</t>
  </si>
  <si>
    <t>네비레트 엠</t>
  </si>
  <si>
    <t>nebivolol hydrochloride (as nebivolol)</t>
  </si>
  <si>
    <t>네보트론</t>
  </si>
  <si>
    <t>네비칸</t>
  </si>
  <si>
    <t>네비올렛</t>
  </si>
  <si>
    <t>초당약품</t>
  </si>
  <si>
    <t>네비롤</t>
  </si>
  <si>
    <t>네비레트</t>
  </si>
  <si>
    <t>네비베타</t>
  </si>
  <si>
    <t>propranolol hydrochloride</t>
  </si>
  <si>
    <t>인데놀</t>
  </si>
  <si>
    <t>propranolol</t>
  </si>
  <si>
    <t>테프라</t>
  </si>
  <si>
    <t>레보테놀</t>
  </si>
  <si>
    <t>sotalol HCl</t>
  </si>
  <si>
    <t>소타론</t>
  </si>
  <si>
    <t>sotalol</t>
  </si>
  <si>
    <t>amlodipine adipate</t>
  </si>
  <si>
    <t>암로스타</t>
  </si>
  <si>
    <t>DHP CCB</t>
  </si>
  <si>
    <t>amlodipine</t>
  </si>
  <si>
    <t>amlodipine besylate</t>
  </si>
  <si>
    <t>암로디바</t>
  </si>
  <si>
    <t>노바틴</t>
  </si>
  <si>
    <t>국제 암로디핀</t>
  </si>
  <si>
    <t>노바넬</t>
  </si>
  <si>
    <t>아로노바</t>
  </si>
  <si>
    <t>대웅바이오 암로디핀</t>
  </si>
  <si>
    <t>암로디젠</t>
  </si>
  <si>
    <t>암로크</t>
  </si>
  <si>
    <t>암로스핀</t>
  </si>
  <si>
    <t>동성 암로디핀</t>
  </si>
  <si>
    <t>동화 암로디핀베실산염</t>
  </si>
  <si>
    <t>엠피디핀</t>
  </si>
  <si>
    <t>메디핀</t>
  </si>
  <si>
    <t>명문 암로디핀</t>
  </si>
  <si>
    <t>노바포스</t>
  </si>
  <si>
    <t>암로원</t>
  </si>
  <si>
    <t>암베스크</t>
  </si>
  <si>
    <t>아모텐션</t>
  </si>
  <si>
    <t>비씨월드</t>
  </si>
  <si>
    <t>비씨로우</t>
  </si>
  <si>
    <t>비아트리스</t>
  </si>
  <si>
    <t>비아트리스 노바스크</t>
  </si>
  <si>
    <t>노바로크</t>
  </si>
  <si>
    <t>디로바</t>
  </si>
  <si>
    <t>서울 암로디핀베실산염</t>
  </si>
  <si>
    <t>노바디크</t>
  </si>
  <si>
    <t>노바스핀</t>
  </si>
  <si>
    <t>노바젠</t>
  </si>
  <si>
    <t>크라노스</t>
  </si>
  <si>
    <t>암베스</t>
  </si>
  <si>
    <t>신노바핀</t>
  </si>
  <si>
    <t>바로디핀</t>
  </si>
  <si>
    <t>씨엘팜</t>
  </si>
  <si>
    <t>비엘 노바스</t>
  </si>
  <si>
    <t>씨엠지 암로디핀</t>
  </si>
  <si>
    <t>아드</t>
  </si>
  <si>
    <t>암롤</t>
  </si>
  <si>
    <t>코비스크</t>
  </si>
  <si>
    <t>뉴 암로디프</t>
  </si>
  <si>
    <t>암로베틴</t>
  </si>
  <si>
    <t>암로디</t>
  </si>
  <si>
    <t>시암로핀</t>
  </si>
  <si>
    <t>아모핀</t>
  </si>
  <si>
    <t>영진 암로디핀</t>
  </si>
  <si>
    <t>노바크</t>
  </si>
  <si>
    <t>오코디핀</t>
  </si>
  <si>
    <t>뉴스크</t>
  </si>
  <si>
    <t>하퍼텐</t>
  </si>
  <si>
    <t>로우딘</t>
  </si>
  <si>
    <t>유나스크</t>
  </si>
  <si>
    <t>칼브록</t>
  </si>
  <si>
    <t>이디핀</t>
  </si>
  <si>
    <t>로바스크</t>
  </si>
  <si>
    <t>아로딥</t>
  </si>
  <si>
    <t>노바스칸</t>
  </si>
  <si>
    <t>암로닌</t>
  </si>
  <si>
    <t>암로다운</t>
  </si>
  <si>
    <t>베스디핀</t>
  </si>
  <si>
    <t>노바모핀</t>
  </si>
  <si>
    <t>암로바</t>
  </si>
  <si>
    <t>에이엠비즈</t>
  </si>
  <si>
    <t>뉴아딘</t>
  </si>
  <si>
    <t>텔콘제약</t>
  </si>
  <si>
    <t>셀로디핀</t>
  </si>
  <si>
    <t>티디에스 베실산암로디핀</t>
  </si>
  <si>
    <t>암로비스</t>
  </si>
  <si>
    <t>노마로크</t>
  </si>
  <si>
    <t>베로디핀</t>
  </si>
  <si>
    <t>암로다</t>
  </si>
  <si>
    <t>바로스크</t>
  </si>
  <si>
    <t>옥타디핀</t>
  </si>
  <si>
    <t>베로핀</t>
  </si>
  <si>
    <t>휴온스 암로디핀</t>
  </si>
  <si>
    <t>프레스틴</t>
  </si>
  <si>
    <t>노브디핀</t>
  </si>
  <si>
    <t>스카드 비</t>
  </si>
  <si>
    <t>amlodipine besylate ( as amlodipine)</t>
  </si>
  <si>
    <t>amlodipine camsylate</t>
  </si>
  <si>
    <t>아모디핀</t>
  </si>
  <si>
    <t>amlodipine camsylate ( as amlodipine)</t>
  </si>
  <si>
    <t>amlodipine maleate</t>
  </si>
  <si>
    <t>노바핀</t>
  </si>
  <si>
    <t>암로딘</t>
  </si>
  <si>
    <t>에이핀</t>
  </si>
  <si>
    <t>암로스크</t>
  </si>
  <si>
    <t>뉴디핀</t>
  </si>
  <si>
    <t>파인디핀</t>
  </si>
  <si>
    <t>노바텍</t>
  </si>
  <si>
    <t>암로핀</t>
  </si>
  <si>
    <t>엠디핀</t>
  </si>
  <si>
    <t>아로디핀</t>
  </si>
  <si>
    <t>애니디핀</t>
  </si>
  <si>
    <t>에이엠</t>
  </si>
  <si>
    <t>태극제약</t>
  </si>
  <si>
    <t>태극 암로디핀</t>
  </si>
  <si>
    <t>에버디핀</t>
  </si>
  <si>
    <t>노바코트</t>
  </si>
  <si>
    <t>아모딘</t>
  </si>
  <si>
    <t>에니틴</t>
  </si>
  <si>
    <t>스타디핀</t>
  </si>
  <si>
    <t>노브카핀</t>
  </si>
  <si>
    <t>노바로핀</t>
  </si>
  <si>
    <t>amlodipine mesylate monohydrate</t>
  </si>
  <si>
    <t>암로칸</t>
  </si>
  <si>
    <t>암로맥스</t>
  </si>
  <si>
    <t>암비피</t>
  </si>
  <si>
    <t>암로다핀</t>
  </si>
  <si>
    <t>amlodipine nicotinate</t>
  </si>
  <si>
    <t>베아디핀</t>
  </si>
  <si>
    <t>암로텐</t>
  </si>
  <si>
    <t>amlodipine orotate</t>
  </si>
  <si>
    <t>오로디핀</t>
  </si>
  <si>
    <t>azelnidipine</t>
  </si>
  <si>
    <t>아젤핀</t>
  </si>
  <si>
    <t>아젤블럭</t>
  </si>
  <si>
    <t>아제리아</t>
  </si>
  <si>
    <t>아제로핀</t>
  </si>
  <si>
    <t>아젤디핀</t>
  </si>
  <si>
    <t>barnidipine HCl</t>
  </si>
  <si>
    <t>다이이찌산쿄</t>
  </si>
  <si>
    <t>올데카</t>
  </si>
  <si>
    <t>barnidipine</t>
  </si>
  <si>
    <t>benidipine</t>
  </si>
  <si>
    <t>코닐</t>
  </si>
  <si>
    <t>코디핀</t>
  </si>
  <si>
    <t>벤디핀</t>
  </si>
  <si>
    <t>cilnidipine</t>
  </si>
  <si>
    <t>시나롱</t>
  </si>
  <si>
    <t>diltiazem hydrochloride</t>
  </si>
  <si>
    <t>헤르벤</t>
  </si>
  <si>
    <t>NDHP CCB</t>
  </si>
  <si>
    <t>diltiazem</t>
  </si>
  <si>
    <t>푸로골</t>
  </si>
  <si>
    <t>카디아젬</t>
  </si>
  <si>
    <t>하이퍼벤</t>
  </si>
  <si>
    <t>efonidipine HCl</t>
  </si>
  <si>
    <t>핀테</t>
  </si>
  <si>
    <t>efonidipine</t>
  </si>
  <si>
    <t>felodipine</t>
  </si>
  <si>
    <t>디로핀</t>
  </si>
  <si>
    <t>할로핀</t>
  </si>
  <si>
    <t>펠로핀</t>
  </si>
  <si>
    <t>미래바이오제약</t>
  </si>
  <si>
    <t>하이드로핀</t>
  </si>
  <si>
    <t>바이넥스 펠로디핀</t>
  </si>
  <si>
    <t>삼익 펠로디핀</t>
  </si>
  <si>
    <t>펠로디온</t>
  </si>
  <si>
    <t>유한 스프렌딜</t>
  </si>
  <si>
    <t>하이퍼</t>
  </si>
  <si>
    <t>펠론</t>
  </si>
  <si>
    <t>펠로딥</t>
  </si>
  <si>
    <t>디크리핀</t>
  </si>
  <si>
    <t>지로디핀</t>
  </si>
  <si>
    <t>펠로덴</t>
  </si>
  <si>
    <t>아디핀</t>
  </si>
  <si>
    <t>무노발</t>
  </si>
  <si>
    <t>lacidipine</t>
  </si>
  <si>
    <t>박사르</t>
  </si>
  <si>
    <t>글락소스미스클라인</t>
  </si>
  <si>
    <t>lercanidipine HCl</t>
  </si>
  <si>
    <t>레카디핀</t>
  </si>
  <si>
    <t>lercanidipine</t>
  </si>
  <si>
    <t>레니딥</t>
  </si>
  <si>
    <t>로카딘</t>
  </si>
  <si>
    <t>칼딥</t>
  </si>
  <si>
    <t>아나딥</t>
  </si>
  <si>
    <t>레칼핀</t>
  </si>
  <si>
    <t>레니디핀</t>
  </si>
  <si>
    <t>레도핀</t>
  </si>
  <si>
    <t>레카니</t>
  </si>
  <si>
    <t>카디아핀</t>
  </si>
  <si>
    <t>레카핀</t>
  </si>
  <si>
    <t>LG화학</t>
  </si>
  <si>
    <t>자니딥</t>
  </si>
  <si>
    <t>manidipine HCl</t>
  </si>
  <si>
    <t>마디핀</t>
  </si>
  <si>
    <t>manidipine</t>
  </si>
  <si>
    <t>nifedipine</t>
  </si>
  <si>
    <t>니페론</t>
  </si>
  <si>
    <t>아다핀오스모</t>
  </si>
  <si>
    <t>니페딕스</t>
  </si>
  <si>
    <t>바이엘</t>
  </si>
  <si>
    <t>아달라트 오로스</t>
  </si>
  <si>
    <t>S-amlodipine besylate</t>
  </si>
  <si>
    <t>경동 에스암로실</t>
  </si>
  <si>
    <t>S-amlodipine</t>
  </si>
  <si>
    <t>에스 암로딕스</t>
  </si>
  <si>
    <t>넥스디핀</t>
  </si>
  <si>
    <t>베아디핀 에스</t>
  </si>
  <si>
    <t>에스암핀</t>
  </si>
  <si>
    <t>카이로핀</t>
  </si>
  <si>
    <t>뉴디핀 에스</t>
  </si>
  <si>
    <t>암로스핀 에스</t>
  </si>
  <si>
    <t>이지텐션</t>
  </si>
  <si>
    <t>에스메디</t>
  </si>
  <si>
    <t>암베스크 에스</t>
  </si>
  <si>
    <t>노텐션</t>
  </si>
  <si>
    <t>지텐션</t>
  </si>
  <si>
    <t>아드에스</t>
  </si>
  <si>
    <t>레보디핀</t>
  </si>
  <si>
    <t>레보텐션</t>
  </si>
  <si>
    <t>라이트 암로</t>
  </si>
  <si>
    <t>로바디핀 에스</t>
  </si>
  <si>
    <t>암바스</t>
  </si>
  <si>
    <t>멜로디핀 에스</t>
  </si>
  <si>
    <t>에스로핀</t>
  </si>
  <si>
    <t>엠디핀에스</t>
  </si>
  <si>
    <t>사브</t>
  </si>
  <si>
    <t>암비피 에스</t>
  </si>
  <si>
    <t>에스아로딥</t>
  </si>
  <si>
    <t>애니디핀 에스</t>
  </si>
  <si>
    <t>에이엠에스</t>
  </si>
  <si>
    <t>에스암로민</t>
  </si>
  <si>
    <t>에스디핀</t>
  </si>
  <si>
    <t>노마에스</t>
  </si>
  <si>
    <t>암로텐션 에스</t>
  </si>
  <si>
    <t>노브디핀 에스</t>
  </si>
  <si>
    <t>S-amlodipine nicotinate</t>
  </si>
  <si>
    <t>하이탑핀</t>
  </si>
  <si>
    <t>로디엔</t>
  </si>
  <si>
    <t>s-amlodipine nicotinate ( as s-amlodipine)</t>
  </si>
  <si>
    <t>verapamil hydrochloride</t>
  </si>
  <si>
    <t>일성 이솦틴</t>
  </si>
  <si>
    <t>verapamil</t>
  </si>
  <si>
    <t xml:space="preserve">리바로, 리바로젯  </t>
  </si>
  <si>
    <t>성분용량</t>
  </si>
  <si>
    <t>2026년 3월</t>
  </si>
  <si>
    <t xml:space="preserve">Ox/Gx </t>
  </si>
  <si>
    <t xml:space="preserve">Strength </t>
  </si>
  <si>
    <t>atorvastatin calcium hydrate  ( as atorvastatin),  omega-3-acids ethyl esters90</t>
  </si>
  <si>
    <t>아트맥 콤비젤 연질캡슐 10/1000mg</t>
  </si>
  <si>
    <t>atorvastatin calcium hydrate 10.85㎎ (10㎎ as atorvastatin),  omega-3-acids ethyl esters90 1000㎎ [694000ACS]</t>
  </si>
  <si>
    <t xml:space="preserve">제외 </t>
  </si>
  <si>
    <t>atorvastatin calcium trihydrate  ( as atorvastatin),  ezetimibe</t>
  </si>
  <si>
    <t>아토브젯 정 10/10mg</t>
  </si>
  <si>
    <t>atorvastatin calcium trihydrate 10.9㎎,  ezetimibe 10mg [633800ATB]</t>
  </si>
  <si>
    <t>Statin/EZE</t>
  </si>
  <si>
    <t>ATV/EZE</t>
  </si>
  <si>
    <t>10/10mg</t>
  </si>
  <si>
    <t>아토브젯 정 10/20mg</t>
  </si>
  <si>
    <t>atorvastatin calcium trihydrate 21.7㎎,  ezetimibe 10mg [633900ATB]</t>
  </si>
  <si>
    <t>20/10mg</t>
  </si>
  <si>
    <t>아토브젯 정 10/40mg</t>
  </si>
  <si>
    <t>atorvastatin calcium trihydrate 43.4㎎ (40㎎ as atorvastatin),  ezetimibe 10mg [634800ATB]</t>
  </si>
  <si>
    <t>40/10mg</t>
  </si>
  <si>
    <t>아토에지 정 10/10mg</t>
  </si>
  <si>
    <t>아토에지 정 10/20mg</t>
  </si>
  <si>
    <t>바이젯 정 10/10mg</t>
  </si>
  <si>
    <t>바이젯 정 10/20mg</t>
  </si>
  <si>
    <t>아페젯 정 10/10mg</t>
  </si>
  <si>
    <t>아페젯 정 10/20mg</t>
  </si>
  <si>
    <t>에티젯 정 10/10mg</t>
  </si>
  <si>
    <t>에티젯 정 10/20mg</t>
  </si>
  <si>
    <t>아젯듀오 정 10/10mg</t>
  </si>
  <si>
    <t>아젯듀오 정 10/20mg</t>
  </si>
  <si>
    <t>아젯듀오 정 10/40mg</t>
  </si>
  <si>
    <t>브이 토젯 정 10/10mg</t>
  </si>
  <si>
    <t>브이 토젯 정 10/20mg</t>
  </si>
  <si>
    <t>브이 토젯 정 10/40mg</t>
  </si>
  <si>
    <t>리피듀엣 정 10/10mg</t>
  </si>
  <si>
    <t>아에제 정 10/10mg</t>
  </si>
  <si>
    <t>아에제 정 10/20mg</t>
  </si>
  <si>
    <t>아에제 정 10/40mg</t>
  </si>
  <si>
    <t>리토바젯 정 10/10mg</t>
  </si>
  <si>
    <t>리토바젯 정 10/20mg</t>
  </si>
  <si>
    <t>리토바젯 정 10/40mg</t>
  </si>
  <si>
    <t>리토바젯 정 10/5mg</t>
  </si>
  <si>
    <t>atorvastatin calcium trihydrate 5.425㎎ (5㎎ as atorvastatin),  ezetimibe 10㎎ [721300ATB]</t>
  </si>
  <si>
    <t xml:space="preserve">5/10mg </t>
  </si>
  <si>
    <t>아미젯 정 10/10mg</t>
  </si>
  <si>
    <t>아미젯 정 10/20mg</t>
  </si>
  <si>
    <t>아미젯 정 10/40mg</t>
  </si>
  <si>
    <t>리토젯 정 10/10mg</t>
  </si>
  <si>
    <t>리토젯 정 10/20mg</t>
  </si>
  <si>
    <t>리토젯 정 10/5mg</t>
  </si>
  <si>
    <t>뉴토젯 정 10/10mg</t>
  </si>
  <si>
    <t>뉴토젯 정 10/20mg</t>
  </si>
  <si>
    <t>아토바 에프 정 10/10mg</t>
  </si>
  <si>
    <t>아토바 에프 정 10/20mg</t>
  </si>
  <si>
    <t>에이젯 정 10/10mg</t>
  </si>
  <si>
    <t>에이젯 정 10/20mg</t>
  </si>
  <si>
    <t>아토이브 정 10/10mg</t>
  </si>
  <si>
    <t>아토이브 정 10/20mg</t>
  </si>
  <si>
    <t>아토이브 정 10/40mg</t>
  </si>
  <si>
    <t>아토반 듀오 정 10/10mg</t>
  </si>
  <si>
    <t>아토반 듀오 정 10/20mg</t>
  </si>
  <si>
    <t>아토반 듀오 정 10/40mg</t>
  </si>
  <si>
    <t>아토반 듀오 정 10/5mg</t>
  </si>
  <si>
    <t>아토스타젯 정 10/10mg</t>
  </si>
  <si>
    <t>아토스타젯 정 10/20mg</t>
  </si>
  <si>
    <t>아토스타젯 정 10/40mg</t>
  </si>
  <si>
    <t>아토엠젯 정 10/10mg</t>
  </si>
  <si>
    <t>아토엠젯 정 10/20mg</t>
  </si>
  <si>
    <t>아토엠젯 정 10/40mg</t>
  </si>
  <si>
    <t>아토에제 정 10/10mg</t>
  </si>
  <si>
    <t>아토에제 정 10/20mg</t>
  </si>
  <si>
    <t>아토에제 정 10/40mg</t>
  </si>
  <si>
    <t>에젯토 정 10/10mg</t>
  </si>
  <si>
    <t>에젯토 정 10/20mg</t>
  </si>
  <si>
    <t>에젯토 정 10/40mg</t>
  </si>
  <si>
    <t>엘오공 정 10/10mg</t>
  </si>
  <si>
    <t>엘오공 정 10/20mg</t>
  </si>
  <si>
    <t>엘오공 정 10/40mg</t>
  </si>
  <si>
    <t>엘오공 정 10/5mg</t>
  </si>
  <si>
    <t>리피아젯 정 10/10mg</t>
  </si>
  <si>
    <t>리피아젯 정 10/20mg</t>
  </si>
  <si>
    <t>아트로젯 정 10/10mg</t>
  </si>
  <si>
    <t>아트로젯 정 10/20mg</t>
  </si>
  <si>
    <t>비씨월드헬스케어</t>
  </si>
  <si>
    <t>제토바 정 10/10mg</t>
  </si>
  <si>
    <t>제토바 정 10/20mg</t>
  </si>
  <si>
    <t>리피토 플러스 정 10/10mg</t>
  </si>
  <si>
    <t>리피토 플러스 정 10/20mg</t>
  </si>
  <si>
    <t>리피토 플러스 정 10/40mg</t>
  </si>
  <si>
    <t>바로다운 정 10/10mg</t>
  </si>
  <si>
    <t>바로다운 정 10/20mg</t>
  </si>
  <si>
    <t>아토로우 플러스 정 10/10mg</t>
  </si>
  <si>
    <t>아토로우 플러스 정 10/20mg</t>
  </si>
  <si>
    <t>듀토르 정 10/10mg</t>
  </si>
  <si>
    <t>듀토르 정 10/20mg</t>
  </si>
  <si>
    <t>젠토르 정 10/10mg</t>
  </si>
  <si>
    <t>셀토젯 정 10/10mg</t>
  </si>
  <si>
    <t>셀토젯 정 10/20mg</t>
  </si>
  <si>
    <t>리피젯 정 10/10mg</t>
  </si>
  <si>
    <t>리피젯 정 10/20mg</t>
  </si>
  <si>
    <t>아로젯 정 10/10mg</t>
  </si>
  <si>
    <t>아로젯 정 10/20mg</t>
  </si>
  <si>
    <t>아로젯 정 10/40mg</t>
  </si>
  <si>
    <t>아로틴 플러스 정 10/10mg</t>
  </si>
  <si>
    <t>아로틴 플러스 정 10/20mg</t>
  </si>
  <si>
    <t>아이토젯 정 10/10mg</t>
  </si>
  <si>
    <t>뉴 아토르젯 정 10/10mg</t>
  </si>
  <si>
    <t>뉴 아토르젯 정 10/20mg</t>
  </si>
  <si>
    <t>리포젯 정 10/10mg</t>
  </si>
  <si>
    <t>리포젯 정 10/20mg</t>
  </si>
  <si>
    <t>아르바젯 정 10/10mg</t>
  </si>
  <si>
    <t>아르바젯 정 10/20mg</t>
  </si>
  <si>
    <t>아제티브 정 10/10mg</t>
  </si>
  <si>
    <t>아제티브 정 10/20mg</t>
  </si>
  <si>
    <t>에스에스팜</t>
  </si>
  <si>
    <t>에바스젯 정 10/10mg</t>
  </si>
  <si>
    <t>라도젯 정 10/10mg</t>
  </si>
  <si>
    <t>라도젯 정 10/20mg</t>
  </si>
  <si>
    <t>라도젯 정 10/40mg</t>
  </si>
  <si>
    <t>제피토 정 10/10mg</t>
  </si>
  <si>
    <t>제피토 정 10/20mg</t>
  </si>
  <si>
    <t>제피토 정 10/40mg</t>
  </si>
  <si>
    <t>제피토 정 10/5mg</t>
  </si>
  <si>
    <t>아젯탐 정 10/10mg</t>
  </si>
  <si>
    <t>아젯탐 정 10/20mg</t>
  </si>
  <si>
    <t>아젯탐 정 10/40mg</t>
  </si>
  <si>
    <t>엔비젯 정 10/10mg</t>
  </si>
  <si>
    <t>엔비젯 정 10/20mg</t>
  </si>
  <si>
    <t>엔비젯 정 10/40mg</t>
  </si>
  <si>
    <t>알트젯 정 10/10mg</t>
  </si>
  <si>
    <t>아토바진 플러스 정 10/10mg</t>
  </si>
  <si>
    <t>아토바진 플러스 정 10/20mg</t>
  </si>
  <si>
    <t>아토바진 플러스 정 10/40mg</t>
  </si>
  <si>
    <t>아토르 큐 젯 정 10/10mg</t>
  </si>
  <si>
    <t>아토르 큐 젯 정 10/20mg</t>
  </si>
  <si>
    <t>오가논</t>
  </si>
  <si>
    <t>아토젯 정 10/10mg</t>
  </si>
  <si>
    <t>아토젯 정 10/20mg</t>
  </si>
  <si>
    <t>아토젯 정 10/40mg</t>
  </si>
  <si>
    <t>아토젯 정 10/80mg</t>
  </si>
  <si>
    <t>atorvastatin calcium trihydrate 86.8㎎,  ezetimibe 10mg [634600ATB]</t>
  </si>
  <si>
    <t>80/10mg</t>
  </si>
  <si>
    <t>아토로우 엠 정 10/10mg</t>
  </si>
  <si>
    <t>아바젯 정 10/10mg</t>
  </si>
  <si>
    <t>아바젯 정 10/20mg</t>
  </si>
  <si>
    <t>아바젯 정 10/40mg</t>
  </si>
  <si>
    <t>에제토바 정 10/10mg</t>
  </si>
  <si>
    <t>토바젯 정 10/10mg</t>
  </si>
  <si>
    <t>토바젯 정 10/20mg</t>
  </si>
  <si>
    <t>와이젯 정 10/10mg</t>
  </si>
  <si>
    <t>와이젯 정 10/20mg</t>
  </si>
  <si>
    <t>유토젯 정 10/10mg</t>
  </si>
  <si>
    <t>유토젯 정 10/20mg</t>
  </si>
  <si>
    <t>유토젯 정 10/40mg</t>
  </si>
  <si>
    <t>아토바미브 정 10/10mg</t>
  </si>
  <si>
    <t>아토바미브 정 10/20mg</t>
  </si>
  <si>
    <t>아토바미브 정 10/40mg</t>
  </si>
  <si>
    <t>아토바미브 정 10/5mg</t>
  </si>
  <si>
    <t>에브젯 정 10/10mg</t>
  </si>
  <si>
    <t>에브젯 정 10/20mg</t>
  </si>
  <si>
    <t>바스타젯 정 10/10mg</t>
  </si>
  <si>
    <t>바스타젯 정 10/20mg</t>
  </si>
  <si>
    <t>인토젯 정 10/10mg</t>
  </si>
  <si>
    <t>아토미브 정 10/10mg</t>
  </si>
  <si>
    <t>아토미브 정 10/20mg</t>
  </si>
  <si>
    <t>아토미브 정 10/40mg</t>
  </si>
  <si>
    <t>아토미브 정 10/5mg</t>
  </si>
  <si>
    <t>일성 에젯틴 정 10/10mg</t>
  </si>
  <si>
    <t>일성 에젯틴 정 10/20mg</t>
  </si>
  <si>
    <t>듀얼 아토 정 10/10mg</t>
  </si>
  <si>
    <t>듀얼 아토 정 10/20mg</t>
  </si>
  <si>
    <t>아토에 정 10/10mg</t>
  </si>
  <si>
    <t>아토에 정 10/20mg</t>
  </si>
  <si>
    <t>제뉴원 아제브 정 10/10mg</t>
  </si>
  <si>
    <t>제뉴원 아제브 정 10/20mg</t>
  </si>
  <si>
    <t>리피로우젯 정 10/10mg</t>
  </si>
  <si>
    <t>리피로우젯 정 10/20mg</t>
  </si>
  <si>
    <t>리피로우젯 정 10/40mg</t>
  </si>
  <si>
    <t>리피로우젯 정 10/5mg</t>
  </si>
  <si>
    <t>아토엘젯 정 10/10mg</t>
  </si>
  <si>
    <t>진토젯 정 10/10mg</t>
  </si>
  <si>
    <t>진토젯 정 10/20mg</t>
  </si>
  <si>
    <t>진토젯 정 10/40mg</t>
  </si>
  <si>
    <t>아드젯 정 10/10mg</t>
  </si>
  <si>
    <t>아드젯 정 10/20mg</t>
  </si>
  <si>
    <t>아토켓 정 10/10mg</t>
  </si>
  <si>
    <t>아르젯 정 10/10mg</t>
  </si>
  <si>
    <t>아르젯 정 10/20mg</t>
  </si>
  <si>
    <t>아르젯 정 10/40mg</t>
  </si>
  <si>
    <t>글로젯 정 10/10mg</t>
  </si>
  <si>
    <t>글로젯 정 10/20mg</t>
  </si>
  <si>
    <t>제티스토 정 10/10mg</t>
  </si>
  <si>
    <t>제티스토 정 10/20mg</t>
  </si>
  <si>
    <t>아토브 정 10/10mg</t>
  </si>
  <si>
    <t>리바젯 정 10/10mg</t>
  </si>
  <si>
    <t>리바젯 정 10/20mg</t>
  </si>
  <si>
    <t>아토르젯 정 10/10mg</t>
  </si>
  <si>
    <t>아토르젯 정 10/20mg</t>
  </si>
  <si>
    <t>아리토린 정 10/10mg</t>
  </si>
  <si>
    <t>아리토린 정 10/20mg</t>
  </si>
  <si>
    <t>아리토린 정 10/40mg</t>
  </si>
  <si>
    <t>아토에젯 정 10/10mg</t>
  </si>
  <si>
    <t>아토에젯 정 10/20mg</t>
  </si>
  <si>
    <t>한토젯 정 10/10mg</t>
  </si>
  <si>
    <t>한토젯 정 10/20mg</t>
  </si>
  <si>
    <t>아토 제이 정 10/10mg</t>
  </si>
  <si>
    <t>아토 제이 정 10/20mg</t>
  </si>
  <si>
    <t>아트로드 플러스 정 10/10mg</t>
  </si>
  <si>
    <t>아트로드 플러스 정 10/20mg</t>
  </si>
  <si>
    <t>콤비젯 정 10/10mg</t>
  </si>
  <si>
    <t>콤비젯 정 10/20mg</t>
  </si>
  <si>
    <t>콤비젯 정 10/40mg</t>
  </si>
  <si>
    <t>에제토젯 정 10/10mg</t>
  </si>
  <si>
    <t>에토르 정 10/10mg</t>
  </si>
  <si>
    <t>에토르 정 10/20mg</t>
  </si>
  <si>
    <t>아토티브 정 10/10mg</t>
  </si>
  <si>
    <t>아토티브 정 10/20mg</t>
  </si>
  <si>
    <t>아토티브 정 10/40mg</t>
  </si>
  <si>
    <t>토스젯 정 10/10mg</t>
  </si>
  <si>
    <t>토스젯 정 10/20mg</t>
  </si>
  <si>
    <t>atorvastatin calcium trihydrate  ( as atorvastatin),  omega-3-acids ethyl esters90</t>
  </si>
  <si>
    <t>건일제약</t>
  </si>
  <si>
    <t>아토메가 연질캡슐 5/1000mg</t>
  </si>
  <si>
    <t>atorvastatin calcium trihydrate 5.43㎎ (5㎎ as atorvastatin),  omega-3-acids ethyl esters90 1000㎎ [711200ACS]</t>
  </si>
  <si>
    <t>뉴토메가 연질캡슐 5/1000mg</t>
  </si>
  <si>
    <t>아트맥 콤비젤 연질캡슐 5/1000mg</t>
  </si>
  <si>
    <t>ezetimibe,  fenofibrate</t>
  </si>
  <si>
    <t>알리페브 정 10/160mg</t>
  </si>
  <si>
    <t>ezetimibe 10㎎,  fenofibrate 160㎎ [702800ATB]</t>
  </si>
  <si>
    <t>페노제티브 정</t>
  </si>
  <si>
    <t>에제페노 정</t>
  </si>
  <si>
    <t>에제슈프라 정</t>
  </si>
  <si>
    <t>ezetimibe,  pitavastatin calcium hydrate  ( as pitavastatin calcium)</t>
  </si>
  <si>
    <t>타바로젯 정 2/10mg</t>
  </si>
  <si>
    <t>ezetimibe 10㎎,  pitavastatin calcium hydrate 2.205㎎ (2㎎ as pitavastatin calcium) [699400ATB]</t>
  </si>
  <si>
    <t>PTV/EZE</t>
  </si>
  <si>
    <t>2/10mg</t>
  </si>
  <si>
    <t>타바로젯 정 4/10mg</t>
  </si>
  <si>
    <t>ezetimibe 10㎎,  pitavastatin calcium hydrate 4.409㎎ (4㎎ as pitavastatin calcium) [699500ATB]</t>
  </si>
  <si>
    <t>4/10mg</t>
  </si>
  <si>
    <t>피제트 정 2/10mg</t>
  </si>
  <si>
    <t>피제트 정 4/10mg</t>
  </si>
  <si>
    <t>엘제로젯 정 2/10mg</t>
  </si>
  <si>
    <t>엘제로젯 정 4/10mg</t>
  </si>
  <si>
    <t>페바로젯 정 2/10mg</t>
  </si>
  <si>
    <t>페바로젯 정 4/10mg</t>
  </si>
  <si>
    <t>스타젯 정 2/10mg</t>
  </si>
  <si>
    <t>스타젯 정 4/10mg</t>
  </si>
  <si>
    <t>리바로젯 정 2/10mg</t>
  </si>
  <si>
    <t>PTV Ox</t>
  </si>
  <si>
    <t>리바로젯 정 4/10mg</t>
  </si>
  <si>
    <t>ezetimibe,  rosuvastatin calcium  ( as rosuvastatin)</t>
  </si>
  <si>
    <t>듀오로반 정 10/10mg</t>
  </si>
  <si>
    <t>ezetimibe 10mg,  rosuvastatin calcium 10.4㎎ (10mg as rosuvastatin) [640800ATB]</t>
  </si>
  <si>
    <t>RSV/EZE</t>
  </si>
  <si>
    <t xml:space="preserve">10/10mg </t>
  </si>
  <si>
    <t>듀오로반 정 10/20mg</t>
  </si>
  <si>
    <t>ezetimibe 10mg,  rosuvastatin calcium 20.8㎎ (20㎎ as rosuvastatin) [640900ATB]</t>
  </si>
  <si>
    <t>듀오로반 정 10/5mg</t>
  </si>
  <si>
    <t>ezetimibe 10mg,  rosuvastatin calcium 5.2㎎ (5㎎ as rosuvastatin) [640700ATB]</t>
  </si>
  <si>
    <t>5/10mg</t>
  </si>
  <si>
    <t>로수에지 정 10/10mg</t>
  </si>
  <si>
    <t>로수에지 정 10/20mg</t>
  </si>
  <si>
    <t>로수에지 정 10/5mg</t>
  </si>
  <si>
    <t>로제 케이 정 10/10mg</t>
  </si>
  <si>
    <t>로제 케이 정 10/5mg</t>
  </si>
  <si>
    <t>에제로바 정 10/10mg</t>
  </si>
  <si>
    <t>에제로바 정 10/20mg</t>
  </si>
  <si>
    <t>에제로바 정 10/5mg</t>
  </si>
  <si>
    <t>다비듀오 정 10/10mg</t>
  </si>
  <si>
    <t>다비듀오 정 10/2.5mg</t>
  </si>
  <si>
    <t>ezetimibe 10㎎,  rosuvastatin calcium 2.6㎎ (2.5㎎ as rosuvastatin) [701100ATB]</t>
  </si>
  <si>
    <t>2.5/10mg</t>
  </si>
  <si>
    <t>다비듀오 정 10/20mg</t>
  </si>
  <si>
    <t>다비듀오 정 10/5mg</t>
  </si>
  <si>
    <t>로바듀엣 정 10/10mg</t>
  </si>
  <si>
    <t>로바듀엣 정 10/5mg</t>
  </si>
  <si>
    <t>로에제 정 10/10mg</t>
  </si>
  <si>
    <t>로에제 정 10/20mg</t>
  </si>
  <si>
    <t>로에제 정 10/5mg</t>
  </si>
  <si>
    <t>크레젯 정 10/10mg</t>
  </si>
  <si>
    <t>크레젯 정 10/2.5mg</t>
  </si>
  <si>
    <t>크레젯 정 10/20mg</t>
  </si>
  <si>
    <t>크레젯 정 10/5mg</t>
  </si>
  <si>
    <t>크로우젯 정 10/10mg</t>
  </si>
  <si>
    <t>크로우젯 정 10/20mg</t>
  </si>
  <si>
    <t>크로우젯 정 10/5mg</t>
  </si>
  <si>
    <t>탑스타틴 에프 정 10/10mg</t>
  </si>
  <si>
    <t>탑스타틴 에프 정 10/20mg</t>
  </si>
  <si>
    <t>탑스타틴 에프 정 10/5mg</t>
  </si>
  <si>
    <t>알제트 정 10/10mg</t>
  </si>
  <si>
    <t>알제트 정 10/20mg</t>
  </si>
  <si>
    <t>알제트 정 10/5mg</t>
  </si>
  <si>
    <t>로바 이지 정 10/10mg</t>
  </si>
  <si>
    <t>로바 이지 정 10/5mg</t>
  </si>
  <si>
    <t>로수탄젯 정 10/10mg</t>
  </si>
  <si>
    <t>로수탄젯 정 10/20mg</t>
  </si>
  <si>
    <t>로수탄젯 정 10/5mg</t>
  </si>
  <si>
    <t>로우로제 정 10/2.5mg</t>
  </si>
  <si>
    <t>애드파마</t>
  </si>
  <si>
    <t>듀오논 정 10/10mg</t>
  </si>
  <si>
    <t>듀오논 정 10/20mg</t>
  </si>
  <si>
    <t>듀오논 정 10/5mg</t>
  </si>
  <si>
    <t>로티브 정 10/10mg</t>
  </si>
  <si>
    <t>로티브 정 10/20mg</t>
  </si>
  <si>
    <t>로티브 정 10/5mg</t>
  </si>
  <si>
    <t>로수엠젯 정 10/10mg</t>
  </si>
  <si>
    <t>로수엠젯 정 10/2.5mg</t>
  </si>
  <si>
    <t>로수엠젯 정 10/20mg</t>
  </si>
  <si>
    <t>로수엠젯 정 10/5mg</t>
  </si>
  <si>
    <t>로수에제 정 10/10mg</t>
  </si>
  <si>
    <t>로수에제 정 10/20mg</t>
  </si>
  <si>
    <t>로수에제 정 10/5mg</t>
  </si>
  <si>
    <t>로젯 정 10/10mg</t>
  </si>
  <si>
    <t>로젯 정 10/2.5mg</t>
  </si>
  <si>
    <t>로젯 정 10/20mg</t>
  </si>
  <si>
    <t>로젯 정 10/5mg</t>
  </si>
  <si>
    <t>이지산트 정 10/10mg</t>
  </si>
  <si>
    <t>이지산트 정 10/2.5mg</t>
  </si>
  <si>
    <t>이지산트 정 10/20mg</t>
  </si>
  <si>
    <t>이지산트 정 10/5mg</t>
  </si>
  <si>
    <t>뉴스타젯 알 정 10/10mg</t>
  </si>
  <si>
    <t>뉴스타젯 알 정 10/20mg</t>
  </si>
  <si>
    <t>뉴스타젯 알 정 10/5mg</t>
  </si>
  <si>
    <t>로제로우 정 10/10mg</t>
  </si>
  <si>
    <t>로제로우 정 10/20mg</t>
  </si>
  <si>
    <t>로제로우 정 10/5mg</t>
  </si>
  <si>
    <t>로타젯 정 10/10mg</t>
  </si>
  <si>
    <t>로타젯 정 10/5mg</t>
  </si>
  <si>
    <t>에제로수 정 10/10mg</t>
  </si>
  <si>
    <t>에제로수 정 10/2.5mg</t>
  </si>
  <si>
    <t>에제로수 정 10/20mg</t>
  </si>
  <si>
    <t>에제로수 정 10/5mg</t>
  </si>
  <si>
    <t>로티젯 정 10/10mg</t>
  </si>
  <si>
    <t>로티젯 정 10/20mg</t>
  </si>
  <si>
    <t>로티젯 정 10/5mg</t>
  </si>
  <si>
    <t>크레트롤 정 10/10mg</t>
  </si>
  <si>
    <t>크레트롤 정 10/20mg</t>
  </si>
  <si>
    <t>크레트롤 정 10/5mg</t>
  </si>
  <si>
    <t>슈바젯 정 10/10mg</t>
  </si>
  <si>
    <t>슈바젯 정 10/20mg</t>
  </si>
  <si>
    <t>슈바젯 정 10/5mg</t>
  </si>
  <si>
    <t>크레스젯 정 10/10mg</t>
  </si>
  <si>
    <t>로제티브 정 10/10mg</t>
  </si>
  <si>
    <t>로제티브 정 10/20mg</t>
  </si>
  <si>
    <t>로제티브 정 10/5mg</t>
  </si>
  <si>
    <t>립스타 플러스 정 10/10mg</t>
  </si>
  <si>
    <t>립스타 플러스 정 10/20mg</t>
  </si>
  <si>
    <t>립스타 플러스 정 10/5mg</t>
  </si>
  <si>
    <t>로수 듀오 정 10/10mg</t>
  </si>
  <si>
    <t>로수 듀오 정 10/20mg</t>
  </si>
  <si>
    <t>로수 듀오 정 10/5mg</t>
  </si>
  <si>
    <t>로바젯 정 10/10mg</t>
  </si>
  <si>
    <t>로바젯 정 10/2.5mg</t>
  </si>
  <si>
    <t>로바젯 정 10/20mg</t>
  </si>
  <si>
    <t>로바젯 정 10/5mg</t>
  </si>
  <si>
    <t>로젯탐 정 10/10mg</t>
  </si>
  <si>
    <t>로젯탐 정 10/20mg</t>
  </si>
  <si>
    <t>로젯탐 정 10/5mg</t>
  </si>
  <si>
    <t>크레아진 플러스 정 10/10mg</t>
  </si>
  <si>
    <t>크레아진 플러스 정 10/20mg</t>
  </si>
  <si>
    <t>크레아진 플러스 정 10/5mg</t>
  </si>
  <si>
    <t>유로바젯 정 10/10mg</t>
  </si>
  <si>
    <t>유로바젯 정 10/20mg</t>
  </si>
  <si>
    <t>유로바젯 정 10/5mg</t>
  </si>
  <si>
    <t>로수바미브 정 10/10mg</t>
  </si>
  <si>
    <t>로수바미브 정 10/2.5mg</t>
  </si>
  <si>
    <t>로수바미브 정 10/20mg</t>
  </si>
  <si>
    <t>로수바미브 정 10/5mg</t>
  </si>
  <si>
    <t>크레바젯 정 10/10mg</t>
  </si>
  <si>
    <t>크레바젯 정 10/5mg</t>
  </si>
  <si>
    <t>드롭탑 정 10/10mg</t>
  </si>
  <si>
    <t>드롭탑 정 10/20mg</t>
  </si>
  <si>
    <t>드롭탑 정 10/5mg</t>
  </si>
  <si>
    <t>로제듀오 정 10/10mg</t>
  </si>
  <si>
    <t>로제듀오 정 10/2.5mg</t>
  </si>
  <si>
    <t>로제듀오 정 10/20mg</t>
  </si>
  <si>
    <t>로제듀오 정 10/5mg</t>
  </si>
  <si>
    <t>로수브젯 정 10/10mg</t>
  </si>
  <si>
    <t>로수브젯 정 10/20mg</t>
  </si>
  <si>
    <t>로수브젯 정 10/5mg</t>
  </si>
  <si>
    <t>로미젯 정 10/10mg</t>
  </si>
  <si>
    <t>로미젯 정 10/20mg</t>
  </si>
  <si>
    <t>로미젯 정 10/5mg</t>
  </si>
  <si>
    <t>크바젯 정 10/10mg</t>
  </si>
  <si>
    <t>크바젯 정 10/20mg</t>
  </si>
  <si>
    <t>크바젯 정 10/5mg</t>
  </si>
  <si>
    <t>로스토린 정 10/10mg</t>
  </si>
  <si>
    <t>로스토린 정 10/20mg</t>
  </si>
  <si>
    <t>로스토린 정 10/5mg</t>
  </si>
  <si>
    <t>로수에젯 정 10/10mg</t>
  </si>
  <si>
    <t>로수에젯 정 10/20mg</t>
  </si>
  <si>
    <t>로수에젯 정 10/5mg</t>
  </si>
  <si>
    <t>메가로젯 정 10/10mg</t>
  </si>
  <si>
    <t>메가로젯 정 10/20mg</t>
  </si>
  <si>
    <t>메가로젯 정 10/5mg</t>
  </si>
  <si>
    <t>크레더블 정 10/10mg</t>
  </si>
  <si>
    <t>크레더블 정 10/2.5mg</t>
  </si>
  <si>
    <t>크레더블 정 10/20mg</t>
  </si>
  <si>
    <t>크레더블 정 10/5mg</t>
  </si>
  <si>
    <t>로수젯 정 10/10mg</t>
  </si>
  <si>
    <t>로수젯 정 10/2.5mg</t>
  </si>
  <si>
    <t>로수젯 정 10/20mg</t>
  </si>
  <si>
    <t>로수젯 정 10/5mg</t>
  </si>
  <si>
    <t>로티미브 정 10/10mg</t>
  </si>
  <si>
    <t>로티미브 정 10/20mg</t>
  </si>
  <si>
    <t>로티미브 정 10/5mg</t>
  </si>
  <si>
    <t>콤비로제 정 10/10mg</t>
  </si>
  <si>
    <t>콤비로제 정 10/20mg</t>
  </si>
  <si>
    <t>콤비로제 정 10/5mg</t>
  </si>
  <si>
    <t>에슈바 정 10/10mg</t>
  </si>
  <si>
    <t>에슈바 정 10/20mg</t>
  </si>
  <si>
    <t>에슈바 정 10/5mg</t>
  </si>
  <si>
    <t>크레스티브 정 10/10mg</t>
  </si>
  <si>
    <t>크레스티브 정 10/2.5mg</t>
  </si>
  <si>
    <t>크레스티브 정 10/20mg</t>
  </si>
  <si>
    <t>크레스티브 정 10/5mg</t>
  </si>
  <si>
    <t>ezetimibe,  simvastatin</t>
  </si>
  <si>
    <t>베아토린 정 10/10</t>
  </si>
  <si>
    <t>ezetimibe 10mg,  simvastatin 10mg [471000ATB]</t>
  </si>
  <si>
    <t>SMV/EZE</t>
  </si>
  <si>
    <t>베아토린 정 10/20</t>
  </si>
  <si>
    <t>ezetimibe 10mg,  simvastatin 20mg [471100ATB]</t>
  </si>
  <si>
    <t>아이토린 정 10/10</t>
  </si>
  <si>
    <t>아이토린 정 10/20</t>
  </si>
  <si>
    <t>엔피토린 정 10/10mg</t>
  </si>
  <si>
    <t>엔피토린 정 10/20mg</t>
  </si>
  <si>
    <t>바이테롤 정 10/10</t>
  </si>
  <si>
    <t>바이테롤 정 10/20</t>
  </si>
  <si>
    <t>이지심바 정 10/10mg</t>
  </si>
  <si>
    <t>이지심바 정 10/20mg</t>
  </si>
  <si>
    <t>바이시브 정 10/10mg</t>
  </si>
  <si>
    <t>바이시브 정 10/20mg</t>
  </si>
  <si>
    <t>듀오토린 정 10/10mg</t>
  </si>
  <si>
    <t>듀오토린 정 10/20mg</t>
  </si>
  <si>
    <t>에제심바 정 10/10mg</t>
  </si>
  <si>
    <t>에제심바 정 10/20mg</t>
  </si>
  <si>
    <t>씨트토린 정 10/10mg</t>
  </si>
  <si>
    <t>씨트토린 정 10/20mg</t>
  </si>
  <si>
    <t>바이토린 정 10/10</t>
  </si>
  <si>
    <t>바이토린 정 10/20</t>
  </si>
  <si>
    <t>바이토린 정 10/40</t>
  </si>
  <si>
    <t>ezetimibe 10mg,  simvastatin 40mg [507800ATB]</t>
  </si>
  <si>
    <t xml:space="preserve">40/10mg </t>
  </si>
  <si>
    <t>심펙스 듀오 정 10/10mg</t>
  </si>
  <si>
    <t>심펙스 듀오 정 10/20mg</t>
  </si>
  <si>
    <t>바이제타 정 10/10</t>
  </si>
  <si>
    <t>바이제타 정 10/20</t>
  </si>
  <si>
    <t>바스타에 정 10/10</t>
  </si>
  <si>
    <t>바스타에 정 10/20</t>
  </si>
  <si>
    <t>에제스타 정 10/10</t>
  </si>
  <si>
    <t>에제스타 정 10/20</t>
  </si>
  <si>
    <t>바이테브 정 10/10mg</t>
  </si>
  <si>
    <t>바이테브 정 10/20mg</t>
  </si>
  <si>
    <t>바이스타 정 10/10mg</t>
  </si>
  <si>
    <t>바이스타 정 10/20mg</t>
  </si>
  <si>
    <t>임펙트윈 정 10/10mg</t>
  </si>
  <si>
    <t>임펙트윈 정 10/20mg</t>
  </si>
  <si>
    <t>바이스틴 정 10/10mg</t>
  </si>
  <si>
    <t>이지토린 정 10/10mg</t>
  </si>
  <si>
    <t>이지토린 정 10/20mg</t>
  </si>
  <si>
    <t>심바티브 정 10/10</t>
  </si>
  <si>
    <t>심바티브 정 10/20</t>
  </si>
  <si>
    <t>fenofibrate granule,  pitavastatin calcium</t>
  </si>
  <si>
    <t>업타바 캡슐</t>
  </si>
  <si>
    <t>fenofibrate granule 241.51㎎,  pitavastatin calcium 2㎎ [679300ACH]</t>
  </si>
  <si>
    <t>피에프 캡슐</t>
  </si>
  <si>
    <t>피타론 에프 캡슐</t>
  </si>
  <si>
    <t>피타뉴펜 캡슐</t>
  </si>
  <si>
    <t>리바펜 캡슐</t>
  </si>
  <si>
    <t>뉴스타틴 듀오 캡슐</t>
  </si>
  <si>
    <t>셀타펜 캡슐</t>
  </si>
  <si>
    <t>스타페노 캡슐</t>
  </si>
  <si>
    <t>페바로 에프 캡슐</t>
  </si>
  <si>
    <t>타스페노 캡슐</t>
  </si>
  <si>
    <t>피바펜 캡슐</t>
  </si>
  <si>
    <t>리로우펜 캡슐</t>
  </si>
  <si>
    <t>리페스틴 캡슐</t>
  </si>
  <si>
    <t>스타펜 캡슐</t>
  </si>
  <si>
    <t>리바페논 캡슐 2/160mg</t>
  </si>
  <si>
    <t>fenofibrate,  pravastatin sodium</t>
  </si>
  <si>
    <t>프라바페닉스 캡슐</t>
  </si>
  <si>
    <t>fenofibrate 160mg,  pravastatin sodium 40mg [519300ACH]</t>
  </si>
  <si>
    <t>fenofibric acid,  pitavastatin calcium hydrate  ( as pitavastatin calcium)</t>
  </si>
  <si>
    <t>피타릭 캡슐</t>
  </si>
  <si>
    <t>fenofibric acid 110㎎,  pitavastatin calcium hydrate 2.205㎎ (2㎎ as pitavastatin calcium) [742400ACE]</t>
  </si>
  <si>
    <t>리바로페노 캡슐 2/110mg</t>
  </si>
  <si>
    <t>micronized fenofibrate,  pitavastatin calcium</t>
  </si>
  <si>
    <t>피타스론 정 2/160mg</t>
  </si>
  <si>
    <t>micronized fenofibrate 160㎎,  pitavastatin calcium 2㎎ [679300ATB]</t>
  </si>
  <si>
    <t>바로페노 정 2/160mg</t>
  </si>
  <si>
    <t>피타렛 정 2/160mg</t>
  </si>
  <si>
    <t>피타에프 정</t>
  </si>
  <si>
    <t>페타바 정</t>
  </si>
  <si>
    <t>제피노 정 2/160mg</t>
  </si>
  <si>
    <t>피타로우 에프 정 2/160mg</t>
  </si>
  <si>
    <t>리파틴 듀오 정 2/160mg</t>
  </si>
  <si>
    <t>omega-3-acids ethyl esters90,  rosuvastatin calcium</t>
  </si>
  <si>
    <t>로메가 연질캡슐</t>
  </si>
  <si>
    <t>omega-3-acids ethyl esters90 1000㎎,  rosuvastatin calcium 5.2㎎ [663400ACS]</t>
  </si>
  <si>
    <t>로수메가 연질캡슐</t>
  </si>
  <si>
    <t>메가로반 연질캡슐 5/1000mg</t>
  </si>
  <si>
    <t>크라티지 연질캡슐</t>
  </si>
  <si>
    <t>토탈산트 연질캡슐</t>
  </si>
  <si>
    <t>메가 엠 듀얼 연질캡슐</t>
  </si>
  <si>
    <t>크레메가 연질캡슐 5/1000mg</t>
  </si>
  <si>
    <t>로수맥 콤비젤 연질캡슐 5/1000mg</t>
  </si>
  <si>
    <t>뉴마코 알 연질캡슐</t>
  </si>
  <si>
    <t>로제코 연질캡슐</t>
  </si>
  <si>
    <t>오메가원 플러스 연질캡슐</t>
  </si>
  <si>
    <t>로수바코 연질캡슐</t>
  </si>
  <si>
    <t>로수코마 연질캡슐</t>
  </si>
  <si>
    <t>omega-3-acids ethyl esters90,  rosuvastatin calcium  ( as rosuvastatin)</t>
  </si>
  <si>
    <t>로수맥 콤비젤 연질캡슐 10/1000mg</t>
  </si>
  <si>
    <t>omega-3-acids ethyl esters90 1000㎎,  rosuvastatin calcium 10.4㎎ (10㎎ as rosuvastatin) [734000ACS]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</si>
  <si>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</si>
  <si>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t>atorvastatin calcium</t>
  </si>
  <si>
    <r>
      <rPr>
        <rFont val="맑은 고딕"/>
        <color theme="1"/>
        <sz val="11.0"/>
      </rPr>
      <t>건일바이오팜</t>
    </r>
  </si>
  <si>
    <r>
      <rPr>
        <rFont val="맑은 고딕"/>
        <color theme="1"/>
        <sz val="11.0"/>
      </rPr>
      <t>아토건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</si>
  <si>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건일바이오팜</t>
    </r>
  </si>
  <si>
    <t>atorvastatin calcium 10mg [111501ATB]</t>
  </si>
  <si>
    <t xml:space="preserve">Statin </t>
  </si>
  <si>
    <t>ATV</t>
  </si>
  <si>
    <t xml:space="preserve">10mg 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</si>
  <si>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</si>
  <si>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건일바이오팜</t>
    </r>
  </si>
  <si>
    <r>
      <rPr>
        <rFont val="맑은 고딕"/>
        <color theme="1"/>
        <sz val="11.0"/>
      </rPr>
      <t>아토건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</si>
  <si>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건일바이오팜</t>
    </r>
  </si>
  <si>
    <t>atorvastatin calcium 20mg [111502ATB]</t>
  </si>
  <si>
    <t>20mg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</si>
  <si>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</si>
  <si>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건일제약</t>
    </r>
  </si>
  <si>
    <r>
      <rPr>
        <rFont val="맑은 고딕"/>
        <color theme="1"/>
        <sz val="11.0"/>
      </rPr>
      <t>에이피토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</si>
  <si>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건일제약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</si>
  <si>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</si>
  <si>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건일제약</t>
    </r>
  </si>
  <si>
    <r>
      <rPr>
        <rFont val="맑은 고딕"/>
        <color theme="1"/>
        <sz val="11.0"/>
      </rPr>
      <t>에이피토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</si>
  <si>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건일제약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</si>
  <si>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</si>
  <si>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경동제약</t>
    </r>
  </si>
  <si>
    <r>
      <rPr>
        <rFont val="맑은 고딕"/>
        <color theme="1"/>
        <sz val="11.0"/>
      </rPr>
      <t>아트로반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</si>
  <si>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경동제약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</si>
  <si>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</si>
  <si>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경동제약</t>
    </r>
  </si>
  <si>
    <r>
      <rPr>
        <rFont val="맑은 고딕"/>
        <color theme="1"/>
        <sz val="11.0"/>
      </rPr>
      <t>아트로반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</si>
  <si>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경동제약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</si>
  <si>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</si>
  <si>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고려제약</t>
    </r>
  </si>
  <si>
    <r>
      <rPr>
        <rFont val="맑은 고딕"/>
        <color theme="1"/>
        <sz val="11.0"/>
      </rPr>
      <t>리포메트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</si>
  <si>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고려제약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</si>
  <si>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</si>
  <si>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고려제약</t>
    </r>
  </si>
  <si>
    <r>
      <rPr>
        <rFont val="맑은 고딕"/>
        <color theme="1"/>
        <sz val="11.0"/>
      </rPr>
      <t>리포메트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</si>
  <si>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고려제약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</si>
  <si>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</si>
  <si>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광동제약</t>
    </r>
  </si>
  <si>
    <r>
      <rPr>
        <rFont val="맑은 고딕"/>
        <color theme="1"/>
        <sz val="11.0"/>
      </rPr>
      <t>광동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</si>
  <si>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광동제약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</si>
  <si>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</si>
  <si>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광동제약</t>
    </r>
  </si>
  <si>
    <r>
      <rPr>
        <rFont val="맑은 고딕"/>
        <color theme="1"/>
        <sz val="11.0"/>
      </rPr>
      <t>광동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</si>
  <si>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광동제약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</si>
  <si>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</si>
  <si>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구주제약</t>
    </r>
  </si>
  <si>
    <r>
      <rPr>
        <rFont val="맑은 고딕"/>
        <color theme="1"/>
        <sz val="11.0"/>
      </rPr>
      <t>아토릭스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</si>
  <si>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구주제약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</si>
  <si>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</si>
  <si>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구주제약</t>
    </r>
  </si>
  <si>
    <r>
      <rPr>
        <rFont val="맑은 고딕"/>
        <color theme="1"/>
        <sz val="11.0"/>
      </rPr>
      <t>아토릭스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</si>
  <si>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구주제약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</si>
  <si>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</si>
  <si>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국제약품</t>
    </r>
  </si>
  <si>
    <r>
      <rPr>
        <rFont val="맑은 고딕"/>
        <color theme="1"/>
        <sz val="11.0"/>
      </rPr>
      <t>아페코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</si>
  <si>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국제약품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</si>
  <si>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</si>
  <si>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국제약품</t>
    </r>
  </si>
  <si>
    <r>
      <rPr>
        <rFont val="맑은 고딕"/>
        <color theme="1"/>
        <sz val="11.0"/>
      </rPr>
      <t>아페코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</si>
  <si>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국제약품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</si>
  <si>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</si>
  <si>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넥스팜</t>
    </r>
  </si>
  <si>
    <r>
      <rPr>
        <rFont val="맑은 고딕"/>
        <color theme="1"/>
        <sz val="11.0"/>
      </rPr>
      <t>아피토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</si>
  <si>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넥스팜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</si>
  <si>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</si>
  <si>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넥스팜</t>
    </r>
  </si>
  <si>
    <r>
      <rPr>
        <rFont val="맑은 고딕"/>
        <color theme="1"/>
        <sz val="11.0"/>
      </rPr>
      <t>아피토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</si>
  <si>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넥스팜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</si>
  <si>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</si>
  <si>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넥스팜</t>
    </r>
  </si>
  <si>
    <r>
      <rPr>
        <rFont val="맑은 고딕"/>
        <color theme="1"/>
        <sz val="11.0"/>
      </rPr>
      <t>아피토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</si>
  <si>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넥스팜</t>
    </r>
  </si>
  <si>
    <t>atorvastatin calcium 40mg [111503ATB]</t>
  </si>
  <si>
    <t>40mg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</si>
  <si>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</si>
  <si>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넬슨</t>
    </r>
  </si>
  <si>
    <r>
      <rPr>
        <rFont val="맑은 고딕"/>
        <color theme="1"/>
        <sz val="11.0"/>
      </rPr>
      <t>써미토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</si>
  <si>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넬슨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</si>
  <si>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</si>
  <si>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녹십자</t>
    </r>
  </si>
  <si>
    <r>
      <rPr>
        <rFont val="맑은 고딕"/>
        <color theme="1"/>
        <sz val="11.0"/>
      </rPr>
      <t>네오아토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</si>
  <si>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녹십자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</si>
  <si>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</si>
  <si>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녹십자</t>
    </r>
  </si>
  <si>
    <r>
      <rPr>
        <rFont val="맑은 고딕"/>
        <color theme="1"/>
        <sz val="11.0"/>
      </rPr>
      <t>네오아토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</si>
  <si>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녹십자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</si>
  <si>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</si>
  <si>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다산제약</t>
    </r>
  </si>
  <si>
    <r>
      <rPr>
        <rFont val="맑은 고딕"/>
        <color theme="1"/>
        <sz val="11.0"/>
      </rPr>
      <t>리토아틴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</si>
  <si>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다산제약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</si>
  <si>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</si>
  <si>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다산제약</t>
    </r>
  </si>
  <si>
    <r>
      <rPr>
        <rFont val="맑은 고딕"/>
        <color theme="1"/>
        <sz val="11.0"/>
      </rPr>
      <t>리토아틴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</si>
  <si>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다산제약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</si>
  <si>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</si>
  <si>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대우제약</t>
    </r>
  </si>
  <si>
    <r>
      <rPr>
        <rFont val="맑은 고딕"/>
        <color theme="1"/>
        <sz val="11.0"/>
      </rPr>
      <t>리피테롤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</si>
  <si>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대우제약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</si>
  <si>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</si>
  <si>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대우제약</t>
    </r>
  </si>
  <si>
    <r>
      <rPr>
        <rFont val="맑은 고딕"/>
        <color theme="1"/>
        <sz val="11.0"/>
      </rPr>
      <t>리피테롤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</si>
  <si>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대우제약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</si>
  <si>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</si>
  <si>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대웅바이오</t>
    </r>
  </si>
  <si>
    <r>
      <rPr>
        <rFont val="맑은 고딕"/>
        <color theme="1"/>
        <sz val="11.0"/>
      </rPr>
      <t>대웅바이오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</si>
  <si>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대웅바이오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</si>
  <si>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</si>
  <si>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대웅바이오</t>
    </r>
  </si>
  <si>
    <r>
      <rPr>
        <rFont val="맑은 고딕"/>
        <color theme="1"/>
        <sz val="11.0"/>
      </rPr>
      <t>대웅바이오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</si>
  <si>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대웅바이오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</si>
  <si>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</si>
  <si>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대웅바이오</t>
    </r>
  </si>
  <si>
    <r>
      <rPr>
        <rFont val="맑은 고딕"/>
        <color theme="1"/>
        <sz val="11.0"/>
      </rPr>
      <t>대웅바이오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</si>
  <si>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대웅바이오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</si>
  <si>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</si>
  <si>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대웅바이오</t>
    </r>
  </si>
  <si>
    <r>
      <rPr>
        <rFont val="맑은 고딕"/>
        <color theme="1"/>
        <sz val="11.0"/>
      </rPr>
      <t>대웅바이오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80mg</t>
    </r>
  </si>
  <si>
    <r>
      <rPr>
        <rFont val="맑은 고딕"/>
        <color theme="1"/>
        <sz val="11.0"/>
      </rPr>
      <t>대웅바이오</t>
    </r>
  </si>
  <si>
    <t>atorvastatin calcium 80mg [111504ATB]</t>
  </si>
  <si>
    <t>80mg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</si>
  <si>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</si>
  <si>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대웅제약</t>
    </r>
  </si>
  <si>
    <r>
      <rPr>
        <rFont val="맑은 고딕"/>
        <color theme="1"/>
        <sz val="11.0"/>
      </rPr>
      <t>스피틴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</si>
  <si>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대웅제약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</si>
  <si>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</si>
  <si>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대웅제약</t>
    </r>
  </si>
  <si>
    <r>
      <rPr>
        <rFont val="맑은 고딕"/>
        <color theme="1"/>
        <sz val="11.0"/>
      </rPr>
      <t>스피틴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</si>
  <si>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대웅제약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</si>
  <si>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</si>
  <si>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대웅제약</t>
    </r>
  </si>
  <si>
    <r>
      <rPr>
        <rFont val="맑은 고딕"/>
        <color theme="1"/>
        <sz val="11.0"/>
      </rPr>
      <t>스피틴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</si>
  <si>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대웅제약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</si>
  <si>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</si>
  <si>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대원바이오텍</t>
    </r>
  </si>
  <si>
    <r>
      <rPr>
        <rFont val="맑은 고딕"/>
        <color theme="1"/>
        <sz val="11.0"/>
      </rPr>
      <t>리토르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</si>
  <si>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대원바이오텍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</si>
  <si>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</si>
  <si>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대원바이오텍</t>
    </r>
  </si>
  <si>
    <r>
      <rPr>
        <rFont val="맑은 고딕"/>
        <color theme="1"/>
        <sz val="11.0"/>
      </rPr>
      <t>리토르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</si>
  <si>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대원바이오텍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</si>
  <si>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</si>
  <si>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대원제약</t>
    </r>
  </si>
  <si>
    <r>
      <rPr>
        <rFont val="맑은 고딕"/>
        <color theme="1"/>
        <sz val="11.0"/>
      </rPr>
      <t>리피원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</si>
  <si>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대원제약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</si>
  <si>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</si>
  <si>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대원제약</t>
    </r>
  </si>
  <si>
    <r>
      <rPr>
        <rFont val="맑은 고딕"/>
        <color theme="1"/>
        <sz val="11.0"/>
      </rPr>
      <t>리피원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</si>
  <si>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대원제약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</si>
  <si>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</si>
  <si>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대한뉴팜</t>
    </r>
  </si>
  <si>
    <r>
      <rPr>
        <rFont val="맑은 고딕"/>
        <color theme="1"/>
        <sz val="11.0"/>
      </rPr>
      <t>뉴토르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</si>
  <si>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대한뉴팜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</si>
  <si>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</si>
  <si>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대한뉴팜</t>
    </r>
  </si>
  <si>
    <r>
      <rPr>
        <rFont val="맑은 고딕"/>
        <color theme="1"/>
        <sz val="11.0"/>
      </rPr>
      <t>뉴토르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</si>
  <si>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대한뉴팜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</si>
  <si>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</si>
  <si>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동광제약</t>
    </r>
  </si>
  <si>
    <r>
      <rPr>
        <rFont val="맑은 고딕"/>
        <color theme="1"/>
        <sz val="11.0"/>
      </rPr>
      <t>리피롤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</si>
  <si>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동광제약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</si>
  <si>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</si>
  <si>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동광제약</t>
    </r>
  </si>
  <si>
    <r>
      <rPr>
        <rFont val="맑은 고딕"/>
        <color theme="1"/>
        <sz val="11.0"/>
      </rPr>
      <t>리피롤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</si>
  <si>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동광제약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</si>
  <si>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</si>
  <si>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바이오</t>
    </r>
  </si>
  <si>
    <r>
      <rPr>
        <rFont val="맑은 고딕"/>
        <color theme="1"/>
        <sz val="11.0"/>
      </rPr>
      <t>아토스탄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</si>
  <si>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동구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바이오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</si>
  <si>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</si>
  <si>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바이오</t>
    </r>
  </si>
  <si>
    <r>
      <rPr>
        <rFont val="맑은 고딕"/>
        <color theme="1"/>
        <sz val="11.0"/>
      </rPr>
      <t>아토스탄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</si>
  <si>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동구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바이오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</si>
  <si>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</si>
  <si>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동국제약</t>
    </r>
  </si>
  <si>
    <r>
      <rPr>
        <rFont val="맑은 고딕"/>
        <color theme="1"/>
        <sz val="11.0"/>
      </rPr>
      <t>아토반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</si>
  <si>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동국제약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</si>
  <si>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</si>
  <si>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동국제약</t>
    </r>
  </si>
  <si>
    <r>
      <rPr>
        <rFont val="맑은 고딕"/>
        <color theme="1"/>
        <sz val="11.0"/>
      </rPr>
      <t>아토반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</si>
  <si>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동국제약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</si>
  <si>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</si>
  <si>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동성제약</t>
    </r>
  </si>
  <si>
    <r>
      <rPr>
        <rFont val="맑은 고딕"/>
        <color theme="1"/>
        <sz val="11.0"/>
      </rPr>
      <t>아바스타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</si>
  <si>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동성제약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</si>
  <si>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</si>
  <si>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동아에스티</t>
    </r>
  </si>
  <si>
    <r>
      <rPr>
        <rFont val="맑은 고딕"/>
        <color theme="1"/>
        <sz val="11.0"/>
      </rPr>
      <t>리피논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</si>
  <si>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동아에스티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</si>
  <si>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</si>
  <si>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동아에스티</t>
    </r>
  </si>
  <si>
    <r>
      <rPr>
        <rFont val="맑은 고딕"/>
        <color theme="1"/>
        <sz val="11.0"/>
      </rPr>
      <t>리피논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</si>
  <si>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동아에스티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</si>
  <si>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</si>
  <si>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동아에스티</t>
    </r>
  </si>
  <si>
    <r>
      <rPr>
        <rFont val="맑은 고딕"/>
        <color theme="1"/>
        <sz val="11.0"/>
      </rPr>
      <t>리피논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</si>
  <si>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동아에스티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</si>
  <si>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</si>
  <si>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동아에스티</t>
    </r>
  </si>
  <si>
    <r>
      <rPr>
        <rFont val="맑은 고딕"/>
        <color theme="1"/>
        <sz val="11.0"/>
      </rPr>
      <t>리피논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80mg</t>
    </r>
  </si>
  <si>
    <r>
      <rPr>
        <rFont val="맑은 고딕"/>
        <color theme="1"/>
        <sz val="11.0"/>
      </rPr>
      <t>동아에스티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</si>
  <si>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</si>
  <si>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동화약품</t>
    </r>
  </si>
  <si>
    <r>
      <rPr>
        <rFont val="맑은 고딕"/>
        <color theme="1"/>
        <sz val="11.0"/>
      </rPr>
      <t>아토스타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</si>
  <si>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동화약품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</si>
  <si>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</si>
  <si>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동화약품</t>
    </r>
  </si>
  <si>
    <r>
      <rPr>
        <rFont val="맑은 고딕"/>
        <color theme="1"/>
        <sz val="11.0"/>
      </rPr>
      <t>아토스타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</si>
  <si>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동화약품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</si>
  <si>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</si>
  <si>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동화약품</t>
    </r>
  </si>
  <si>
    <r>
      <rPr>
        <rFont val="맑은 고딕"/>
        <color theme="1"/>
        <sz val="11.0"/>
      </rPr>
      <t>아토스타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</si>
  <si>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동화약품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</si>
  <si>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</si>
  <si>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라파팜</t>
    </r>
  </si>
  <si>
    <r>
      <rPr>
        <rFont val="맑은 고딕"/>
        <color theme="1"/>
        <sz val="11.0"/>
      </rPr>
      <t>뉴피토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</si>
  <si>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라이트팜텍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</si>
  <si>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</si>
  <si>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라파팜</t>
    </r>
  </si>
  <si>
    <r>
      <rPr>
        <rFont val="맑은 고딕"/>
        <color theme="1"/>
        <sz val="11.0"/>
      </rPr>
      <t>뉴피토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</si>
  <si>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라이트팜텍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</si>
  <si>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</si>
  <si>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마더스</t>
    </r>
  </si>
  <si>
    <r>
      <rPr>
        <rFont val="맑은 고딕"/>
        <color theme="1"/>
        <sz val="11.0"/>
      </rPr>
      <t>아토틴엠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</si>
  <si>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마더스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</si>
  <si>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</si>
  <si>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마더스</t>
    </r>
  </si>
  <si>
    <r>
      <rPr>
        <rFont val="맑은 고딕"/>
        <color theme="1"/>
        <sz val="11.0"/>
      </rPr>
      <t>아토틴엠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</si>
  <si>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마더스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</si>
  <si>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</si>
  <si>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메디카코리아</t>
    </r>
  </si>
  <si>
    <r>
      <rPr>
        <rFont val="맑은 고딕"/>
        <color theme="1"/>
        <sz val="11.0"/>
      </rPr>
      <t>아토테롤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</si>
  <si>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메디카코리아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</si>
  <si>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</si>
  <si>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메디카코리아</t>
    </r>
  </si>
  <si>
    <r>
      <rPr>
        <rFont val="맑은 고딕"/>
        <color theme="1"/>
        <sz val="11.0"/>
      </rPr>
      <t>아토테롤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</si>
  <si>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메디카코리아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</si>
  <si>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</si>
  <si>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명문제약</t>
    </r>
  </si>
  <si>
    <r>
      <rPr>
        <rFont val="맑은 고딕"/>
        <color theme="1"/>
        <sz val="11.0"/>
      </rPr>
      <t>명문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</si>
  <si>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명문제약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</si>
  <si>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</si>
  <si>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명문제약</t>
    </r>
  </si>
  <si>
    <r>
      <rPr>
        <rFont val="맑은 고딕"/>
        <color theme="1"/>
        <sz val="11.0"/>
      </rPr>
      <t>명문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</si>
  <si>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명문제약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</si>
  <si>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</si>
  <si>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바스칸바이오제약</t>
    </r>
  </si>
  <si>
    <r>
      <rPr>
        <rFont val="맑은 고딕"/>
        <color theme="1"/>
        <sz val="11.0"/>
      </rPr>
      <t>레토바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</si>
  <si>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바스칸바이오제약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</si>
  <si>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</si>
  <si>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바스칸바이오제약</t>
    </r>
  </si>
  <si>
    <r>
      <rPr>
        <rFont val="맑은 고딕"/>
        <color theme="1"/>
        <sz val="11.0"/>
      </rPr>
      <t>레토바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</si>
  <si>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바스칸바이오제약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</si>
  <si>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</si>
  <si>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바이넥스</t>
    </r>
  </si>
  <si>
    <r>
      <rPr>
        <rFont val="맑은 고딕"/>
        <color theme="1"/>
        <sz val="11.0"/>
      </rPr>
      <t>바이피토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</si>
  <si>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바이넥스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</si>
  <si>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</si>
  <si>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바이넥스</t>
    </r>
  </si>
  <si>
    <r>
      <rPr>
        <rFont val="맑은 고딕"/>
        <color theme="1"/>
        <sz val="11.0"/>
      </rPr>
      <t>바이피토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</si>
  <si>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바이넥스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</si>
  <si>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</si>
  <si>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보령</t>
    </r>
  </si>
  <si>
    <r>
      <rPr>
        <rFont val="맑은 고딕"/>
        <color theme="1"/>
        <sz val="11.0"/>
      </rPr>
      <t>리피산트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</si>
  <si>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보령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</si>
  <si>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</si>
  <si>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보령</t>
    </r>
  </si>
  <si>
    <r>
      <rPr>
        <rFont val="맑은 고딕"/>
        <color theme="1"/>
        <sz val="11.0"/>
      </rPr>
      <t>리피산트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</si>
  <si>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보령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</si>
  <si>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</si>
  <si>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보령바이오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파마</t>
    </r>
  </si>
  <si>
    <r>
      <rPr>
        <rFont val="맑은 고딕"/>
        <color theme="1"/>
        <sz val="11.0"/>
      </rPr>
      <t>리피아토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</si>
  <si>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보령바이오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</si>
  <si>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</si>
  <si>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보령바이오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파마</t>
    </r>
  </si>
  <si>
    <r>
      <rPr>
        <rFont val="맑은 고딕"/>
        <color theme="1"/>
        <sz val="11.0"/>
      </rPr>
      <t>리피아토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</si>
  <si>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보령바이오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</si>
  <si>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</si>
  <si>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부광약품</t>
    </r>
  </si>
  <si>
    <r>
      <rPr>
        <rFont val="맑은 고딕"/>
        <color theme="1"/>
        <sz val="11.0"/>
      </rPr>
      <t>리피스틴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</si>
  <si>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부광약품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</si>
  <si>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</si>
  <si>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부광약품</t>
    </r>
  </si>
  <si>
    <r>
      <rPr>
        <rFont val="맑은 고딕"/>
        <color theme="1"/>
        <sz val="11.0"/>
      </rPr>
      <t>리피스틴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</si>
  <si>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부광약품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</si>
  <si>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</si>
  <si>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비보존제약</t>
    </r>
  </si>
  <si>
    <r>
      <rPr>
        <rFont val="맑은 고딕"/>
        <color theme="1"/>
        <sz val="11.0"/>
      </rPr>
      <t>비보존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</si>
  <si>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비보존제약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</si>
  <si>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</si>
  <si>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비보존제약</t>
    </r>
  </si>
  <si>
    <r>
      <rPr>
        <rFont val="맑은 고딕"/>
        <color theme="1"/>
        <sz val="11.0"/>
      </rPr>
      <t>비보존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</si>
  <si>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비보존제약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</si>
  <si>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</si>
  <si>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비씨월드</t>
    </r>
  </si>
  <si>
    <r>
      <rPr>
        <rFont val="맑은 고딕"/>
        <color theme="1"/>
        <sz val="11.0"/>
      </rPr>
      <t>비씨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</si>
  <si>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비씨월드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</si>
  <si>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</si>
  <si>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비씨월드</t>
    </r>
  </si>
  <si>
    <r>
      <rPr>
        <rFont val="맑은 고딕"/>
        <color theme="1"/>
        <sz val="11.0"/>
      </rPr>
      <t>비씨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</si>
  <si>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비씨월드</t>
    </r>
  </si>
  <si>
    <t>[C10A1] 스타틴류 (HMG-CoA 환원효소 억제제)</t>
  </si>
  <si>
    <t>리피토 정 10mg</t>
  </si>
  <si>
    <t>리피토 정 20mg</t>
  </si>
  <si>
    <t>리피토 정 40mg</t>
  </si>
  <si>
    <t>리피토 정 80mg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</si>
  <si>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</si>
  <si>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삼성제약</t>
    </r>
  </si>
  <si>
    <r>
      <rPr>
        <rFont val="맑은 고딕"/>
        <color theme="1"/>
        <sz val="11.0"/>
      </rPr>
      <t>아토로틴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</si>
  <si>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삼성제약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</si>
  <si>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</si>
  <si>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삼익제약</t>
    </r>
  </si>
  <si>
    <r>
      <rPr>
        <rFont val="맑은 고딕"/>
        <color theme="1"/>
        <sz val="11.0"/>
      </rPr>
      <t>바로스타틴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</si>
  <si>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삼익제약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</si>
  <si>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</si>
  <si>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삼익제약</t>
    </r>
  </si>
  <si>
    <r>
      <rPr>
        <rFont val="맑은 고딕"/>
        <color theme="1"/>
        <sz val="11.0"/>
      </rPr>
      <t>바로스타틴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</si>
  <si>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삼익제약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</si>
  <si>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</si>
  <si>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삼진제약</t>
    </r>
  </si>
  <si>
    <r>
      <rPr>
        <rFont val="맑은 고딕"/>
        <color theme="1"/>
        <sz val="11.0"/>
      </rPr>
      <t>뉴스타틴</t>
    </r>
    <r>
      <rPr>
        <rFont val="Calibri"/>
        <color theme="1"/>
        <sz val="11.0"/>
      </rPr>
      <t>-</t>
    </r>
    <r>
      <rPr>
        <rFont val="맑은 고딕"/>
        <color theme="1"/>
        <sz val="11.0"/>
      </rPr>
      <t>에이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</si>
  <si>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삼진제약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</si>
  <si>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</si>
  <si>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삼진제약</t>
    </r>
  </si>
  <si>
    <r>
      <rPr>
        <rFont val="맑은 고딕"/>
        <color theme="1"/>
        <sz val="11.0"/>
      </rPr>
      <t>뉴스타틴</t>
    </r>
    <r>
      <rPr>
        <rFont val="Calibri"/>
        <color theme="1"/>
        <sz val="11.0"/>
      </rPr>
      <t>-</t>
    </r>
    <r>
      <rPr>
        <rFont val="맑은 고딕"/>
        <color theme="1"/>
        <sz val="11.0"/>
      </rPr>
      <t>에이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</si>
  <si>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삼진제약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</si>
  <si>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</si>
  <si>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삼진제약</t>
    </r>
  </si>
  <si>
    <r>
      <rPr>
        <rFont val="맑은 고딕"/>
        <color theme="1"/>
        <sz val="11.0"/>
      </rPr>
      <t>뉴스타틴</t>
    </r>
    <r>
      <rPr>
        <rFont val="Calibri"/>
        <color theme="1"/>
        <sz val="11.0"/>
      </rPr>
      <t>-</t>
    </r>
    <r>
      <rPr>
        <rFont val="맑은 고딕"/>
        <color theme="1"/>
        <sz val="11.0"/>
      </rPr>
      <t>에이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</si>
  <si>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삼진제약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</si>
  <si>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</si>
  <si>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삼천당</t>
    </r>
  </si>
  <si>
    <r>
      <rPr>
        <rFont val="맑은 고딕"/>
        <color theme="1"/>
        <sz val="11.0"/>
      </rPr>
      <t>아토로우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</si>
  <si>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삼천당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</si>
  <si>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</si>
  <si>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삼천당</t>
    </r>
  </si>
  <si>
    <r>
      <rPr>
        <rFont val="맑은 고딕"/>
        <color theme="1"/>
        <sz val="11.0"/>
      </rPr>
      <t>아토로우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</si>
  <si>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삼천당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</si>
  <si>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</si>
  <si>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새한제약</t>
    </r>
  </si>
  <si>
    <r>
      <rPr>
        <rFont val="맑은 고딕"/>
        <color theme="1"/>
        <sz val="11.0"/>
      </rPr>
      <t>아토잘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</si>
  <si>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새한제약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</si>
  <si>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</si>
  <si>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새한제약</t>
    </r>
  </si>
  <si>
    <r>
      <rPr>
        <rFont val="맑은 고딕"/>
        <color theme="1"/>
        <sz val="11.0"/>
      </rPr>
      <t>아토잘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</si>
  <si>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새한제약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</si>
  <si>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</si>
  <si>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서울제약</t>
    </r>
  </si>
  <si>
    <r>
      <rPr>
        <rFont val="맑은 고딕"/>
        <color theme="1"/>
        <sz val="11.0"/>
      </rPr>
      <t>아토르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</si>
  <si>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서울제약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</si>
  <si>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</si>
  <si>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서울제약</t>
    </r>
  </si>
  <si>
    <r>
      <rPr>
        <rFont val="맑은 고딕"/>
        <color theme="1"/>
        <sz val="11.0"/>
      </rPr>
      <t>아토르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</si>
  <si>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서울제약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</si>
  <si>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</si>
  <si>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서흥</t>
    </r>
  </si>
  <si>
    <r>
      <rPr>
        <rFont val="맑은 고딕"/>
        <color theme="1"/>
        <sz val="11.0"/>
      </rPr>
      <t>알토바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</si>
  <si>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서흥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</si>
  <si>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</si>
  <si>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성원애드콕</t>
    </r>
  </si>
  <si>
    <r>
      <rPr>
        <rFont val="맑은 고딕"/>
        <color theme="1"/>
        <sz val="11.0"/>
      </rPr>
      <t>리피톨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</si>
  <si>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성원애드콕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</si>
  <si>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</si>
  <si>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셀릭스</t>
    </r>
  </si>
  <si>
    <r>
      <rPr>
        <rFont val="맑은 고딕"/>
        <color theme="1"/>
        <sz val="11.0"/>
      </rPr>
      <t>아스타틴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</si>
  <si>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셀릭스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</si>
  <si>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</si>
  <si>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셀릭스</t>
    </r>
  </si>
  <si>
    <r>
      <rPr>
        <rFont val="맑은 고딕"/>
        <color theme="1"/>
        <sz val="11.0"/>
      </rPr>
      <t>아스타틴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</si>
  <si>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셀릭스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</si>
  <si>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</si>
  <si>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셀트리온제약</t>
    </r>
  </si>
  <si>
    <r>
      <rPr>
        <rFont val="맑은 고딕"/>
        <color theme="1"/>
        <sz val="11.0"/>
      </rPr>
      <t>토바스틴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</si>
  <si>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셀트리온제약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</si>
  <si>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</si>
  <si>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셀트리온제약</t>
    </r>
  </si>
  <si>
    <r>
      <rPr>
        <rFont val="맑은 고딕"/>
        <color theme="1"/>
        <sz val="11.0"/>
      </rPr>
      <t>토바스틴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</si>
  <si>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셀트리온제약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</si>
  <si>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</si>
  <si>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시어스제약</t>
    </r>
  </si>
  <si>
    <r>
      <rPr>
        <rFont val="맑은 고딕"/>
        <color theme="1"/>
        <sz val="11.0"/>
      </rPr>
      <t>아르테크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</si>
  <si>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시어스제약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</si>
  <si>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</si>
  <si>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시어스제약</t>
    </r>
  </si>
  <si>
    <r>
      <rPr>
        <rFont val="맑은 고딕"/>
        <color theme="1"/>
        <sz val="11.0"/>
      </rPr>
      <t>아르테크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</si>
  <si>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시어스제약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</si>
  <si>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</si>
  <si>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신일제약</t>
    </r>
  </si>
  <si>
    <r>
      <rPr>
        <rFont val="맑은 고딕"/>
        <color theme="1"/>
        <sz val="11.0"/>
      </rPr>
      <t>리피칸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</si>
  <si>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신일제약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</si>
  <si>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</si>
  <si>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신일제약</t>
    </r>
  </si>
  <si>
    <r>
      <rPr>
        <rFont val="맑은 고딕"/>
        <color theme="1"/>
        <sz val="11.0"/>
      </rPr>
      <t>리피칸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</si>
  <si>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신일제약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</si>
  <si>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</si>
  <si>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신일제약</t>
    </r>
  </si>
  <si>
    <r>
      <rPr>
        <rFont val="맑은 고딕"/>
        <color theme="1"/>
        <sz val="11.0"/>
      </rPr>
      <t>리피칸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</si>
  <si>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신일제약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</si>
  <si>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</si>
  <si>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신텍스제약</t>
    </r>
  </si>
  <si>
    <r>
      <rPr>
        <rFont val="맑은 고딕"/>
        <color theme="1"/>
        <sz val="11.0"/>
      </rPr>
      <t>리피탑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</si>
  <si>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신텍스제약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</si>
  <si>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</si>
  <si>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신풍제약</t>
    </r>
  </si>
  <si>
    <r>
      <rPr>
        <rFont val="맑은 고딕"/>
        <color theme="1"/>
        <sz val="11.0"/>
      </rPr>
      <t>바토르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</si>
  <si>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신풍제약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</si>
  <si>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</si>
  <si>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신풍제약</t>
    </r>
  </si>
  <si>
    <r>
      <rPr>
        <rFont val="맑은 고딕"/>
        <color theme="1"/>
        <sz val="11.0"/>
      </rPr>
      <t>바토르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</si>
  <si>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신풍제약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</si>
  <si>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</si>
  <si>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씨엠지제약</t>
    </r>
  </si>
  <si>
    <r>
      <rPr>
        <rFont val="맑은 고딕"/>
        <color theme="1"/>
        <sz val="11.0"/>
      </rPr>
      <t>아로토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</si>
  <si>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씨엠지제약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</si>
  <si>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</si>
  <si>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씨엠지제약</t>
    </r>
  </si>
  <si>
    <r>
      <rPr>
        <rFont val="맑은 고딕"/>
        <color theme="1"/>
        <sz val="11.0"/>
      </rPr>
      <t>아로토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</si>
  <si>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씨엠지제약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</si>
  <si>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</si>
  <si>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씨티씨바이오</t>
    </r>
  </si>
  <si>
    <r>
      <rPr>
        <rFont val="맑은 고딕"/>
        <color theme="1"/>
        <sz val="11.0"/>
      </rPr>
      <t>아로틴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</si>
  <si>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씨티씨바이오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</si>
  <si>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</si>
  <si>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씨티씨바이오</t>
    </r>
  </si>
  <si>
    <r>
      <rPr>
        <rFont val="맑은 고딕"/>
        <color theme="1"/>
        <sz val="11.0"/>
      </rPr>
      <t>아로틴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</si>
  <si>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씨티씨바이오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</si>
  <si>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</si>
  <si>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아이월드</t>
    </r>
  </si>
  <si>
    <r>
      <rPr>
        <rFont val="맑은 고딕"/>
        <color theme="1"/>
        <sz val="11.0"/>
      </rPr>
      <t>아이타틴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</si>
  <si>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아이월드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</si>
  <si>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</si>
  <si>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아이큐어</t>
    </r>
  </si>
  <si>
    <r>
      <rPr>
        <rFont val="맑은 고딕"/>
        <color theme="1"/>
        <sz val="11.0"/>
      </rPr>
      <t>리피큐어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</si>
  <si>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아이큐어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</si>
  <si>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</si>
  <si>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아주약품</t>
    </r>
  </si>
  <si>
    <r>
      <rPr>
        <rFont val="맑은 고딕"/>
        <color theme="1"/>
        <sz val="11.0"/>
      </rPr>
      <t>올피트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</si>
  <si>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아주약품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</si>
  <si>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</si>
  <si>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아주약품</t>
    </r>
  </si>
  <si>
    <r>
      <rPr>
        <rFont val="맑은 고딕"/>
        <color theme="1"/>
        <sz val="11.0"/>
      </rPr>
      <t>올피트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</si>
  <si>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아주약품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</si>
  <si>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</si>
  <si>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안국뉴팜</t>
    </r>
  </si>
  <si>
    <r>
      <rPr>
        <rFont val="맑은 고딕"/>
        <color theme="1"/>
        <sz val="11.0"/>
      </rPr>
      <t>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</si>
  <si>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안국뉴팜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</si>
  <si>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</si>
  <si>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안국뉴팜</t>
    </r>
  </si>
  <si>
    <r>
      <rPr>
        <rFont val="맑은 고딕"/>
        <color theme="1"/>
        <sz val="11.0"/>
      </rPr>
      <t>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</si>
  <si>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안국뉴팜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</si>
  <si>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</si>
  <si>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안국약품</t>
    </r>
  </si>
  <si>
    <r>
      <rPr>
        <rFont val="맑은 고딕"/>
        <color theme="1"/>
        <sz val="11.0"/>
      </rPr>
      <t>리포액틴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</si>
  <si>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안국약품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</si>
  <si>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</si>
  <si>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안국약품</t>
    </r>
  </si>
  <si>
    <r>
      <rPr>
        <rFont val="맑은 고딕"/>
        <color theme="1"/>
        <sz val="11.0"/>
      </rPr>
      <t>리포액틴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</si>
  <si>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안국약품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</si>
  <si>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</si>
  <si>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안국약품</t>
    </r>
  </si>
  <si>
    <r>
      <rPr>
        <rFont val="맑은 고딕"/>
        <color theme="1"/>
        <sz val="11.0"/>
      </rPr>
      <t>리포액틴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</si>
  <si>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안국약품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</si>
  <si>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</si>
  <si>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알리코</t>
    </r>
  </si>
  <si>
    <r>
      <rPr>
        <rFont val="맑은 고딕"/>
        <color theme="1"/>
        <sz val="11.0"/>
      </rPr>
      <t>아르바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</si>
  <si>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알리코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</si>
  <si>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</si>
  <si>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알리코</t>
    </r>
  </si>
  <si>
    <r>
      <rPr>
        <rFont val="맑은 고딕"/>
        <color theme="1"/>
        <sz val="11.0"/>
      </rPr>
      <t>아르바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</si>
  <si>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알리코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</si>
  <si>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</si>
  <si>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알리코</t>
    </r>
  </si>
  <si>
    <r>
      <rPr>
        <rFont val="맑은 고딕"/>
        <color theme="1"/>
        <sz val="11.0"/>
      </rPr>
      <t>아르바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</si>
  <si>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알리코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</si>
  <si>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</si>
  <si>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알보젠코리아</t>
    </r>
  </si>
  <si>
    <r>
      <rPr>
        <rFont val="맑은 고딕"/>
        <color theme="1"/>
        <sz val="11.0"/>
      </rPr>
      <t>엘디로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</si>
  <si>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알보젠코리아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</si>
  <si>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</si>
  <si>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알보젠코리아</t>
    </r>
  </si>
  <si>
    <r>
      <rPr>
        <rFont val="맑은 고딕"/>
        <color theme="1"/>
        <sz val="11.0"/>
      </rPr>
      <t>엘디로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</si>
  <si>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알보젠코리아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</si>
  <si>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</si>
  <si>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알피바이오</t>
    </r>
  </si>
  <si>
    <r>
      <rPr>
        <rFont val="맑은 고딕"/>
        <color theme="1"/>
        <sz val="11.0"/>
      </rPr>
      <t>알피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</si>
  <si>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알피바이오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</si>
  <si>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</si>
  <si>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알피바이오</t>
    </r>
  </si>
  <si>
    <r>
      <rPr>
        <rFont val="맑은 고딕"/>
        <color theme="1"/>
        <sz val="11.0"/>
      </rPr>
      <t>알피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</si>
  <si>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알피바이오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</si>
  <si>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</si>
  <si>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에이치엘비제약</t>
    </r>
  </si>
  <si>
    <r>
      <rPr>
        <rFont val="맑은 고딕"/>
        <color theme="1"/>
        <sz val="11.0"/>
      </rPr>
      <t>라도바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</si>
  <si>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에이치엘비제약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</si>
  <si>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</si>
  <si>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에이치엘비제약</t>
    </r>
  </si>
  <si>
    <r>
      <rPr>
        <rFont val="맑은 고딕"/>
        <color theme="1"/>
        <sz val="11.0"/>
      </rPr>
      <t>라도바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</si>
  <si>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에이치엘비제약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</si>
  <si>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</si>
  <si>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에이치엘비제약</t>
    </r>
  </si>
  <si>
    <r>
      <rPr>
        <rFont val="맑은 고딕"/>
        <color theme="1"/>
        <sz val="11.0"/>
      </rPr>
      <t>라도바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</si>
  <si>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에이치엘비제약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</si>
  <si>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</si>
  <si>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에이프로젠바이오로직스</t>
    </r>
  </si>
  <si>
    <r>
      <rPr>
        <rFont val="맑은 고딕"/>
        <color theme="1"/>
        <sz val="11.0"/>
      </rPr>
      <t>라토바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</si>
  <si>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에이프로젠바이오로직스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</si>
  <si>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</si>
  <si>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에이프로젠바이오로직스</t>
    </r>
  </si>
  <si>
    <r>
      <rPr>
        <rFont val="맑은 고딕"/>
        <color theme="1"/>
        <sz val="11.0"/>
      </rPr>
      <t>라토바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</si>
  <si>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에이프로젠바이오로직스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</si>
  <si>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</si>
  <si>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엔비케이제약</t>
    </r>
  </si>
  <si>
    <r>
      <rPr>
        <rFont val="맑은 고딕"/>
        <color theme="1"/>
        <sz val="11.0"/>
      </rPr>
      <t>리피크린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</si>
  <si>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엔비케이제약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</si>
  <si>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</si>
  <si>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엘앤씨바이오</t>
    </r>
  </si>
  <si>
    <r>
      <rPr>
        <rFont val="맑은 고딕"/>
        <color theme="1"/>
        <sz val="11.0"/>
      </rPr>
      <t>메가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</si>
  <si>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엘앤씨바이오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</si>
  <si>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</si>
  <si>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영일제약</t>
    </r>
  </si>
  <si>
    <r>
      <rPr>
        <rFont val="맑은 고딕"/>
        <color theme="1"/>
        <sz val="11.0"/>
      </rPr>
      <t>아로반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</si>
  <si>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영일제약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</si>
  <si>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</si>
  <si>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영일제약</t>
    </r>
  </si>
  <si>
    <r>
      <rPr>
        <rFont val="맑은 고딕"/>
        <color theme="1"/>
        <sz val="11.0"/>
      </rPr>
      <t>아로반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</si>
  <si>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영일제약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</si>
  <si>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</si>
  <si>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영진약품</t>
    </r>
  </si>
  <si>
    <r>
      <rPr>
        <rFont val="맑은 고딕"/>
        <color theme="1"/>
        <sz val="11.0"/>
      </rPr>
      <t>아토바진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</si>
  <si>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영진약품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</si>
  <si>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</si>
  <si>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영진약품</t>
    </r>
  </si>
  <si>
    <r>
      <rPr>
        <rFont val="맑은 고딕"/>
        <color theme="1"/>
        <sz val="11.0"/>
      </rPr>
      <t>아토바진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</si>
  <si>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영진약품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</si>
  <si>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</si>
  <si>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영풍제약</t>
    </r>
  </si>
  <si>
    <r>
      <rPr>
        <rFont val="맑은 고딕"/>
        <color theme="1"/>
        <sz val="11.0"/>
      </rPr>
      <t>리피스타틴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</si>
  <si>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영풍제약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</si>
  <si>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</si>
  <si>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영풍제약</t>
    </r>
  </si>
  <si>
    <r>
      <rPr>
        <rFont val="맑은 고딕"/>
        <color theme="1"/>
        <sz val="11.0"/>
      </rPr>
      <t>리피스타틴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</si>
  <si>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영풍제약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</si>
  <si>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</si>
  <si>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오스코리아</t>
    </r>
  </si>
  <si>
    <r>
      <rPr>
        <rFont val="맑은 고딕"/>
        <color theme="1"/>
        <sz val="11.0"/>
      </rPr>
      <t>오코바스타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</si>
  <si>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오스코리아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</si>
  <si>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</si>
  <si>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오스틴</t>
    </r>
  </si>
  <si>
    <r>
      <rPr>
        <rFont val="맑은 고딕"/>
        <color theme="1"/>
        <sz val="11.0"/>
      </rPr>
      <t>아르틴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</si>
  <si>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오스틴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</si>
  <si>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</si>
  <si>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오스틴</t>
    </r>
  </si>
  <si>
    <r>
      <rPr>
        <rFont val="맑은 고딕"/>
        <color theme="1"/>
        <sz val="11.0"/>
      </rPr>
      <t>아르틴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</si>
  <si>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오스틴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</si>
  <si>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</si>
  <si>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옵투스제약</t>
    </r>
  </si>
  <si>
    <r>
      <rPr>
        <rFont val="맑은 고딕"/>
        <color theme="1"/>
        <sz val="11.0"/>
      </rPr>
      <t>아토린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</si>
  <si>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옵투스제약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</si>
  <si>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</si>
  <si>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위더스제약</t>
    </r>
  </si>
  <si>
    <r>
      <rPr>
        <rFont val="맑은 고딕"/>
        <color theme="1"/>
        <sz val="11.0"/>
      </rPr>
      <t>아토렌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</si>
  <si>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위더스제약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</si>
  <si>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</si>
  <si>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위더스제약</t>
    </r>
  </si>
  <si>
    <r>
      <rPr>
        <rFont val="맑은 고딕"/>
        <color theme="1"/>
        <sz val="11.0"/>
      </rPr>
      <t>아토렌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</si>
  <si>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위더스제약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</si>
  <si>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</si>
  <si>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위더스제약</t>
    </r>
  </si>
  <si>
    <r>
      <rPr>
        <rFont val="맑은 고딕"/>
        <color theme="1"/>
        <sz val="11.0"/>
      </rPr>
      <t>아토렌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</si>
  <si>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위더스제약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</si>
  <si>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</si>
  <si>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유나이티드</t>
    </r>
  </si>
  <si>
    <r>
      <rPr>
        <rFont val="맑은 고딕"/>
        <color theme="1"/>
        <sz val="11.0"/>
      </rPr>
      <t>뉴펙스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</si>
  <si>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유나이티드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</si>
  <si>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</si>
  <si>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유나이티드</t>
    </r>
  </si>
  <si>
    <r>
      <rPr>
        <rFont val="맑은 고딕"/>
        <color theme="1"/>
        <sz val="11.0"/>
      </rPr>
      <t>뉴펙스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</si>
  <si>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유나이티드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</si>
  <si>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</si>
  <si>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유니메드</t>
    </r>
  </si>
  <si>
    <r>
      <rPr>
        <rFont val="맑은 고딕"/>
        <color theme="1"/>
        <sz val="11.0"/>
      </rPr>
      <t>유니피토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</si>
  <si>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유니메드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</si>
  <si>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</si>
  <si>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유니메드</t>
    </r>
  </si>
  <si>
    <r>
      <rPr>
        <rFont val="맑은 고딕"/>
        <color theme="1"/>
        <sz val="11.0"/>
      </rPr>
      <t>유니피토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</si>
  <si>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유니메드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</si>
  <si>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</si>
  <si>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유니온</t>
    </r>
  </si>
  <si>
    <r>
      <rPr>
        <rFont val="맑은 고딕"/>
        <color theme="1"/>
        <sz val="11.0"/>
      </rPr>
      <t>아토르반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</si>
  <si>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유니온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</si>
  <si>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</si>
  <si>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유니온</t>
    </r>
  </si>
  <si>
    <r>
      <rPr>
        <rFont val="맑은 고딕"/>
        <color theme="1"/>
        <sz val="11.0"/>
      </rPr>
      <t>아토르반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</si>
  <si>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유니온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</si>
  <si>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</si>
  <si>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유영제약</t>
    </r>
  </si>
  <si>
    <r>
      <rPr>
        <rFont val="맑은 고딕"/>
        <color theme="1"/>
        <sz val="11.0"/>
      </rPr>
      <t>아토스틴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</si>
  <si>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유영제약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</si>
  <si>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</si>
  <si>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유영제약</t>
    </r>
  </si>
  <si>
    <r>
      <rPr>
        <rFont val="맑은 고딕"/>
        <color theme="1"/>
        <sz val="11.0"/>
      </rPr>
      <t>아토스틴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</si>
  <si>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유영제약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</si>
  <si>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</si>
  <si>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유한양행</t>
    </r>
  </si>
  <si>
    <r>
      <rPr>
        <rFont val="맑은 고딕"/>
        <color theme="1"/>
        <sz val="11.0"/>
      </rPr>
      <t>아토르바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</si>
  <si>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유한양행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</si>
  <si>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</si>
  <si>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유한양행</t>
    </r>
  </si>
  <si>
    <r>
      <rPr>
        <rFont val="맑은 고딕"/>
        <color theme="1"/>
        <sz val="11.0"/>
      </rPr>
      <t>아토르바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</si>
  <si>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유한양행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</si>
  <si>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</si>
  <si>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유한양행</t>
    </r>
  </si>
  <si>
    <r>
      <rPr>
        <rFont val="맑은 고딕"/>
        <color theme="1"/>
        <sz val="11.0"/>
      </rPr>
      <t>아토르바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</si>
  <si>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유한양행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</si>
  <si>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</si>
  <si>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이든파마</t>
    </r>
  </si>
  <si>
    <r>
      <rPr>
        <rFont val="맑은 고딕"/>
        <color theme="1"/>
        <sz val="11.0"/>
      </rPr>
      <t>리피엔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</si>
  <si>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이든파마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</si>
  <si>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</si>
  <si>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이든파마</t>
    </r>
  </si>
  <si>
    <r>
      <rPr>
        <rFont val="맑은 고딕"/>
        <color theme="1"/>
        <sz val="11.0"/>
      </rPr>
      <t>리피엔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</si>
  <si>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이든파마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</si>
  <si>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</si>
  <si>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이연제약</t>
    </r>
  </si>
  <si>
    <r>
      <rPr>
        <rFont val="맑은 고딕"/>
        <color theme="1"/>
        <sz val="11.0"/>
      </rPr>
      <t>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</si>
  <si>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이연제약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</si>
  <si>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</si>
  <si>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이연제약</t>
    </r>
  </si>
  <si>
    <r>
      <rPr>
        <rFont val="맑은 고딕"/>
        <color theme="1"/>
        <sz val="11.0"/>
      </rPr>
      <t>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</si>
  <si>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이연제약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</si>
  <si>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</si>
  <si>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이연제약</t>
    </r>
  </si>
  <si>
    <r>
      <rPr>
        <rFont val="맑은 고딕"/>
        <color theme="1"/>
        <sz val="11.0"/>
      </rPr>
      <t>에이스틴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</si>
  <si>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경보제약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</si>
  <si>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</si>
  <si>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이연제약</t>
    </r>
  </si>
  <si>
    <r>
      <rPr>
        <rFont val="맑은 고딕"/>
        <color theme="1"/>
        <sz val="11.0"/>
      </rPr>
      <t>에이스틴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</si>
  <si>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경보제약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</si>
  <si>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</si>
  <si>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익수제약</t>
    </r>
  </si>
  <si>
    <r>
      <rPr>
        <rFont val="맑은 고딕"/>
        <color theme="1"/>
        <sz val="11.0"/>
      </rPr>
      <t>아토바틴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</si>
  <si>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익수제약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</si>
  <si>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</si>
  <si>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익수제약</t>
    </r>
  </si>
  <si>
    <r>
      <rPr>
        <rFont val="맑은 고딕"/>
        <color theme="1"/>
        <sz val="11.0"/>
      </rPr>
      <t>아토바틴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</si>
  <si>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익수제약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</si>
  <si>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</si>
  <si>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일동제약</t>
    </r>
  </si>
  <si>
    <r>
      <rPr>
        <rFont val="맑은 고딕"/>
        <color theme="1"/>
        <sz val="11.0"/>
      </rPr>
      <t>리피스톱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</si>
  <si>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일동제약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</si>
  <si>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</si>
  <si>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일동제약</t>
    </r>
  </si>
  <si>
    <r>
      <rPr>
        <rFont val="맑은 고딕"/>
        <color theme="1"/>
        <sz val="11.0"/>
      </rPr>
      <t>리피스톱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</si>
  <si>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일동제약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</si>
  <si>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</si>
  <si>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일동제약</t>
    </r>
  </si>
  <si>
    <r>
      <rPr>
        <rFont val="맑은 고딕"/>
        <color theme="1"/>
        <sz val="11.0"/>
      </rPr>
      <t>리피스톱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</si>
  <si>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일동제약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</si>
  <si>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</si>
  <si>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일성아이에스</t>
    </r>
  </si>
  <si>
    <r>
      <rPr>
        <rFont val="맑은 고딕"/>
        <color theme="1"/>
        <sz val="11.0"/>
      </rPr>
      <t>아도르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</si>
  <si>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일성아이에스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</si>
  <si>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</si>
  <si>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일성아이에스</t>
    </r>
  </si>
  <si>
    <r>
      <rPr>
        <rFont val="맑은 고딕"/>
        <color theme="1"/>
        <sz val="11.0"/>
      </rPr>
      <t>아도르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</si>
  <si>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일성아이에스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</si>
  <si>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</si>
  <si>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일양바이오팜</t>
    </r>
  </si>
  <si>
    <r>
      <rPr>
        <rFont val="맑은 고딕"/>
        <color theme="1"/>
        <sz val="11.0"/>
      </rPr>
      <t>일양바이오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아토르바스타틴칼슘삼수화물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</si>
  <si>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일양바이오팜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</si>
  <si>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</si>
  <si>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일양바이오팜</t>
    </r>
  </si>
  <si>
    <r>
      <rPr>
        <rFont val="맑은 고딕"/>
        <color theme="1"/>
        <sz val="11.0"/>
      </rPr>
      <t>일양바이오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아토르바스타틴칼슘삼수화물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</si>
  <si>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일양바이오팜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</si>
  <si>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</si>
  <si>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일양약품</t>
    </r>
  </si>
  <si>
    <r>
      <rPr>
        <rFont val="맑은 고딕"/>
        <color theme="1"/>
        <sz val="11.0"/>
      </rPr>
      <t>일양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</si>
  <si>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일양약품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</si>
  <si>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</si>
  <si>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일양약품</t>
    </r>
  </si>
  <si>
    <r>
      <rPr>
        <rFont val="맑은 고딕"/>
        <color theme="1"/>
        <sz val="11.0"/>
      </rPr>
      <t>일양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</si>
  <si>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일양약품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</si>
  <si>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</si>
  <si>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일화</t>
    </r>
  </si>
  <si>
    <r>
      <rPr>
        <rFont val="맑은 고딕"/>
        <color theme="1"/>
        <sz val="11.0"/>
      </rPr>
      <t>아토타틴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</si>
  <si>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일화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</si>
  <si>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</si>
  <si>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일화</t>
    </r>
  </si>
  <si>
    <r>
      <rPr>
        <rFont val="맑은 고딕"/>
        <color theme="1"/>
        <sz val="11.0"/>
      </rPr>
      <t>아토타틴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</si>
  <si>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일화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</si>
  <si>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</si>
  <si>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제뉴원사이언스</t>
    </r>
  </si>
  <si>
    <r>
      <rPr>
        <rFont val="맑은 고딕"/>
        <color theme="1"/>
        <sz val="11.0"/>
      </rPr>
      <t>리파르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</si>
  <si>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제뉴원사이언스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</si>
  <si>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</si>
  <si>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제뉴원사이언스</t>
    </r>
  </si>
  <si>
    <r>
      <rPr>
        <rFont val="맑은 고딕"/>
        <color theme="1"/>
        <sz val="11.0"/>
      </rPr>
      <t>리파르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</si>
  <si>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제뉴원사이언스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</si>
  <si>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</si>
  <si>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제뉴파마</t>
    </r>
  </si>
  <si>
    <r>
      <rPr>
        <rFont val="맑은 고딕"/>
        <color theme="1"/>
        <sz val="11.0"/>
      </rPr>
      <t>리피도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</si>
  <si>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제뉴파마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</si>
  <si>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</si>
  <si>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제뉴파마</t>
    </r>
  </si>
  <si>
    <r>
      <rPr>
        <rFont val="맑은 고딕"/>
        <color theme="1"/>
        <sz val="11.0"/>
      </rPr>
      <t>리피도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</si>
  <si>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제뉴파마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</si>
  <si>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</si>
  <si>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조아제약</t>
    </r>
  </si>
  <si>
    <r>
      <rPr>
        <rFont val="맑은 고딕"/>
        <color theme="1"/>
        <sz val="11.0"/>
      </rPr>
      <t>아바큐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</si>
  <si>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조아제약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</si>
  <si>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</si>
  <si>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종근당</t>
    </r>
  </si>
  <si>
    <r>
      <rPr>
        <rFont val="맑은 고딕"/>
        <color theme="1"/>
        <sz val="11.0"/>
      </rPr>
      <t>리피로우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</si>
  <si>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종근당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</si>
  <si>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</si>
  <si>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종근당</t>
    </r>
  </si>
  <si>
    <r>
      <rPr>
        <rFont val="맑은 고딕"/>
        <color theme="1"/>
        <sz val="11.0"/>
      </rPr>
      <t>리피로우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</si>
  <si>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종근당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</si>
  <si>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</si>
  <si>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종근당</t>
    </r>
  </si>
  <si>
    <r>
      <rPr>
        <rFont val="맑은 고딕"/>
        <color theme="1"/>
        <sz val="11.0"/>
      </rPr>
      <t>리피로우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</si>
  <si>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종근당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</si>
  <si>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</si>
  <si>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종근당</t>
    </r>
  </si>
  <si>
    <r>
      <rPr>
        <rFont val="맑은 고딕"/>
        <color theme="1"/>
        <sz val="11.0"/>
      </rPr>
      <t>리피로우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80mg</t>
    </r>
  </si>
  <si>
    <r>
      <rPr>
        <rFont val="맑은 고딕"/>
        <color theme="1"/>
        <sz val="11.0"/>
      </rPr>
      <t>종근당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</si>
  <si>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</si>
  <si>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지엘파마</t>
    </r>
  </si>
  <si>
    <r>
      <rPr>
        <rFont val="맑은 고딕"/>
        <color theme="1"/>
        <sz val="11.0"/>
      </rPr>
      <t>리피노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</si>
  <si>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지엘파마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</si>
  <si>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</si>
  <si>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지엘파마</t>
    </r>
  </si>
  <si>
    <r>
      <rPr>
        <rFont val="맑은 고딕"/>
        <color theme="1"/>
        <sz val="11.0"/>
      </rPr>
      <t>리피노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</si>
  <si>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지엘파마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</si>
  <si>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</si>
  <si>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진양제약</t>
    </r>
  </si>
  <si>
    <r>
      <rPr>
        <rFont val="맑은 고딕"/>
        <color theme="1"/>
        <sz val="11.0"/>
      </rPr>
      <t>아토란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</si>
  <si>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진양제약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</si>
  <si>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</si>
  <si>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진양제약</t>
    </r>
  </si>
  <si>
    <r>
      <rPr>
        <rFont val="맑은 고딕"/>
        <color theme="1"/>
        <sz val="11.0"/>
      </rPr>
      <t>아토란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</si>
  <si>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진양제약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</si>
  <si>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</si>
  <si>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케이에스제약</t>
    </r>
  </si>
  <si>
    <r>
      <rPr>
        <rFont val="맑은 고딕"/>
        <color theme="1"/>
        <sz val="11.0"/>
      </rPr>
      <t>아드윈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</si>
  <si>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케이에스제약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</si>
  <si>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</si>
  <si>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케이에스제약</t>
    </r>
  </si>
  <si>
    <r>
      <rPr>
        <rFont val="맑은 고딕"/>
        <color theme="1"/>
        <sz val="11.0"/>
      </rPr>
      <t>아드윈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</si>
  <si>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케이에스제약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</si>
  <si>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</si>
  <si>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케이엠에스</t>
    </r>
  </si>
  <si>
    <r>
      <rPr>
        <rFont val="맑은 고딕"/>
        <color theme="1"/>
        <sz val="11.0"/>
      </rPr>
      <t>아토스포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</si>
  <si>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케이엠에스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</si>
  <si>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</si>
  <si>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케이엠에스</t>
    </r>
  </si>
  <si>
    <r>
      <rPr>
        <rFont val="맑은 고딕"/>
        <color theme="1"/>
        <sz val="11.0"/>
      </rPr>
      <t>아토스포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</si>
  <si>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케이엠에스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</si>
  <si>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</si>
  <si>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코러스</t>
    </r>
  </si>
  <si>
    <r>
      <rPr>
        <rFont val="맑은 고딕"/>
        <color theme="1"/>
        <sz val="11.0"/>
      </rPr>
      <t>케이토바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</si>
  <si>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코러스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</si>
  <si>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</si>
  <si>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킴스제약</t>
    </r>
  </si>
  <si>
    <r>
      <rPr>
        <rFont val="맑은 고딕"/>
        <color theme="1"/>
        <sz val="11.0"/>
      </rPr>
      <t>악토바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</si>
  <si>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킴스제약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</si>
  <si>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</si>
  <si>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킴스제약</t>
    </r>
  </si>
  <si>
    <r>
      <rPr>
        <rFont val="맑은 고딕"/>
        <color theme="1"/>
        <sz val="11.0"/>
      </rPr>
      <t>악토바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</si>
  <si>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킴스제약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</si>
  <si>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</si>
  <si>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킵스바이오파마</t>
    </r>
  </si>
  <si>
    <r>
      <rPr>
        <rFont val="맑은 고딕"/>
        <color theme="1"/>
        <sz val="11.0"/>
      </rPr>
      <t>글로스타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</si>
  <si>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킵스바이오파마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</si>
  <si>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</si>
  <si>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킵스바이오파마</t>
    </r>
  </si>
  <si>
    <r>
      <rPr>
        <rFont val="맑은 고딕"/>
        <color theme="1"/>
        <sz val="11.0"/>
      </rPr>
      <t>글로스타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</si>
  <si>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킵스바이오파마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</si>
  <si>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</si>
  <si>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테라젠이텍스</t>
    </r>
  </si>
  <si>
    <r>
      <rPr>
        <rFont val="맑은 고딕"/>
        <color theme="1"/>
        <sz val="11.0"/>
      </rPr>
      <t>아토센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</si>
  <si>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테라젠이텍스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</si>
  <si>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</si>
  <si>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테라젠이텍스</t>
    </r>
  </si>
  <si>
    <r>
      <rPr>
        <rFont val="맑은 고딕"/>
        <color theme="1"/>
        <sz val="11.0"/>
      </rPr>
      <t>아토센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</si>
  <si>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테라젠이텍스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</si>
  <si>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</si>
  <si>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텔콘제약</t>
    </r>
  </si>
  <si>
    <r>
      <rPr>
        <rFont val="맑은 고딕"/>
        <color theme="1"/>
        <sz val="11.0"/>
      </rPr>
      <t>아토셀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에스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</si>
  <si>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텔콘제약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</si>
  <si>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</si>
  <si>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티디에스팜</t>
    </r>
  </si>
  <si>
    <r>
      <rPr>
        <rFont val="맑은 고딕"/>
        <color theme="1"/>
        <sz val="11.0"/>
      </rPr>
      <t>아토바스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</si>
  <si>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티디에스팜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</si>
  <si>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</si>
  <si>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파비스</t>
    </r>
  </si>
  <si>
    <r>
      <rPr>
        <rFont val="맑은 고딕"/>
        <color theme="1"/>
        <sz val="11.0"/>
      </rPr>
      <t>아로스틴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</si>
  <si>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파비스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</si>
  <si>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</si>
  <si>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파비스</t>
    </r>
  </si>
  <si>
    <r>
      <rPr>
        <rFont val="맑은 고딕"/>
        <color theme="1"/>
        <sz val="11.0"/>
      </rPr>
      <t>아로스틴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</si>
  <si>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파비스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</si>
  <si>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</si>
  <si>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팜젠사이언스</t>
    </r>
  </si>
  <si>
    <r>
      <rPr>
        <rFont val="맑은 고딕"/>
        <color theme="1"/>
        <sz val="11.0"/>
      </rPr>
      <t>리바틴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</si>
  <si>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팜젠사이언스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</si>
  <si>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</si>
  <si>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팜젠사이언스</t>
    </r>
  </si>
  <si>
    <r>
      <rPr>
        <rFont val="맑은 고딕"/>
        <color theme="1"/>
        <sz val="11.0"/>
      </rPr>
      <t>리바틴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</si>
  <si>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팜젠사이언스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</si>
  <si>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</si>
  <si>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퍼슨</t>
    </r>
  </si>
  <si>
    <r>
      <rPr>
        <rFont val="맑은 고딕"/>
        <color theme="1"/>
        <sz val="11.0"/>
      </rPr>
      <t>토르비스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</si>
  <si>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퍼슨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</si>
  <si>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</si>
  <si>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풍림무약</t>
    </r>
  </si>
  <si>
    <r>
      <rPr>
        <rFont val="맑은 고딕"/>
        <color theme="1"/>
        <sz val="11.0"/>
      </rPr>
      <t>아톨바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</si>
  <si>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풍림무약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</si>
  <si>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</si>
  <si>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풍림무약</t>
    </r>
  </si>
  <si>
    <r>
      <rPr>
        <rFont val="맑은 고딕"/>
        <color theme="1"/>
        <sz val="11.0"/>
      </rPr>
      <t>아톨바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</si>
  <si>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풍림무약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</si>
  <si>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</si>
  <si>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피엠지</t>
    </r>
  </si>
  <si>
    <r>
      <rPr>
        <rFont val="맑은 고딕"/>
        <color theme="1"/>
        <sz val="11.0"/>
      </rPr>
      <t>소피아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</si>
  <si>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피엠지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</si>
  <si>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</si>
  <si>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하나제약</t>
    </r>
  </si>
  <si>
    <r>
      <rPr>
        <rFont val="맑은 고딕"/>
        <color theme="1"/>
        <sz val="11.0"/>
      </rPr>
      <t>아리토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</si>
  <si>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하나제약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</si>
  <si>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</si>
  <si>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하나제약</t>
    </r>
  </si>
  <si>
    <r>
      <rPr>
        <rFont val="맑은 고딕"/>
        <color theme="1"/>
        <sz val="11.0"/>
      </rPr>
      <t>아리토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</si>
  <si>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하나제약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</si>
  <si>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</si>
  <si>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하원제약</t>
    </r>
  </si>
  <si>
    <r>
      <rPr>
        <rFont val="맑은 고딕"/>
        <color theme="1"/>
        <sz val="11.0"/>
      </rPr>
      <t>리피트롤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</si>
  <si>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하원제약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</si>
  <si>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</si>
  <si>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한국파마</t>
    </r>
  </si>
  <si>
    <r>
      <rPr>
        <rFont val="맑은 고딕"/>
        <color theme="1"/>
        <sz val="11.0"/>
      </rPr>
      <t>리반틴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</si>
  <si>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한국파마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</si>
  <si>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</si>
  <si>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한국파마</t>
    </r>
  </si>
  <si>
    <r>
      <rPr>
        <rFont val="맑은 고딕"/>
        <color theme="1"/>
        <sz val="11.0"/>
      </rPr>
      <t>리반틴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</si>
  <si>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한국파마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</si>
  <si>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</si>
  <si>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한국프라임제약</t>
    </r>
  </si>
  <si>
    <r>
      <rPr>
        <rFont val="맑은 고딕"/>
        <color theme="1"/>
        <sz val="11.0"/>
      </rPr>
      <t>리스테롤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</si>
  <si>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한국프라임제약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</si>
  <si>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</si>
  <si>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한국프라임제약</t>
    </r>
  </si>
  <si>
    <r>
      <rPr>
        <rFont val="맑은 고딕"/>
        <color theme="1"/>
        <sz val="11.0"/>
      </rPr>
      <t>리스테롤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</si>
  <si>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한국프라임제약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</si>
  <si>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</si>
  <si>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한미약품</t>
    </r>
  </si>
  <si>
    <r>
      <rPr>
        <rFont val="맑은 고딕"/>
        <color theme="1"/>
        <sz val="11.0"/>
      </rPr>
      <t>토바스트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</si>
  <si>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한미약품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</si>
  <si>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</si>
  <si>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한미약품</t>
    </r>
  </si>
  <si>
    <r>
      <rPr>
        <rFont val="맑은 고딕"/>
        <color theme="1"/>
        <sz val="11.0"/>
      </rPr>
      <t>토바스트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</si>
  <si>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한미약품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</si>
  <si>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</si>
  <si>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한미약품</t>
    </r>
  </si>
  <si>
    <r>
      <rPr>
        <rFont val="맑은 고딕"/>
        <color theme="1"/>
        <sz val="11.0"/>
      </rPr>
      <t>토바스트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</si>
  <si>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한미약품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</si>
  <si>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</si>
  <si>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한풍제약</t>
    </r>
  </si>
  <si>
    <r>
      <rPr>
        <rFont val="맑은 고딕"/>
        <color theme="1"/>
        <sz val="11.0"/>
      </rPr>
      <t>에이토바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</si>
  <si>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한풍제약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</si>
  <si>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</si>
  <si>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한풍제약</t>
    </r>
  </si>
  <si>
    <r>
      <rPr>
        <rFont val="맑은 고딕"/>
        <color theme="1"/>
        <sz val="11.0"/>
      </rPr>
      <t>에이토바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</si>
  <si>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한풍제약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</si>
  <si>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</si>
  <si>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한화제약</t>
    </r>
  </si>
  <si>
    <r>
      <rPr>
        <rFont val="맑은 고딕"/>
        <color theme="1"/>
        <sz val="11.0"/>
      </rPr>
      <t>아토산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</si>
  <si>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한화제약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</si>
  <si>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</si>
  <si>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한화제약</t>
    </r>
  </si>
  <si>
    <r>
      <rPr>
        <rFont val="맑은 고딕"/>
        <color theme="1"/>
        <sz val="11.0"/>
      </rPr>
      <t>아토산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</si>
  <si>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한화제약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</si>
  <si>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</si>
  <si>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한화제약</t>
    </r>
  </si>
  <si>
    <r>
      <rPr>
        <rFont val="맑은 고딕"/>
        <color theme="1"/>
        <sz val="11.0"/>
      </rPr>
      <t>아토산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</si>
  <si>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한화제약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</si>
  <si>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</si>
  <si>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현대약품</t>
    </r>
  </si>
  <si>
    <r>
      <rPr>
        <rFont val="맑은 고딕"/>
        <color theme="1"/>
        <sz val="11.0"/>
      </rPr>
      <t>아토로민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</si>
  <si>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현대약품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</si>
  <si>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</si>
  <si>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화이트생명과학</t>
    </r>
  </si>
  <si>
    <r>
      <rPr>
        <rFont val="맑은 고딕"/>
        <color theme="1"/>
        <sz val="11.0"/>
      </rPr>
      <t>아트로드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</si>
  <si>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화이트생명과학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</si>
  <si>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</si>
  <si>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화이트생명과학</t>
    </r>
  </si>
  <si>
    <r>
      <rPr>
        <rFont val="맑은 고딕"/>
        <color theme="1"/>
        <sz val="11.0"/>
      </rPr>
      <t>아트로드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</si>
  <si>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화이트생명과학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</si>
  <si>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</si>
  <si>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화일약품</t>
    </r>
  </si>
  <si>
    <r>
      <rPr>
        <rFont val="맑은 고딕"/>
        <color theme="1"/>
        <sz val="11.0"/>
      </rPr>
      <t>아바틴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</si>
  <si>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화일약품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</si>
  <si>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</si>
  <si>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화일약품</t>
    </r>
  </si>
  <si>
    <r>
      <rPr>
        <rFont val="맑은 고딕"/>
        <color theme="1"/>
        <sz val="11.0"/>
      </rPr>
      <t>아바틴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</si>
  <si>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화일약품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</si>
  <si>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</si>
  <si>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환인제약</t>
    </r>
  </si>
  <si>
    <r>
      <rPr>
        <rFont val="맑은 고딕"/>
        <color theme="1"/>
        <sz val="11.0"/>
      </rPr>
      <t>아토르스타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</si>
  <si>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환인제약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</si>
  <si>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</si>
  <si>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환인제약</t>
    </r>
  </si>
  <si>
    <r>
      <rPr>
        <rFont val="맑은 고딕"/>
        <color theme="1"/>
        <sz val="11.0"/>
      </rPr>
      <t>아토르스타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</si>
  <si>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환인제약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</si>
  <si>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</si>
  <si>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휴비스트제약</t>
    </r>
  </si>
  <si>
    <r>
      <rPr>
        <rFont val="맑은 고딕"/>
        <color theme="1"/>
        <sz val="11.0"/>
      </rPr>
      <t>휴스타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</si>
  <si>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휴비스트제약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</si>
  <si>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</si>
  <si>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휴비스트제약</t>
    </r>
  </si>
  <si>
    <r>
      <rPr>
        <rFont val="맑은 고딕"/>
        <color theme="1"/>
        <sz val="11.0"/>
      </rPr>
      <t>휴스타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</si>
  <si>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휴비스트제약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</si>
  <si>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</si>
  <si>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휴온스</t>
    </r>
  </si>
  <si>
    <r>
      <rPr>
        <rFont val="맑은 고딕"/>
        <color theme="1"/>
        <sz val="11.0"/>
      </rPr>
      <t>휴온스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</si>
  <si>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휴온스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</si>
  <si>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</si>
  <si>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휴온스</t>
    </r>
  </si>
  <si>
    <r>
      <rPr>
        <rFont val="맑은 고딕"/>
        <color theme="1"/>
        <sz val="11.0"/>
      </rPr>
      <t>휴온스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</si>
  <si>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휴온스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</si>
  <si>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</si>
  <si>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휴온스</t>
    </r>
  </si>
  <si>
    <r>
      <rPr>
        <rFont val="맑은 고딕"/>
        <color theme="1"/>
        <sz val="11.0"/>
      </rPr>
      <t>휴온스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</si>
  <si>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휴온스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</si>
  <si>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</si>
  <si>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휴온스메디텍</t>
    </r>
  </si>
  <si>
    <r>
      <rPr>
        <rFont val="맑은 고딕"/>
        <color theme="1"/>
        <sz val="11.0"/>
      </rPr>
      <t>휴니즈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아토르바스타틴칼슘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</si>
  <si>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휴온스메디텍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</si>
  <si>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</si>
  <si>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휴온스생명과학</t>
    </r>
  </si>
  <si>
    <r>
      <rPr>
        <rFont val="맑은 고딕"/>
        <color theme="1"/>
        <sz val="11.0"/>
      </rPr>
      <t>알파스타틴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</si>
  <si>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휴온스생명과학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</si>
  <si>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</si>
  <si>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휴텍스</t>
    </r>
  </si>
  <si>
    <r>
      <rPr>
        <rFont val="맑은 고딕"/>
        <color theme="1"/>
        <sz val="11.0"/>
      </rPr>
      <t>휴텍스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</si>
  <si>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휴텍스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</si>
  <si>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</si>
  <si>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휴텍스</t>
    </r>
  </si>
  <si>
    <r>
      <rPr>
        <rFont val="맑은 고딕"/>
        <color theme="1"/>
        <sz val="11.0"/>
      </rPr>
      <t>휴텍스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</si>
  <si>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휴텍스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</si>
  <si>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</si>
  <si>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휴텍스</t>
    </r>
  </si>
  <si>
    <r>
      <rPr>
        <rFont val="맑은 고딕"/>
        <color theme="1"/>
        <sz val="11.0"/>
      </rPr>
      <t>휴텍스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아토르바스타틴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</si>
  <si>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휴텍스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</si>
  <si>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</si>
  <si>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t>atorvastatin calcium trihydrate  ( as atorvastatin)</t>
  </si>
  <si>
    <r>
      <rPr>
        <rFont val="맑은 고딕"/>
        <color theme="1"/>
        <sz val="11.0"/>
      </rPr>
      <t>종근당</t>
    </r>
  </si>
  <si>
    <r>
      <rPr>
        <rFont val="맑은 고딕"/>
        <color theme="1"/>
        <sz val="11.0"/>
      </rPr>
      <t>리피로우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</si>
  <si>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종근당</t>
    </r>
  </si>
  <si>
    <r>
      <rPr>
        <rFont val="Calibri"/>
        <color theme="1"/>
        <sz val="11.0"/>
      </rPr>
      <t>atorvastatin calcium trihydrate 5.425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atorvastatin) [111505ATB]</t>
    </r>
  </si>
  <si>
    <t>5mg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</si>
  <si>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</si>
  <si>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t>atorvastatin strontium pentahydrate</t>
  </si>
  <si>
    <r>
      <rPr>
        <rFont val="맑은 고딕"/>
        <color theme="1"/>
        <sz val="11.0"/>
      </rPr>
      <t>한미약품</t>
    </r>
  </si>
  <si>
    <r>
      <rPr>
        <rFont val="맑은 고딕"/>
        <color theme="1"/>
        <sz val="11.0"/>
      </rPr>
      <t>뉴바스트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</si>
  <si>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한미약품</t>
    </r>
  </si>
  <si>
    <t>atorvastatin strontium pentahydrate 11.595mg (10mg as atorvastatin) [502201ATB]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</si>
  <si>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</si>
  <si>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한미약품</t>
    </r>
  </si>
  <si>
    <r>
      <rPr>
        <rFont val="맑은 고딕"/>
        <color theme="1"/>
        <sz val="11.0"/>
      </rPr>
      <t>뉴바스트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</si>
  <si>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한미약품</t>
    </r>
  </si>
  <si>
    <t>atorvastatin strontium pentahydrate 23.19mg (20mg as atorvastatin) [502202ATB]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</si>
  <si>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</si>
  <si>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한미약품</t>
    </r>
  </si>
  <si>
    <r>
      <rPr>
        <rFont val="맑은 고딕"/>
        <color theme="1"/>
        <sz val="11.0"/>
      </rPr>
      <t>뉴바스트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</si>
  <si>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한미약품</t>
    </r>
  </si>
  <si>
    <t>atorvastatin strontium pentahydrate 46.38mg (40mg as atorvastatin) [502203ATB]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</si>
  <si>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</si>
  <si>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t>fluvastatin</t>
  </si>
  <si>
    <r>
      <rPr>
        <rFont val="맑은 고딕"/>
        <color theme="1"/>
        <sz val="11.0"/>
      </rPr>
      <t>노바티스</t>
    </r>
  </si>
  <si>
    <r>
      <rPr>
        <rFont val="맑은 고딕"/>
        <color theme="1"/>
        <sz val="11.0"/>
      </rPr>
      <t>레스콜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엑스엘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서방정</t>
    </r>
    <r>
      <rPr>
        <rFont val="Calibri"/>
        <color theme="1"/>
        <sz val="11.0"/>
      </rPr>
      <t xml:space="preserve"> 80mg</t>
    </r>
  </si>
  <si>
    <r>
      <rPr>
        <rFont val="맑은 고딕"/>
        <color theme="1"/>
        <sz val="11.0"/>
      </rPr>
      <t>노바티스</t>
    </r>
  </si>
  <si>
    <t>fluvastatin 80mg [162403ATR]</t>
  </si>
  <si>
    <t>PRV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</si>
  <si>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</si>
  <si>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t>pitavastatin calcium</t>
  </si>
  <si>
    <r>
      <rPr>
        <rFont val="맑은 고딕"/>
        <color theme="1"/>
        <sz val="11.0"/>
      </rPr>
      <t>건일바이오팜</t>
    </r>
  </si>
  <si>
    <r>
      <rPr>
        <rFont val="맑은 고딕"/>
        <color theme="1"/>
        <sz val="11.0"/>
      </rPr>
      <t>건피타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1mg</t>
    </r>
  </si>
  <si>
    <r>
      <rPr>
        <rFont val="맑은 고딕"/>
        <color theme="1"/>
        <sz val="11.0"/>
      </rPr>
      <t>건일바이오팜</t>
    </r>
  </si>
  <si>
    <t>pitavastatin calcium 1mg [470902ATB]</t>
  </si>
  <si>
    <t>PTV</t>
  </si>
  <si>
    <t>1mg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</si>
  <si>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</si>
  <si>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건일바이오팜</t>
    </r>
  </si>
  <si>
    <r>
      <rPr>
        <rFont val="맑은 고딕"/>
        <color theme="1"/>
        <sz val="11.0"/>
      </rPr>
      <t>건피타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</si>
  <si>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건일바이오팜</t>
    </r>
  </si>
  <si>
    <t>pitavastatin calcium 2mg [470901ATB]</t>
  </si>
  <si>
    <t>2mg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</si>
  <si>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</si>
  <si>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건일바이오팜</t>
    </r>
  </si>
  <si>
    <r>
      <rPr>
        <rFont val="맑은 고딕"/>
        <color theme="1"/>
        <sz val="11.0"/>
      </rPr>
      <t>건피타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</si>
  <si>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건일바이오팜</t>
    </r>
  </si>
  <si>
    <t>pitavastatin calcium 4mg [470903ATB]</t>
  </si>
  <si>
    <t>4mg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</si>
  <si>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</si>
  <si>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건일제약</t>
    </r>
  </si>
  <si>
    <r>
      <rPr>
        <rFont val="맑은 고딕"/>
        <color theme="1"/>
        <sz val="11.0"/>
      </rPr>
      <t>리피타파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1mg</t>
    </r>
  </si>
  <si>
    <r>
      <rPr>
        <rFont val="맑은 고딕"/>
        <color theme="1"/>
        <sz val="11.0"/>
      </rPr>
      <t>건일제약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</si>
  <si>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</si>
  <si>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건일제약</t>
    </r>
  </si>
  <si>
    <r>
      <rPr>
        <rFont val="맑은 고딕"/>
        <color theme="1"/>
        <sz val="11.0"/>
      </rPr>
      <t>리피타파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</si>
  <si>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건일제약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</si>
  <si>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</si>
  <si>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경동제약</t>
    </r>
  </si>
  <si>
    <r>
      <rPr>
        <rFont val="맑은 고딕"/>
        <color theme="1"/>
        <sz val="11.0"/>
      </rPr>
      <t>피트로반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</si>
  <si>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경동제약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</si>
  <si>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</si>
  <si>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넥스팜</t>
    </r>
  </si>
  <si>
    <r>
      <rPr>
        <rFont val="맑은 고딕"/>
        <color theme="1"/>
        <sz val="11.0"/>
      </rPr>
      <t>피타렌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</si>
  <si>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넥스팜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</si>
  <si>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</si>
  <si>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대웅바이오</t>
    </r>
  </si>
  <si>
    <r>
      <rPr>
        <rFont val="맑은 고딕"/>
        <color theme="1"/>
        <sz val="11.0"/>
      </rPr>
      <t>리바피타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1mg</t>
    </r>
  </si>
  <si>
    <r>
      <rPr>
        <rFont val="맑은 고딕"/>
        <color theme="1"/>
        <sz val="11.0"/>
      </rPr>
      <t>대웅바이오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</si>
  <si>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</si>
  <si>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대웅바이오</t>
    </r>
  </si>
  <si>
    <r>
      <rPr>
        <rFont val="맑은 고딕"/>
        <color theme="1"/>
        <sz val="11.0"/>
      </rPr>
      <t>리바피타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</si>
  <si>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대웅바이오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</si>
  <si>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</si>
  <si>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대웅바이오</t>
    </r>
  </si>
  <si>
    <r>
      <rPr>
        <rFont val="맑은 고딕"/>
        <color theme="1"/>
        <sz val="11.0"/>
      </rPr>
      <t>리바피타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</si>
  <si>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대웅바이오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</si>
  <si>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</si>
  <si>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대원제약</t>
    </r>
  </si>
  <si>
    <r>
      <rPr>
        <rFont val="맑은 고딕"/>
        <color theme="1"/>
        <sz val="11.0"/>
      </rPr>
      <t>타바로우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</si>
  <si>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대원제약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</si>
  <si>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</si>
  <si>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대한뉴팜</t>
    </r>
  </si>
  <si>
    <r>
      <rPr>
        <rFont val="맑은 고딕"/>
        <color theme="1"/>
        <sz val="11.0"/>
      </rPr>
      <t>뉴바로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</si>
  <si>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대한뉴팜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</si>
  <si>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</si>
  <si>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동광제약</t>
    </r>
  </si>
  <si>
    <r>
      <rPr>
        <rFont val="맑은 고딕"/>
        <color theme="1"/>
        <sz val="11.0"/>
      </rPr>
      <t>동광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피타바스타틴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</si>
  <si>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동광제약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</si>
  <si>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</si>
  <si>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동국제약</t>
    </r>
  </si>
  <si>
    <r>
      <rPr>
        <rFont val="맑은 고딕"/>
        <color theme="1"/>
        <sz val="11.0"/>
      </rPr>
      <t>피타론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</si>
  <si>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동국제약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</si>
  <si>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</si>
  <si>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동국제약</t>
    </r>
  </si>
  <si>
    <r>
      <rPr>
        <rFont val="맑은 고딕"/>
        <color theme="1"/>
        <sz val="11.0"/>
      </rPr>
      <t>피타론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</si>
  <si>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동국제약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</si>
  <si>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</si>
  <si>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마더스</t>
    </r>
  </si>
  <si>
    <r>
      <rPr>
        <rFont val="맑은 고딕"/>
        <color theme="1"/>
        <sz val="11.0"/>
      </rPr>
      <t>피타틴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1mg</t>
    </r>
  </si>
  <si>
    <r>
      <rPr>
        <rFont val="맑은 고딕"/>
        <color theme="1"/>
        <sz val="11.0"/>
      </rPr>
      <t>마더스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</si>
  <si>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</si>
  <si>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마더스</t>
    </r>
  </si>
  <si>
    <r>
      <rPr>
        <rFont val="맑은 고딕"/>
        <color theme="1"/>
        <sz val="11.0"/>
      </rPr>
      <t>피타틴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</si>
  <si>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마더스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</si>
  <si>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</si>
  <si>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마더스</t>
    </r>
  </si>
  <si>
    <r>
      <rPr>
        <rFont val="맑은 고딕"/>
        <color theme="1"/>
        <sz val="11.0"/>
      </rPr>
      <t>피타틴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</si>
  <si>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마더스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</si>
  <si>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</si>
  <si>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메디카코리아</t>
    </r>
  </si>
  <si>
    <r>
      <rPr>
        <rFont val="맑은 고딕"/>
        <color theme="1"/>
        <sz val="11.0"/>
      </rPr>
      <t>피타테롤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1mg</t>
    </r>
  </si>
  <si>
    <r>
      <rPr>
        <rFont val="맑은 고딕"/>
        <color theme="1"/>
        <sz val="11.0"/>
      </rPr>
      <t>메디카코리아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</si>
  <si>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</si>
  <si>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메디카코리아</t>
    </r>
  </si>
  <si>
    <r>
      <rPr>
        <rFont val="맑은 고딕"/>
        <color theme="1"/>
        <sz val="11.0"/>
      </rPr>
      <t>피타테롤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</si>
  <si>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메디카코리아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</si>
  <si>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</si>
  <si>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메디카코리아</t>
    </r>
  </si>
  <si>
    <r>
      <rPr>
        <rFont val="맑은 고딕"/>
        <color theme="1"/>
        <sz val="11.0"/>
      </rPr>
      <t>피타테롤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</si>
  <si>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메디카코리아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</si>
  <si>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</si>
  <si>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명인제약</t>
    </r>
  </si>
  <si>
    <r>
      <rPr>
        <rFont val="맑은 고딕"/>
        <color theme="1"/>
        <sz val="11.0"/>
      </rPr>
      <t>메가스타틴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</si>
  <si>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명인제약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</si>
  <si>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</si>
  <si>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바이넥스</t>
    </r>
  </si>
  <si>
    <r>
      <rPr>
        <rFont val="맑은 고딕"/>
        <color theme="1"/>
        <sz val="11.0"/>
      </rPr>
      <t>피타넥스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</si>
  <si>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바이넥스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</si>
  <si>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</si>
  <si>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보령</t>
    </r>
  </si>
  <si>
    <r>
      <rPr>
        <rFont val="맑은 고딕"/>
        <color theme="1"/>
        <sz val="11.0"/>
      </rPr>
      <t>엘제로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</si>
  <si>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보령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</si>
  <si>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</si>
  <si>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보령</t>
    </r>
  </si>
  <si>
    <r>
      <rPr>
        <rFont val="맑은 고딕"/>
        <color theme="1"/>
        <sz val="11.0"/>
      </rPr>
      <t>엘제로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</si>
  <si>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보령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</si>
  <si>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</si>
  <si>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보령바이오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파마</t>
    </r>
  </si>
  <si>
    <r>
      <rPr>
        <rFont val="맑은 고딕"/>
        <color theme="1"/>
        <sz val="11.0"/>
      </rPr>
      <t>리바타로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</si>
  <si>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보령바이오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</si>
  <si>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</si>
  <si>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삼남제약</t>
    </r>
  </si>
  <si>
    <r>
      <rPr>
        <rFont val="맑은 고딕"/>
        <color theme="1"/>
        <sz val="11.0"/>
      </rPr>
      <t>피타틴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</si>
  <si>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삼남제약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</si>
  <si>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</si>
  <si>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삼아제약</t>
    </r>
  </si>
  <si>
    <r>
      <rPr>
        <rFont val="맑은 고딕"/>
        <color theme="1"/>
        <sz val="11.0"/>
      </rPr>
      <t>피타에스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</si>
  <si>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삼아제약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</si>
  <si>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</si>
  <si>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삼천당</t>
    </r>
  </si>
  <si>
    <r>
      <rPr>
        <rFont val="맑은 고딕"/>
        <color theme="1"/>
        <sz val="11.0"/>
      </rPr>
      <t>피큐로우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</si>
  <si>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삼천당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</si>
  <si>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</si>
  <si>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서울제약</t>
    </r>
  </si>
  <si>
    <r>
      <rPr>
        <rFont val="맑은 고딕"/>
        <color theme="1"/>
        <sz val="11.0"/>
      </rPr>
      <t>피타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</si>
  <si>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서울제약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</si>
  <si>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</si>
  <si>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셀트리온제약</t>
    </r>
  </si>
  <si>
    <r>
      <rPr>
        <rFont val="맑은 고딕"/>
        <color theme="1"/>
        <sz val="11.0"/>
      </rPr>
      <t>피타로틴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</si>
  <si>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셀트리온제약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</si>
  <si>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</si>
  <si>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셀트리온제약</t>
    </r>
  </si>
  <si>
    <r>
      <rPr>
        <rFont val="맑은 고딕"/>
        <color theme="1"/>
        <sz val="11.0"/>
      </rPr>
      <t>피타로틴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</si>
  <si>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셀트리온제약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</si>
  <si>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</si>
  <si>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신일제약</t>
    </r>
  </si>
  <si>
    <r>
      <rPr>
        <rFont val="맑은 고딕"/>
        <color theme="1"/>
        <sz val="11.0"/>
      </rPr>
      <t>로피타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</si>
  <si>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신일제약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</si>
  <si>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</si>
  <si>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씨엠지제약</t>
    </r>
  </si>
  <si>
    <r>
      <rPr>
        <rFont val="맑은 고딕"/>
        <color theme="1"/>
        <sz val="11.0"/>
      </rPr>
      <t>씨엠지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피타바스타틴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</si>
  <si>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씨엠지제약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</si>
  <si>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</si>
  <si>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안국약품</t>
    </r>
  </si>
  <si>
    <r>
      <rPr>
        <rFont val="맑은 고딕"/>
        <color theme="1"/>
        <sz val="11.0"/>
      </rPr>
      <t>페바로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1mg</t>
    </r>
  </si>
  <si>
    <r>
      <rPr>
        <rFont val="맑은 고딕"/>
        <color theme="1"/>
        <sz val="11.0"/>
      </rPr>
      <t>안국약품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</si>
  <si>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</si>
  <si>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안국약품</t>
    </r>
  </si>
  <si>
    <r>
      <rPr>
        <rFont val="맑은 고딕"/>
        <color theme="1"/>
        <sz val="11.0"/>
      </rPr>
      <t>페바로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</si>
  <si>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안국약품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</si>
  <si>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</si>
  <si>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안국약품</t>
    </r>
  </si>
  <si>
    <r>
      <rPr>
        <rFont val="맑은 고딕"/>
        <color theme="1"/>
        <sz val="11.0"/>
      </rPr>
      <t>페바로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</si>
  <si>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안국약품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</si>
  <si>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</si>
  <si>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알리코</t>
    </r>
  </si>
  <si>
    <r>
      <rPr>
        <rFont val="맑은 고딕"/>
        <color theme="1"/>
        <sz val="11.0"/>
      </rPr>
      <t>피타스틴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1mg</t>
    </r>
  </si>
  <si>
    <r>
      <rPr>
        <rFont val="맑은 고딕"/>
        <color theme="1"/>
        <sz val="11.0"/>
      </rPr>
      <t>알리코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</si>
  <si>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</si>
  <si>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알리코</t>
    </r>
  </si>
  <si>
    <r>
      <rPr>
        <rFont val="맑은 고딕"/>
        <color theme="1"/>
        <sz val="11.0"/>
      </rPr>
      <t>피타스틴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</si>
  <si>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알리코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</si>
  <si>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</si>
  <si>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알리코</t>
    </r>
  </si>
  <si>
    <r>
      <rPr>
        <rFont val="맑은 고딕"/>
        <color theme="1"/>
        <sz val="11.0"/>
      </rPr>
      <t>피타스틴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</si>
  <si>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알리코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</si>
  <si>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</si>
  <si>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에이치엘비제약</t>
    </r>
  </si>
  <si>
    <r>
      <rPr>
        <rFont val="맑은 고딕"/>
        <color theme="1"/>
        <sz val="11.0"/>
      </rPr>
      <t>피타스토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</si>
  <si>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에이치엘비제약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</si>
  <si>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</si>
  <si>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오스틴</t>
    </r>
  </si>
  <si>
    <r>
      <rPr>
        <rFont val="맑은 고딕"/>
        <color theme="1"/>
        <sz val="11.0"/>
      </rPr>
      <t>피타바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</si>
  <si>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오스틴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</si>
  <si>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</si>
  <si>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위더스제약</t>
    </r>
  </si>
  <si>
    <r>
      <rPr>
        <rFont val="맑은 고딕"/>
        <color theme="1"/>
        <sz val="11.0"/>
      </rPr>
      <t>타스틴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1mg</t>
    </r>
  </si>
  <si>
    <r>
      <rPr>
        <rFont val="맑은 고딕"/>
        <color theme="1"/>
        <sz val="11.0"/>
      </rPr>
      <t>위더스제약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</si>
  <si>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</si>
  <si>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위더스제약</t>
    </r>
  </si>
  <si>
    <r>
      <rPr>
        <rFont val="맑은 고딕"/>
        <color theme="1"/>
        <sz val="11.0"/>
      </rPr>
      <t>타스틴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</si>
  <si>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위더스제약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</si>
  <si>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</si>
  <si>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위더스제약</t>
    </r>
  </si>
  <si>
    <r>
      <rPr>
        <rFont val="맑은 고딕"/>
        <color theme="1"/>
        <sz val="11.0"/>
      </rPr>
      <t>타스틴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</si>
  <si>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위더스제약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</si>
  <si>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</si>
  <si>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유니메드</t>
    </r>
  </si>
  <si>
    <r>
      <rPr>
        <rFont val="맑은 고딕"/>
        <color theme="1"/>
        <sz val="11.0"/>
      </rPr>
      <t>디엠타틴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</si>
  <si>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유니메드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</si>
  <si>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</si>
  <si>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이든파마</t>
    </r>
  </si>
  <si>
    <r>
      <rPr>
        <rFont val="맑은 고딕"/>
        <color theme="1"/>
        <sz val="11.0"/>
      </rPr>
      <t>이바틴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1mg</t>
    </r>
  </si>
  <si>
    <r>
      <rPr>
        <rFont val="맑은 고딕"/>
        <color theme="1"/>
        <sz val="11.0"/>
      </rPr>
      <t>이든파마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</si>
  <si>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</si>
  <si>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이든파마</t>
    </r>
  </si>
  <si>
    <r>
      <rPr>
        <rFont val="맑은 고딕"/>
        <color theme="1"/>
        <sz val="11.0"/>
      </rPr>
      <t>이바틴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</si>
  <si>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이든파마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</si>
  <si>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</si>
  <si>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이든파마</t>
    </r>
  </si>
  <si>
    <r>
      <rPr>
        <rFont val="맑은 고딕"/>
        <color theme="1"/>
        <sz val="11.0"/>
      </rPr>
      <t>이바틴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</si>
  <si>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이든파마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</si>
  <si>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</si>
  <si>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일동제약</t>
    </r>
  </si>
  <si>
    <r>
      <rPr>
        <rFont val="맑은 고딕"/>
        <color theme="1"/>
        <sz val="11.0"/>
      </rPr>
      <t>피타큐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</si>
  <si>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일동제약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</si>
  <si>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</si>
  <si>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일동제약</t>
    </r>
  </si>
  <si>
    <r>
      <rPr>
        <rFont val="맑은 고딕"/>
        <color theme="1"/>
        <sz val="11.0"/>
      </rPr>
      <t>피타큐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</si>
  <si>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일동제약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</si>
  <si>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</si>
  <si>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일양약품</t>
    </r>
  </si>
  <si>
    <r>
      <rPr>
        <rFont val="맑은 고딕"/>
        <color theme="1"/>
        <sz val="11.0"/>
      </rPr>
      <t>피스타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</si>
  <si>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일양약품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</si>
  <si>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</si>
  <si>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제뉴원사이언스</t>
    </r>
  </si>
  <si>
    <r>
      <rPr>
        <rFont val="맑은 고딕"/>
        <color theme="1"/>
        <sz val="11.0"/>
      </rPr>
      <t>케이바로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1mg</t>
    </r>
  </si>
  <si>
    <r>
      <rPr>
        <rFont val="맑은 고딕"/>
        <color theme="1"/>
        <sz val="11.0"/>
      </rPr>
      <t>제뉴원사이언스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</si>
  <si>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</si>
  <si>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제뉴원사이언스</t>
    </r>
  </si>
  <si>
    <r>
      <rPr>
        <rFont val="맑은 고딕"/>
        <color theme="1"/>
        <sz val="11.0"/>
      </rPr>
      <t>케이바로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</si>
  <si>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제뉴원사이언스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</si>
  <si>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</si>
  <si>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종근당</t>
    </r>
  </si>
  <si>
    <r>
      <rPr>
        <rFont val="맑은 고딕"/>
        <color theme="1"/>
        <sz val="11.0"/>
      </rPr>
      <t>피타로우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</si>
  <si>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종근당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</si>
  <si>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</si>
  <si>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종근당</t>
    </r>
  </si>
  <si>
    <r>
      <rPr>
        <rFont val="맑은 고딕"/>
        <color theme="1"/>
        <sz val="11.0"/>
      </rPr>
      <t>피타로우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</si>
  <si>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종근당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</si>
  <si>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</si>
  <si>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초당약품</t>
    </r>
  </si>
  <si>
    <r>
      <rPr>
        <rFont val="맑은 고딕"/>
        <color theme="1"/>
        <sz val="11.0"/>
      </rPr>
      <t>피타바스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</si>
  <si>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초당약품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</si>
  <si>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</si>
  <si>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초당약품</t>
    </r>
  </si>
  <si>
    <r>
      <rPr>
        <rFont val="맑은 고딕"/>
        <color theme="1"/>
        <sz val="11.0"/>
      </rPr>
      <t>피타바스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</si>
  <si>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초당약품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</si>
  <si>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</si>
  <si>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케이에스제약</t>
    </r>
  </si>
  <si>
    <r>
      <rPr>
        <rFont val="맑은 고딕"/>
        <color theme="1"/>
        <sz val="11.0"/>
      </rPr>
      <t>리바스타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</si>
  <si>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케이에스제약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</si>
  <si>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</si>
  <si>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킵스바이오파마</t>
    </r>
  </si>
  <si>
    <r>
      <rPr>
        <rFont val="맑은 고딕"/>
        <color theme="1"/>
        <sz val="11.0"/>
      </rPr>
      <t>피바글로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</si>
  <si>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킵스바이오파마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</si>
  <si>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</si>
  <si>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테라젠이텍스</t>
    </r>
  </si>
  <si>
    <r>
      <rPr>
        <rFont val="맑은 고딕"/>
        <color theme="1"/>
        <sz val="11.0"/>
      </rPr>
      <t>피타스탄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1mg</t>
    </r>
  </si>
  <si>
    <r>
      <rPr>
        <rFont val="맑은 고딕"/>
        <color theme="1"/>
        <sz val="11.0"/>
      </rPr>
      <t>지엘파마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</si>
  <si>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</si>
  <si>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테라젠이텍스</t>
    </r>
  </si>
  <si>
    <r>
      <rPr>
        <rFont val="맑은 고딕"/>
        <color theme="1"/>
        <sz val="11.0"/>
      </rPr>
      <t>피타스탄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</si>
  <si>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지엘파마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</si>
  <si>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</si>
  <si>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팜젠사이언스</t>
    </r>
  </si>
  <si>
    <r>
      <rPr>
        <rFont val="맑은 고딕"/>
        <color theme="1"/>
        <sz val="11.0"/>
      </rPr>
      <t>타바스타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</si>
  <si>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팜젠사이언스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</si>
  <si>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</si>
  <si>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하나제약</t>
    </r>
  </si>
  <si>
    <r>
      <rPr>
        <rFont val="맑은 고딕"/>
        <color theme="1"/>
        <sz val="11.0"/>
      </rPr>
      <t>리파틴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</si>
  <si>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하나제약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</si>
  <si>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</si>
  <si>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한림제약</t>
    </r>
  </si>
  <si>
    <r>
      <rPr>
        <rFont val="맑은 고딕"/>
        <color theme="1"/>
        <sz val="11.0"/>
      </rPr>
      <t>피타듀스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</si>
  <si>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한림제약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</si>
  <si>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</si>
  <si>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한림제약</t>
    </r>
  </si>
  <si>
    <r>
      <rPr>
        <rFont val="맑은 고딕"/>
        <color theme="1"/>
        <sz val="11.0"/>
      </rPr>
      <t>피타듀스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</si>
  <si>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한림제약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</si>
  <si>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</si>
  <si>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환인제약</t>
    </r>
  </si>
  <si>
    <r>
      <rPr>
        <rFont val="맑은 고딕"/>
        <color theme="1"/>
        <sz val="11.0"/>
      </rPr>
      <t>피타바로틴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</si>
  <si>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환인제약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</si>
  <si>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</si>
  <si>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휴텍스</t>
    </r>
  </si>
  <si>
    <r>
      <rPr>
        <rFont val="맑은 고딕"/>
        <color theme="1"/>
        <sz val="11.0"/>
      </rPr>
      <t>로바로우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1mg</t>
    </r>
  </si>
  <si>
    <r>
      <rPr>
        <rFont val="맑은 고딕"/>
        <color theme="1"/>
        <sz val="11.0"/>
      </rPr>
      <t>휴텍스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</si>
  <si>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</si>
  <si>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휴텍스</t>
    </r>
  </si>
  <si>
    <r>
      <rPr>
        <rFont val="맑은 고딕"/>
        <color theme="1"/>
        <sz val="11.0"/>
      </rPr>
      <t>로바로우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2mg</t>
    </r>
  </si>
  <si>
    <r>
      <rPr>
        <rFont val="맑은 고딕"/>
        <color theme="1"/>
        <sz val="11.0"/>
      </rPr>
      <t>휴텍스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</si>
  <si>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</si>
  <si>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휴텍스</t>
    </r>
  </si>
  <si>
    <r>
      <rPr>
        <rFont val="맑은 고딕"/>
        <color theme="1"/>
        <sz val="11.0"/>
      </rPr>
      <t>로바로우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4mg</t>
    </r>
  </si>
  <si>
    <r>
      <rPr>
        <rFont val="맑은 고딕"/>
        <color theme="1"/>
        <sz val="11.0"/>
      </rPr>
      <t>휴텍스</t>
    </r>
  </si>
  <si>
    <t>리바로 정 1mg</t>
  </si>
  <si>
    <t>리바로 정 2mg</t>
  </si>
  <si>
    <t>리바로 정 4mg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</si>
  <si>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</si>
  <si>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t>pravastatin sodium</t>
  </si>
  <si>
    <r>
      <rPr>
        <rFont val="맑은 고딕"/>
        <color theme="1"/>
        <sz val="11.0"/>
      </rPr>
      <t>다이이찌산쿄</t>
    </r>
  </si>
  <si>
    <r>
      <rPr>
        <rFont val="맑은 고딕"/>
        <color theme="1"/>
        <sz val="11.0"/>
      </rPr>
      <t>메바로친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</si>
  <si>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에이치케이이노엔</t>
    </r>
  </si>
  <si>
    <t>pravastatin sodium 10mg [216601ATB]</t>
  </si>
  <si>
    <t>10mg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</si>
  <si>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</si>
  <si>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다이이찌산쿄</t>
    </r>
  </si>
  <si>
    <r>
      <rPr>
        <rFont val="맑은 고딕"/>
        <color theme="1"/>
        <sz val="11.0"/>
      </rPr>
      <t>메바로친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</si>
  <si>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에이치케이이노엔</t>
    </r>
  </si>
  <si>
    <t>pravastatin sodium 20mg [216603ATB]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</si>
  <si>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</si>
  <si>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다이이찌산쿄</t>
    </r>
  </si>
  <si>
    <r>
      <rPr>
        <rFont val="맑은 고딕"/>
        <color theme="1"/>
        <sz val="11.0"/>
      </rPr>
      <t>메바로친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</si>
  <si>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에이치케이이노엔</t>
    </r>
  </si>
  <si>
    <t>pravastatin sodium 40mg [216604ATB]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</si>
  <si>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</si>
  <si>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다이이찌산쿄</t>
    </r>
  </si>
  <si>
    <r>
      <rPr>
        <rFont val="맑은 고딕"/>
        <color theme="1"/>
        <sz val="11.0"/>
      </rPr>
      <t>메바로친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</si>
  <si>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에이치케이이노엔</t>
    </r>
  </si>
  <si>
    <t>pravastatin sodium 5mg [216602ATB]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</si>
  <si>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</si>
  <si>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영진약품</t>
    </r>
  </si>
  <si>
    <r>
      <rPr>
        <rFont val="맑은 고딕"/>
        <color theme="1"/>
        <sz val="11.0"/>
      </rPr>
      <t>프라스탄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</si>
  <si>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영진약품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</si>
  <si>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</si>
  <si>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영진약품</t>
    </r>
  </si>
  <si>
    <r>
      <rPr>
        <rFont val="맑은 고딕"/>
        <color theme="1"/>
        <sz val="11.0"/>
      </rPr>
      <t>프라스탄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</si>
  <si>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영진약품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</si>
  <si>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</si>
  <si>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영진약품</t>
    </r>
  </si>
  <si>
    <r>
      <rPr>
        <rFont val="맑은 고딕"/>
        <color theme="1"/>
        <sz val="11.0"/>
      </rPr>
      <t>프라스탄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</si>
  <si>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영진약품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</si>
  <si>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</si>
  <si>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t>rosuvastatin calcium  ( as rosuvastatin)</t>
  </si>
  <si>
    <r>
      <rPr>
        <rFont val="맑은 고딕"/>
        <color theme="1"/>
        <sz val="11.0"/>
      </rPr>
      <t>건일바이오팜</t>
    </r>
  </si>
  <si>
    <r>
      <rPr>
        <rFont val="맑은 고딕"/>
        <color theme="1"/>
        <sz val="11.0"/>
      </rPr>
      <t>로수토바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</si>
  <si>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건일바이오팜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</si>
  <si>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</si>
  <si>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t>RSV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</si>
  <si>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</si>
  <si>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건일바이오팜</t>
    </r>
  </si>
  <si>
    <r>
      <rPr>
        <rFont val="맑은 고딕"/>
        <color theme="1"/>
        <sz val="11.0"/>
      </rPr>
      <t>로수토바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</si>
  <si>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건일바이오팜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</si>
  <si>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</si>
  <si>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</si>
  <si>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건일바이오팜</t>
    </r>
  </si>
  <si>
    <r>
      <rPr>
        <rFont val="맑은 고딕"/>
        <color theme="1"/>
        <sz val="11.0"/>
      </rPr>
      <t>로수토바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</si>
  <si>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건일바이오팜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</si>
  <si>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</si>
  <si>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</si>
  <si>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경동제약</t>
    </r>
  </si>
  <si>
    <r>
      <rPr>
        <rFont val="맑은 고딕"/>
        <color theme="1"/>
        <sz val="11.0"/>
      </rPr>
      <t>로트로반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</si>
  <si>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경동제약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</si>
  <si>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</si>
  <si>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</si>
  <si>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경동제약</t>
    </r>
  </si>
  <si>
    <r>
      <rPr>
        <rFont val="맑은 고딕"/>
        <color theme="1"/>
        <sz val="11.0"/>
      </rPr>
      <t>로트로반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</si>
  <si>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경동제약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</si>
  <si>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</si>
  <si>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</si>
  <si>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경동제약</t>
    </r>
  </si>
  <si>
    <r>
      <rPr>
        <rFont val="맑은 고딕"/>
        <color theme="1"/>
        <sz val="11.0"/>
      </rPr>
      <t>로트로반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</si>
  <si>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경동제약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</si>
  <si>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</si>
  <si>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</si>
  <si>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경보제약</t>
    </r>
  </si>
  <si>
    <r>
      <rPr>
        <rFont val="맑은 고딕"/>
        <color theme="1"/>
        <sz val="11.0"/>
      </rPr>
      <t>수바스틴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</si>
  <si>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경보제약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</si>
  <si>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</si>
  <si>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</si>
  <si>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경보제약</t>
    </r>
  </si>
  <si>
    <r>
      <rPr>
        <rFont val="맑은 고딕"/>
        <color theme="1"/>
        <sz val="11.0"/>
      </rPr>
      <t>수바스틴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</si>
  <si>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경보제약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</si>
  <si>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</si>
  <si>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</si>
  <si>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광동제약</t>
    </r>
  </si>
  <si>
    <r>
      <rPr>
        <rFont val="맑은 고딕"/>
        <color theme="1"/>
        <sz val="11.0"/>
      </rPr>
      <t>로수리딘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</si>
  <si>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광동제약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</si>
  <si>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</si>
  <si>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</si>
  <si>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광동제약</t>
    </r>
  </si>
  <si>
    <r>
      <rPr>
        <rFont val="맑은 고딕"/>
        <color theme="1"/>
        <sz val="11.0"/>
      </rPr>
      <t>로수리딘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</si>
  <si>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광동제약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</si>
  <si>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</si>
  <si>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</si>
  <si>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광동제약</t>
    </r>
  </si>
  <si>
    <r>
      <rPr>
        <rFont val="맑은 고딕"/>
        <color theme="1"/>
        <sz val="11.0"/>
      </rPr>
      <t>로수리딘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</si>
  <si>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광동제약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</si>
  <si>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</si>
  <si>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</si>
  <si>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구주제약</t>
    </r>
  </si>
  <si>
    <r>
      <rPr>
        <rFont val="맑은 고딕"/>
        <color theme="1"/>
        <sz val="11.0"/>
      </rPr>
      <t>유니로바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</si>
  <si>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구주제약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</si>
  <si>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</si>
  <si>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</si>
  <si>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구주제약</t>
    </r>
  </si>
  <si>
    <r>
      <rPr>
        <rFont val="맑은 고딕"/>
        <color theme="1"/>
        <sz val="11.0"/>
      </rPr>
      <t>유니로바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</si>
  <si>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구주제약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</si>
  <si>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</si>
  <si>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</si>
  <si>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구주제약</t>
    </r>
  </si>
  <si>
    <r>
      <rPr>
        <rFont val="맑은 고딕"/>
        <color theme="1"/>
        <sz val="11.0"/>
      </rPr>
      <t>유니로바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</si>
  <si>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구주제약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</si>
  <si>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</si>
  <si>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</si>
  <si>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국제약품</t>
    </r>
  </si>
  <si>
    <r>
      <rPr>
        <rFont val="맑은 고딕"/>
        <color theme="1"/>
        <sz val="11.0"/>
      </rPr>
      <t>크레로바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</si>
  <si>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국제약품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</si>
  <si>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</si>
  <si>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</si>
  <si>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국제약품</t>
    </r>
  </si>
  <si>
    <r>
      <rPr>
        <rFont val="맑은 고딕"/>
        <color theme="1"/>
        <sz val="11.0"/>
      </rPr>
      <t>크레로바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</si>
  <si>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국제약품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</si>
  <si>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</si>
  <si>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</si>
  <si>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넥스팜</t>
    </r>
  </si>
  <si>
    <r>
      <rPr>
        <rFont val="맑은 고딕"/>
        <color theme="1"/>
        <sz val="11.0"/>
      </rPr>
      <t>로수민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</si>
  <si>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넥스팜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</si>
  <si>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</si>
  <si>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</si>
  <si>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넥스팜</t>
    </r>
  </si>
  <si>
    <r>
      <rPr>
        <rFont val="맑은 고딕"/>
        <color theme="1"/>
        <sz val="11.0"/>
      </rPr>
      <t>로수민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</si>
  <si>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넥스팜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</si>
  <si>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</si>
  <si>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</si>
  <si>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넥스팜</t>
    </r>
  </si>
  <si>
    <r>
      <rPr>
        <rFont val="맑은 고딕"/>
        <color theme="1"/>
        <sz val="11.0"/>
      </rPr>
      <t>로수민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</si>
  <si>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넥스팜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</si>
  <si>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</si>
  <si>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</si>
  <si>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다산제약</t>
    </r>
  </si>
  <si>
    <r>
      <rPr>
        <rFont val="맑은 고딕"/>
        <color theme="1"/>
        <sz val="11.0"/>
      </rPr>
      <t>크레로우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</si>
  <si>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다산제약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</si>
  <si>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</si>
  <si>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</si>
  <si>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다산제약</t>
    </r>
  </si>
  <si>
    <r>
      <rPr>
        <rFont val="맑은 고딕"/>
        <color theme="1"/>
        <sz val="11.0"/>
      </rPr>
      <t>크레로우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</si>
  <si>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다산제약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</si>
  <si>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</si>
  <si>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</si>
  <si>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다산제약</t>
    </r>
  </si>
  <si>
    <r>
      <rPr>
        <rFont val="맑은 고딕"/>
        <color theme="1"/>
        <sz val="11.0"/>
      </rPr>
      <t>크레로우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</si>
  <si>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다산제약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</si>
  <si>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</si>
  <si>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</si>
  <si>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대우제약</t>
    </r>
  </si>
  <si>
    <r>
      <rPr>
        <rFont val="맑은 고딕"/>
        <color theme="1"/>
        <sz val="11.0"/>
      </rPr>
      <t>로바테롤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</si>
  <si>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대우제약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</si>
  <si>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</si>
  <si>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</si>
  <si>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대우제약</t>
    </r>
  </si>
  <si>
    <r>
      <rPr>
        <rFont val="맑은 고딕"/>
        <color theme="1"/>
        <sz val="11.0"/>
      </rPr>
      <t>로바테롤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</si>
  <si>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대우제약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</si>
  <si>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</si>
  <si>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</si>
  <si>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대웅바이오</t>
    </r>
  </si>
  <si>
    <r>
      <rPr>
        <rFont val="맑은 고딕"/>
        <color theme="1"/>
        <sz val="11.0"/>
      </rPr>
      <t>크라틴</t>
    </r>
    <r>
      <rPr>
        <rFont val="Calibri"/>
        <color theme="1"/>
        <sz val="11.0"/>
      </rPr>
      <t xml:space="preserve"> 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2.5mg</t>
    </r>
  </si>
  <si>
    <r>
      <rPr>
        <rFont val="맑은 고딕"/>
        <color theme="1"/>
        <sz val="11.0"/>
      </rPr>
      <t>대웅바이오</t>
    </r>
  </si>
  <si>
    <r>
      <rPr>
        <rFont val="Calibri"/>
        <color theme="1"/>
        <sz val="11.0"/>
      </rPr>
      <t>rosuvastatin calcium 2.6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(2.5 as rosuvastatin) [454005ATB]</t>
    </r>
  </si>
  <si>
    <t>2.5mg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</si>
  <si>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</si>
  <si>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대웅바이오</t>
    </r>
  </si>
  <si>
    <r>
      <rPr>
        <rFont val="맑은 고딕"/>
        <color theme="1"/>
        <sz val="11.0"/>
      </rPr>
      <t>크라틴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</si>
  <si>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대웅바이오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</si>
  <si>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</si>
  <si>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</si>
  <si>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대웅바이오</t>
    </r>
  </si>
  <si>
    <r>
      <rPr>
        <rFont val="맑은 고딕"/>
        <color theme="1"/>
        <sz val="11.0"/>
      </rPr>
      <t>크라틴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</si>
  <si>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대웅바이오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</si>
  <si>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</si>
  <si>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</si>
  <si>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대웅바이오</t>
    </r>
  </si>
  <si>
    <r>
      <rPr>
        <rFont val="맑은 고딕"/>
        <color theme="1"/>
        <sz val="11.0"/>
      </rPr>
      <t>크라틴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</si>
  <si>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대웅바이오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</si>
  <si>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</si>
  <si>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</si>
  <si>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대웅제약</t>
    </r>
  </si>
  <si>
    <r>
      <rPr>
        <rFont val="맑은 고딕"/>
        <color theme="1"/>
        <sz val="11.0"/>
      </rPr>
      <t>대웅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</si>
  <si>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대웅제약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</si>
  <si>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</si>
  <si>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</si>
  <si>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대웅제약</t>
    </r>
  </si>
  <si>
    <r>
      <rPr>
        <rFont val="맑은 고딕"/>
        <color theme="1"/>
        <sz val="11.0"/>
      </rPr>
      <t>대웅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2.5mg</t>
    </r>
  </si>
  <si>
    <r>
      <rPr>
        <rFont val="맑은 고딕"/>
        <color theme="1"/>
        <sz val="11.0"/>
      </rPr>
      <t>대웅제약</t>
    </r>
  </si>
  <si>
    <r>
      <rPr>
        <rFont val="Calibri"/>
        <color theme="1"/>
        <sz val="11.0"/>
      </rPr>
      <t>rosuvastatin calcium 2.6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(2.5 as rosuvastatin) [454005ATB]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</si>
  <si>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</si>
  <si>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대웅제약</t>
    </r>
  </si>
  <si>
    <r>
      <rPr>
        <rFont val="맑은 고딕"/>
        <color theme="1"/>
        <sz val="11.0"/>
      </rPr>
      <t>대웅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</si>
  <si>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대웅제약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</si>
  <si>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</si>
  <si>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</si>
  <si>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대웅제약</t>
    </r>
  </si>
  <si>
    <r>
      <rPr>
        <rFont val="맑은 고딕"/>
        <color theme="1"/>
        <sz val="11.0"/>
      </rPr>
      <t>대웅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</si>
  <si>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대웅제약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</si>
  <si>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</si>
  <si>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0.0"/>
      </rPr>
      <t xml:space="preserve">[C10A1] </t>
    </r>
    <r>
      <rPr>
        <rFont val="맑은 고딕"/>
        <b/>
        <color theme="1"/>
        <sz val="10.0"/>
      </rPr>
      <t>스타틴류</t>
    </r>
    <r>
      <rPr>
        <rFont val="Calibri"/>
        <b/>
        <color theme="1"/>
        <sz val="10.0"/>
      </rPr>
      <t xml:space="preserve"> (HMG-CoA </t>
    </r>
    <r>
      <rPr>
        <rFont val="맑은 고딕"/>
        <b/>
        <color theme="1"/>
        <sz val="10.0"/>
      </rPr>
      <t>환원효소</t>
    </r>
    <r>
      <rPr>
        <rFont val="Calibri"/>
        <b/>
        <color theme="1"/>
        <sz val="10.0"/>
      </rPr>
      <t xml:space="preserve"> </t>
    </r>
    <r>
      <rPr>
        <rFont val="맑은 고딕"/>
        <b/>
        <color theme="1"/>
        <sz val="10.0"/>
      </rPr>
      <t>억제제</t>
    </r>
    <r>
      <rPr>
        <rFont val="Calibri"/>
        <b/>
        <color theme="1"/>
        <sz val="10.0"/>
      </rPr>
      <t>)</t>
    </r>
  </si>
  <si>
    <r>
      <rPr>
        <rFont val="맑은 고딕"/>
        <color theme="1"/>
        <sz val="10.0"/>
      </rPr>
      <t>대웅제약</t>
    </r>
  </si>
  <si>
    <r>
      <rPr>
        <rFont val="맑은 고딕"/>
        <color theme="1"/>
        <sz val="10.0"/>
      </rPr>
      <t>크레스토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정</t>
    </r>
    <r>
      <rPr>
        <rFont val="Calibri"/>
        <color theme="1"/>
        <sz val="10.0"/>
      </rPr>
      <t xml:space="preserve"> 10mg</t>
    </r>
  </si>
  <si>
    <r>
      <rPr>
        <rFont val="맑은 고딕"/>
        <color theme="1"/>
        <sz val="10.0"/>
      </rPr>
      <t>아스트라제네카</t>
    </r>
  </si>
  <si>
    <r>
      <rPr>
        <rFont val="Calibri"/>
        <color theme="1"/>
        <sz val="10.0"/>
      </rPr>
      <t>rosuvastatin calcium 10.4</t>
    </r>
    <r>
      <rPr>
        <rFont val="맑은 고딕"/>
        <color theme="1"/>
        <sz val="10.0"/>
      </rPr>
      <t>㎎</t>
    </r>
    <r>
      <rPr>
        <rFont val="Calibri"/>
        <color theme="1"/>
        <sz val="10.0"/>
      </rPr>
      <t xml:space="preserve"> (10</t>
    </r>
    <r>
      <rPr>
        <rFont val="맑은 고딕"/>
        <color theme="1"/>
        <sz val="10.0"/>
      </rPr>
      <t>㎎</t>
    </r>
    <r>
      <rPr>
        <rFont val="Calibri"/>
        <color theme="1"/>
        <sz val="10.0"/>
      </rPr>
      <t xml:space="preserve"> as rosuvastatin) [454001ATB]</t>
    </r>
  </si>
  <si>
    <r>
      <rPr>
        <rFont val="Calibri"/>
        <b/>
        <color theme="1"/>
        <sz val="10.0"/>
      </rPr>
      <t xml:space="preserve">[C10A1] </t>
    </r>
    <r>
      <rPr>
        <rFont val="맑은 고딕"/>
        <b/>
        <color theme="1"/>
        <sz val="10.0"/>
      </rPr>
      <t>스타틴류</t>
    </r>
    <r>
      <rPr>
        <rFont val="Calibri"/>
        <b/>
        <color theme="1"/>
        <sz val="10.0"/>
      </rPr>
      <t xml:space="preserve"> (HMG-CoA </t>
    </r>
    <r>
      <rPr>
        <rFont val="맑은 고딕"/>
        <b/>
        <color theme="1"/>
        <sz val="10.0"/>
      </rPr>
      <t>환원효소</t>
    </r>
    <r>
      <rPr>
        <rFont val="Calibri"/>
        <b/>
        <color theme="1"/>
        <sz val="10.0"/>
      </rPr>
      <t xml:space="preserve"> </t>
    </r>
    <r>
      <rPr>
        <rFont val="맑은 고딕"/>
        <b/>
        <color theme="1"/>
        <sz val="10.0"/>
      </rPr>
      <t>억제제</t>
    </r>
    <r>
      <rPr>
        <rFont val="Calibri"/>
        <b/>
        <color theme="1"/>
        <sz val="10.0"/>
      </rPr>
      <t>)</t>
    </r>
  </si>
  <si>
    <r>
      <rPr>
        <rFont val="맑은 고딕"/>
        <color theme="1"/>
        <sz val="10.0"/>
      </rPr>
      <t>대웅제약</t>
    </r>
  </si>
  <si>
    <r>
      <rPr>
        <rFont val="맑은 고딕"/>
        <color theme="1"/>
        <sz val="10.0"/>
      </rPr>
      <t>크레스토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정</t>
    </r>
    <r>
      <rPr>
        <rFont val="Calibri"/>
        <color theme="1"/>
        <sz val="10.0"/>
      </rPr>
      <t xml:space="preserve"> 20mg</t>
    </r>
  </si>
  <si>
    <r>
      <rPr>
        <rFont val="맑은 고딕"/>
        <color theme="1"/>
        <sz val="10.0"/>
      </rPr>
      <t>아스트라제네카</t>
    </r>
  </si>
  <si>
    <r>
      <rPr>
        <rFont val="Calibri"/>
        <color theme="1"/>
        <sz val="10.0"/>
      </rPr>
      <t>rosuvastatin calcium 20.8</t>
    </r>
    <r>
      <rPr>
        <rFont val="맑은 고딕"/>
        <color theme="1"/>
        <sz val="10.0"/>
      </rPr>
      <t>㎎</t>
    </r>
    <r>
      <rPr>
        <rFont val="Calibri"/>
        <color theme="1"/>
        <sz val="10.0"/>
      </rPr>
      <t xml:space="preserve"> (20</t>
    </r>
    <r>
      <rPr>
        <rFont val="맑은 고딕"/>
        <color theme="1"/>
        <sz val="10.0"/>
      </rPr>
      <t>㎎</t>
    </r>
    <r>
      <rPr>
        <rFont val="Calibri"/>
        <color theme="1"/>
        <sz val="10.0"/>
      </rPr>
      <t xml:space="preserve"> as rosuvastatin) [454002ATB]</t>
    </r>
  </si>
  <si>
    <r>
      <rPr>
        <rFont val="Calibri"/>
        <b/>
        <color theme="1"/>
        <sz val="10.0"/>
      </rPr>
      <t xml:space="preserve">[C10A1] </t>
    </r>
    <r>
      <rPr>
        <rFont val="맑은 고딕"/>
        <b/>
        <color theme="1"/>
        <sz val="10.0"/>
      </rPr>
      <t>스타틴류</t>
    </r>
    <r>
      <rPr>
        <rFont val="Calibri"/>
        <b/>
        <color theme="1"/>
        <sz val="10.0"/>
      </rPr>
      <t xml:space="preserve"> (HMG-CoA </t>
    </r>
    <r>
      <rPr>
        <rFont val="맑은 고딕"/>
        <b/>
        <color theme="1"/>
        <sz val="10.0"/>
      </rPr>
      <t>환원효소</t>
    </r>
    <r>
      <rPr>
        <rFont val="Calibri"/>
        <b/>
        <color theme="1"/>
        <sz val="10.0"/>
      </rPr>
      <t xml:space="preserve"> </t>
    </r>
    <r>
      <rPr>
        <rFont val="맑은 고딕"/>
        <b/>
        <color theme="1"/>
        <sz val="10.0"/>
      </rPr>
      <t>억제제</t>
    </r>
    <r>
      <rPr>
        <rFont val="Calibri"/>
        <b/>
        <color theme="1"/>
        <sz val="10.0"/>
      </rPr>
      <t>)</t>
    </r>
  </si>
  <si>
    <r>
      <rPr>
        <rFont val="맑은 고딕"/>
        <color theme="1"/>
        <sz val="10.0"/>
      </rPr>
      <t>대웅제약</t>
    </r>
  </si>
  <si>
    <r>
      <rPr>
        <rFont val="맑은 고딕"/>
        <color theme="1"/>
        <sz val="10.0"/>
      </rPr>
      <t>크레스토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정</t>
    </r>
    <r>
      <rPr>
        <rFont val="Calibri"/>
        <color theme="1"/>
        <sz val="10.0"/>
      </rPr>
      <t xml:space="preserve"> 5mg</t>
    </r>
  </si>
  <si>
    <r>
      <rPr>
        <rFont val="맑은 고딕"/>
        <color theme="1"/>
        <sz val="10.0"/>
      </rPr>
      <t>아스트라제네카</t>
    </r>
  </si>
  <si>
    <r>
      <rPr>
        <rFont val="Calibri"/>
        <color theme="1"/>
        <sz val="10.0"/>
      </rPr>
      <t>rosuvastatin calcium 5.2</t>
    </r>
    <r>
      <rPr>
        <rFont val="맑은 고딕"/>
        <color theme="1"/>
        <sz val="10.0"/>
      </rPr>
      <t>㎎</t>
    </r>
    <r>
      <rPr>
        <rFont val="Calibri"/>
        <color theme="1"/>
        <sz val="10.0"/>
      </rPr>
      <t xml:space="preserve"> (5</t>
    </r>
    <r>
      <rPr>
        <rFont val="맑은 고딕"/>
        <color theme="1"/>
        <sz val="10.0"/>
      </rPr>
      <t>㎎</t>
    </r>
    <r>
      <rPr>
        <rFont val="Calibri"/>
        <color theme="1"/>
        <sz val="10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</si>
  <si>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</si>
  <si>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대원바이오텍</t>
    </r>
  </si>
  <si>
    <r>
      <rPr>
        <rFont val="맑은 고딕"/>
        <color theme="1"/>
        <sz val="11.0"/>
      </rPr>
      <t>크로원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</si>
  <si>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대원바이오텍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</si>
  <si>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</si>
  <si>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</si>
  <si>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대원바이오텍</t>
    </r>
  </si>
  <si>
    <r>
      <rPr>
        <rFont val="맑은 고딕"/>
        <color theme="1"/>
        <sz val="11.0"/>
      </rPr>
      <t>크로원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</si>
  <si>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대원바이오텍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</si>
  <si>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</si>
  <si>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</si>
  <si>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대원제약</t>
    </r>
  </si>
  <si>
    <r>
      <rPr>
        <rFont val="맑은 고딕"/>
        <color theme="1"/>
        <sz val="11.0"/>
      </rPr>
      <t>크로우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</si>
  <si>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대원제약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</si>
  <si>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</si>
  <si>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</si>
  <si>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대원제약</t>
    </r>
  </si>
  <si>
    <r>
      <rPr>
        <rFont val="맑은 고딕"/>
        <color theme="1"/>
        <sz val="11.0"/>
      </rPr>
      <t>크로우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</si>
  <si>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대원제약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</si>
  <si>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</si>
  <si>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</si>
  <si>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대원제약</t>
    </r>
  </si>
  <si>
    <r>
      <rPr>
        <rFont val="맑은 고딕"/>
        <color theme="1"/>
        <sz val="11.0"/>
      </rPr>
      <t>크로우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</si>
  <si>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대원제약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</si>
  <si>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</si>
  <si>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</si>
  <si>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대한뉴팜</t>
    </r>
  </si>
  <si>
    <r>
      <rPr>
        <rFont val="맑은 고딕"/>
        <color theme="1"/>
        <sz val="11.0"/>
      </rPr>
      <t>뉴스토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</si>
  <si>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대한뉴팜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</si>
  <si>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</si>
  <si>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</si>
  <si>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대한뉴팜</t>
    </r>
  </si>
  <si>
    <r>
      <rPr>
        <rFont val="맑은 고딕"/>
        <color theme="1"/>
        <sz val="11.0"/>
      </rPr>
      <t>뉴스토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</si>
  <si>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대한뉴팜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</si>
  <si>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</si>
  <si>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</si>
  <si>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대화제약</t>
    </r>
  </si>
  <si>
    <r>
      <rPr>
        <rFont val="맑은 고딕"/>
        <color theme="1"/>
        <sz val="11.0"/>
      </rPr>
      <t>탑스타틴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</si>
  <si>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대화제약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</si>
  <si>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</si>
  <si>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</si>
  <si>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대화제약</t>
    </r>
  </si>
  <si>
    <r>
      <rPr>
        <rFont val="맑은 고딕"/>
        <color theme="1"/>
        <sz val="11.0"/>
      </rPr>
      <t>탑스타틴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</si>
  <si>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대화제약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</si>
  <si>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</si>
  <si>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</si>
  <si>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대화제약</t>
    </r>
  </si>
  <si>
    <r>
      <rPr>
        <rFont val="맑은 고딕"/>
        <color theme="1"/>
        <sz val="11.0"/>
      </rPr>
      <t>탑스타틴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</si>
  <si>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대화제약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</si>
  <si>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</si>
  <si>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</si>
  <si>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동광제약</t>
    </r>
  </si>
  <si>
    <r>
      <rPr>
        <rFont val="맑은 고딕"/>
        <color theme="1"/>
        <sz val="11.0"/>
      </rPr>
      <t>동광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로수바스타틴칼슘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</si>
  <si>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동광제약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</si>
  <si>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</si>
  <si>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</si>
  <si>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동광제약</t>
    </r>
  </si>
  <si>
    <r>
      <rPr>
        <rFont val="맑은 고딕"/>
        <color theme="1"/>
        <sz val="11.0"/>
      </rPr>
      <t>동광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로수바스타틴칼슘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</si>
  <si>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동광제약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</si>
  <si>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</si>
  <si>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</si>
  <si>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동광제약</t>
    </r>
  </si>
  <si>
    <r>
      <rPr>
        <rFont val="맑은 고딕"/>
        <color theme="1"/>
        <sz val="11.0"/>
      </rPr>
      <t>동광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로수바스타틴칼슘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</si>
  <si>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동광제약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</si>
  <si>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</si>
  <si>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</si>
  <si>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바이오</t>
    </r>
  </si>
  <si>
    <r>
      <rPr>
        <rFont val="맑은 고딕"/>
        <color theme="1"/>
        <sz val="11.0"/>
      </rPr>
      <t>로스바탄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</si>
  <si>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동구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바이오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</si>
  <si>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</si>
  <si>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</si>
  <si>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바이오</t>
    </r>
  </si>
  <si>
    <r>
      <rPr>
        <rFont val="맑은 고딕"/>
        <color theme="1"/>
        <sz val="11.0"/>
      </rPr>
      <t>로스바탄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</si>
  <si>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동구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바이오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</si>
  <si>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</si>
  <si>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</si>
  <si>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바이오</t>
    </r>
  </si>
  <si>
    <r>
      <rPr>
        <rFont val="맑은 고딕"/>
        <color theme="1"/>
        <sz val="11.0"/>
      </rPr>
      <t>로스바탄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</si>
  <si>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동구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바이오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</si>
  <si>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</si>
  <si>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</si>
  <si>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동국제약</t>
    </r>
  </si>
  <si>
    <r>
      <rPr>
        <rFont val="맑은 고딕"/>
        <color theme="1"/>
        <sz val="11.0"/>
      </rPr>
      <t>로수탄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</si>
  <si>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동국제약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</si>
  <si>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</si>
  <si>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</si>
  <si>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동국제약</t>
    </r>
  </si>
  <si>
    <r>
      <rPr>
        <rFont val="맑은 고딕"/>
        <color theme="1"/>
        <sz val="11.0"/>
      </rPr>
      <t>로수탄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</si>
  <si>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동국제약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</si>
  <si>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</si>
  <si>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</si>
  <si>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동국제약</t>
    </r>
  </si>
  <si>
    <r>
      <rPr>
        <rFont val="맑은 고딕"/>
        <color theme="1"/>
        <sz val="11.0"/>
      </rPr>
      <t>로수탄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</si>
  <si>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동국제약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</si>
  <si>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</si>
  <si>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</si>
  <si>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동성제약</t>
    </r>
  </si>
  <si>
    <r>
      <rPr>
        <rFont val="맑은 고딕"/>
        <color theme="1"/>
        <sz val="11.0"/>
      </rPr>
      <t>동성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</si>
  <si>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동성제약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</si>
  <si>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</si>
  <si>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</si>
  <si>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동아에스티</t>
    </r>
  </si>
  <si>
    <r>
      <rPr>
        <rFont val="맑은 고딕"/>
        <color theme="1"/>
        <sz val="11.0"/>
      </rPr>
      <t>크레스논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</si>
  <si>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동아에스티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</si>
  <si>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</si>
  <si>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</si>
  <si>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동아에스티</t>
    </r>
  </si>
  <si>
    <r>
      <rPr>
        <rFont val="맑은 고딕"/>
        <color theme="1"/>
        <sz val="11.0"/>
      </rPr>
      <t>크레스논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</si>
  <si>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동아에스티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</si>
  <si>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</si>
  <si>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</si>
  <si>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동아에스티</t>
    </r>
  </si>
  <si>
    <r>
      <rPr>
        <rFont val="맑은 고딕"/>
        <color theme="1"/>
        <sz val="11.0"/>
      </rPr>
      <t>크레스논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</si>
  <si>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동아에스티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</si>
  <si>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</si>
  <si>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</si>
  <si>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동화약품</t>
    </r>
  </si>
  <si>
    <r>
      <rPr>
        <rFont val="맑은 고딕"/>
        <color theme="1"/>
        <sz val="11.0"/>
      </rPr>
      <t>동화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</si>
  <si>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동화약품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</si>
  <si>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</si>
  <si>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</si>
  <si>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동화약품</t>
    </r>
  </si>
  <si>
    <r>
      <rPr>
        <rFont val="맑은 고딕"/>
        <color theme="1"/>
        <sz val="11.0"/>
      </rPr>
      <t>동화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</si>
  <si>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동화약품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</si>
  <si>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</si>
  <si>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</si>
  <si>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마더스</t>
    </r>
  </si>
  <si>
    <r>
      <rPr>
        <rFont val="맑은 고딕"/>
        <color theme="1"/>
        <sz val="11.0"/>
      </rPr>
      <t>로수틴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</si>
  <si>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마더스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</si>
  <si>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</si>
  <si>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</si>
  <si>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마더스</t>
    </r>
  </si>
  <si>
    <r>
      <rPr>
        <rFont val="맑은 고딕"/>
        <color theme="1"/>
        <sz val="11.0"/>
      </rPr>
      <t>로수틴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</si>
  <si>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마더스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</si>
  <si>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</si>
  <si>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</si>
  <si>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맥널티</t>
    </r>
  </si>
  <si>
    <r>
      <rPr>
        <rFont val="맑은 고딕"/>
        <color theme="1"/>
        <sz val="11.0"/>
      </rPr>
      <t>로수바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</si>
  <si>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맥널티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</si>
  <si>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</si>
  <si>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</si>
  <si>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맥널티</t>
    </r>
  </si>
  <si>
    <r>
      <rPr>
        <rFont val="맑은 고딕"/>
        <color theme="1"/>
        <sz val="11.0"/>
      </rPr>
      <t>로수바엘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</si>
  <si>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맥널티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</si>
  <si>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</si>
  <si>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</si>
  <si>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메디카코리아</t>
    </r>
  </si>
  <si>
    <r>
      <rPr>
        <rFont val="맑은 고딕"/>
        <color theme="1"/>
        <sz val="11.0"/>
      </rPr>
      <t>로수테롤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</si>
  <si>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메디카코리아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</si>
  <si>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</si>
  <si>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</si>
  <si>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메디카코리아</t>
    </r>
  </si>
  <si>
    <r>
      <rPr>
        <rFont val="맑은 고딕"/>
        <color theme="1"/>
        <sz val="11.0"/>
      </rPr>
      <t>로수테롤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</si>
  <si>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메디카코리아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</si>
  <si>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</si>
  <si>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</si>
  <si>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명문제약</t>
    </r>
  </si>
  <si>
    <r>
      <rPr>
        <rFont val="맑은 고딕"/>
        <color theme="1"/>
        <sz val="11.0"/>
      </rPr>
      <t>명문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로수바스타틴칼슘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</si>
  <si>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명문제약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</si>
  <si>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</si>
  <si>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</si>
  <si>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명문제약</t>
    </r>
  </si>
  <si>
    <r>
      <rPr>
        <rFont val="맑은 고딕"/>
        <color theme="1"/>
        <sz val="11.0"/>
      </rPr>
      <t>명문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로수바스타틴칼슘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</si>
  <si>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명문제약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</si>
  <si>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</si>
  <si>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</si>
  <si>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명문제약</t>
    </r>
  </si>
  <si>
    <r>
      <rPr>
        <rFont val="맑은 고딕"/>
        <color theme="1"/>
        <sz val="11.0"/>
      </rPr>
      <t>명문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로수바스타틴칼슘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</si>
  <si>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명문제약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</si>
  <si>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</si>
  <si>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</si>
  <si>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명인제약</t>
    </r>
  </si>
  <si>
    <r>
      <rPr>
        <rFont val="맑은 고딕"/>
        <color theme="1"/>
        <sz val="11.0"/>
      </rPr>
      <t>올스타틴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</si>
  <si>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명인제약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</si>
  <si>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</si>
  <si>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</si>
  <si>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명인제약</t>
    </r>
  </si>
  <si>
    <r>
      <rPr>
        <rFont val="맑은 고딕"/>
        <color theme="1"/>
        <sz val="11.0"/>
      </rPr>
      <t>올스타틴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</si>
  <si>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명인제약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</si>
  <si>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</si>
  <si>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</si>
  <si>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명인제약</t>
    </r>
  </si>
  <si>
    <r>
      <rPr>
        <rFont val="맑은 고딕"/>
        <color theme="1"/>
        <sz val="11.0"/>
      </rPr>
      <t>올스타틴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</si>
  <si>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명인제약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</si>
  <si>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</si>
  <si>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</si>
  <si>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바이넥스</t>
    </r>
  </si>
  <si>
    <r>
      <rPr>
        <rFont val="맑은 고딕"/>
        <color theme="1"/>
        <sz val="11.0"/>
      </rPr>
      <t>로수넥스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</si>
  <si>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바이넥스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</si>
  <si>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</si>
  <si>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</si>
  <si>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바이넥스</t>
    </r>
  </si>
  <si>
    <r>
      <rPr>
        <rFont val="맑은 고딕"/>
        <color theme="1"/>
        <sz val="11.0"/>
      </rPr>
      <t>로수넥스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</si>
  <si>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바이넥스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</si>
  <si>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</si>
  <si>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</si>
  <si>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보령</t>
    </r>
  </si>
  <si>
    <r>
      <rPr>
        <rFont val="맑은 고딕"/>
        <color theme="1"/>
        <sz val="11.0"/>
      </rPr>
      <t>크레산트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</si>
  <si>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보령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</si>
  <si>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</si>
  <si>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</si>
  <si>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보령</t>
    </r>
  </si>
  <si>
    <r>
      <rPr>
        <rFont val="맑은 고딕"/>
        <color theme="1"/>
        <sz val="11.0"/>
      </rPr>
      <t>크레산트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</si>
  <si>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보령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</si>
  <si>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</si>
  <si>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</si>
  <si>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보령바이오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파마</t>
    </r>
  </si>
  <si>
    <r>
      <rPr>
        <rFont val="맑은 고딕"/>
        <color theme="1"/>
        <sz val="11.0"/>
      </rPr>
      <t>크레라토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</si>
  <si>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보령바이오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파마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</si>
  <si>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</si>
  <si>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</si>
  <si>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보령바이오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파마</t>
    </r>
  </si>
  <si>
    <r>
      <rPr>
        <rFont val="맑은 고딕"/>
        <color theme="1"/>
        <sz val="11.0"/>
      </rPr>
      <t>크레라토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</si>
  <si>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보령바이오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파마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</si>
  <si>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</si>
  <si>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</si>
  <si>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보령바이오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파마</t>
    </r>
  </si>
  <si>
    <r>
      <rPr>
        <rFont val="맑은 고딕"/>
        <color theme="1"/>
        <sz val="11.0"/>
      </rPr>
      <t>크레라토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</si>
  <si>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보령바이오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파마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</si>
  <si>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</si>
  <si>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</si>
  <si>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부광약품</t>
    </r>
  </si>
  <si>
    <r>
      <rPr>
        <rFont val="맑은 고딕"/>
        <color theme="1"/>
        <sz val="11.0"/>
      </rPr>
      <t>부광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로수바스타틴칼슘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</si>
  <si>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부광약품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</si>
  <si>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</si>
  <si>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</si>
  <si>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부광약품</t>
    </r>
  </si>
  <si>
    <r>
      <rPr>
        <rFont val="맑은 고딕"/>
        <color theme="1"/>
        <sz val="11.0"/>
      </rPr>
      <t>부광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로수바스타틴칼슘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</si>
  <si>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부광약품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</si>
  <si>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</si>
  <si>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</si>
  <si>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비보존제약</t>
    </r>
  </si>
  <si>
    <r>
      <rPr>
        <rFont val="맑은 고딕"/>
        <color theme="1"/>
        <sz val="11.0"/>
      </rPr>
      <t>슈바스틴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</si>
  <si>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비보존제약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</si>
  <si>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</si>
  <si>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</si>
  <si>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비보존제약</t>
    </r>
  </si>
  <si>
    <r>
      <rPr>
        <rFont val="맑은 고딕"/>
        <color theme="1"/>
        <sz val="11.0"/>
      </rPr>
      <t>슈바스틴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</si>
  <si>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비보존제약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</si>
  <si>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</si>
  <si>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</si>
  <si>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비보존제약</t>
    </r>
  </si>
  <si>
    <r>
      <rPr>
        <rFont val="맑은 고딕"/>
        <color theme="1"/>
        <sz val="11.0"/>
      </rPr>
      <t>슈바스틴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</si>
  <si>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비보존제약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</si>
  <si>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</si>
  <si>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</si>
  <si>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삼성제약</t>
    </r>
  </si>
  <si>
    <r>
      <rPr>
        <rFont val="맑은 고딕"/>
        <color theme="1"/>
        <sz val="11.0"/>
      </rPr>
      <t>삼성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</si>
  <si>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삼성제약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</si>
  <si>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</si>
  <si>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</si>
  <si>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삼성제약</t>
    </r>
  </si>
  <si>
    <r>
      <rPr>
        <rFont val="맑은 고딕"/>
        <color theme="1"/>
        <sz val="11.0"/>
      </rPr>
      <t>삼성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</si>
  <si>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삼성제약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</si>
  <si>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</si>
  <si>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</si>
  <si>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삼성제약</t>
    </r>
  </si>
  <si>
    <r>
      <rPr>
        <rFont val="맑은 고딕"/>
        <color theme="1"/>
        <sz val="11.0"/>
      </rPr>
      <t>삼성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</si>
  <si>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삼성제약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</si>
  <si>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</si>
  <si>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</si>
  <si>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삼아제약</t>
    </r>
  </si>
  <si>
    <r>
      <rPr>
        <rFont val="맑은 고딕"/>
        <color theme="1"/>
        <sz val="11.0"/>
      </rPr>
      <t>크레로슈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</si>
  <si>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삼아제약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</si>
  <si>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</si>
  <si>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</si>
  <si>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삼익제약</t>
    </r>
  </si>
  <si>
    <r>
      <rPr>
        <rFont val="맑은 고딕"/>
        <color theme="1"/>
        <sz val="11.0"/>
      </rPr>
      <t>크레지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</si>
  <si>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삼익제약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</si>
  <si>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</si>
  <si>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</si>
  <si>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삼익제약</t>
    </r>
  </si>
  <si>
    <r>
      <rPr>
        <rFont val="맑은 고딕"/>
        <color theme="1"/>
        <sz val="11.0"/>
      </rPr>
      <t>크레지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</si>
  <si>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삼익제약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</si>
  <si>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</si>
  <si>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</si>
  <si>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삼익제약</t>
    </r>
  </si>
  <si>
    <r>
      <rPr>
        <rFont val="맑은 고딕"/>
        <color theme="1"/>
        <sz val="11.0"/>
      </rPr>
      <t>크레지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</si>
  <si>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삼익제약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</si>
  <si>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</si>
  <si>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</si>
  <si>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삼일제약</t>
    </r>
  </si>
  <si>
    <r>
      <rPr>
        <rFont val="맑은 고딕"/>
        <color theme="1"/>
        <sz val="11.0"/>
      </rPr>
      <t>로비탄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</si>
  <si>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삼일제약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</si>
  <si>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</si>
  <si>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</si>
  <si>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삼일제약</t>
    </r>
  </si>
  <si>
    <r>
      <rPr>
        <rFont val="맑은 고딕"/>
        <color theme="1"/>
        <sz val="11.0"/>
      </rPr>
      <t>로비탄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</si>
  <si>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삼일제약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</si>
  <si>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</si>
  <si>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</si>
  <si>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삼일제약</t>
    </r>
  </si>
  <si>
    <r>
      <rPr>
        <rFont val="맑은 고딕"/>
        <color theme="1"/>
        <sz val="11.0"/>
      </rPr>
      <t>로비탄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</si>
  <si>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삼일제약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</si>
  <si>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</si>
  <si>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</si>
  <si>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삼진제약</t>
    </r>
  </si>
  <si>
    <r>
      <rPr>
        <rFont val="맑은 고딕"/>
        <color theme="1"/>
        <sz val="11.0"/>
      </rPr>
      <t>뉴스타틴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</si>
  <si>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삼진제약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</si>
  <si>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</si>
  <si>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</si>
  <si>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삼진제약</t>
    </r>
  </si>
  <si>
    <r>
      <rPr>
        <rFont val="맑은 고딕"/>
        <color theme="1"/>
        <sz val="11.0"/>
      </rPr>
      <t>뉴스타틴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2.5mg</t>
    </r>
  </si>
  <si>
    <r>
      <rPr>
        <rFont val="맑은 고딕"/>
        <color theme="1"/>
        <sz val="11.0"/>
      </rPr>
      <t>삼진제약</t>
    </r>
  </si>
  <si>
    <r>
      <rPr>
        <rFont val="Calibri"/>
        <color theme="1"/>
        <sz val="11.0"/>
      </rPr>
      <t>rosuvastatin calcium 2.6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(2.5 as rosuvastatin) [454005ATB]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</si>
  <si>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</si>
  <si>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삼진제약</t>
    </r>
  </si>
  <si>
    <r>
      <rPr>
        <rFont val="맑은 고딕"/>
        <color theme="1"/>
        <sz val="11.0"/>
      </rPr>
      <t>뉴스타틴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</si>
  <si>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삼진제약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</si>
  <si>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</si>
  <si>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</si>
  <si>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삼진제약</t>
    </r>
  </si>
  <si>
    <r>
      <rPr>
        <rFont val="맑은 고딕"/>
        <color theme="1"/>
        <sz val="11.0"/>
      </rPr>
      <t>뉴스타틴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알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</si>
  <si>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삼진제약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</si>
  <si>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</si>
  <si>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</si>
  <si>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삼천당</t>
    </r>
  </si>
  <si>
    <r>
      <rPr>
        <rFont val="맑은 고딕"/>
        <color theme="1"/>
        <sz val="11.0"/>
      </rPr>
      <t>로수틴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</si>
  <si>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삼천당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</si>
  <si>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</si>
  <si>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</si>
  <si>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삼천당</t>
    </r>
  </si>
  <si>
    <r>
      <rPr>
        <rFont val="맑은 고딕"/>
        <color theme="1"/>
        <sz val="11.0"/>
      </rPr>
      <t>로수틴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</si>
  <si>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삼천당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</si>
  <si>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</si>
  <si>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</si>
  <si>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삼천당</t>
    </r>
  </si>
  <si>
    <r>
      <rPr>
        <rFont val="맑은 고딕"/>
        <color theme="1"/>
        <sz val="11.0"/>
      </rPr>
      <t>로수틴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</si>
  <si>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삼천당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</si>
  <si>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</si>
  <si>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</si>
  <si>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서울제약</t>
    </r>
  </si>
  <si>
    <r>
      <rPr>
        <rFont val="맑은 고딕"/>
        <color theme="1"/>
        <sz val="11.0"/>
      </rPr>
      <t>크레스틴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</si>
  <si>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서울제약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</si>
  <si>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</si>
  <si>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</si>
  <si>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서울제약</t>
    </r>
  </si>
  <si>
    <r>
      <rPr>
        <rFont val="맑은 고딕"/>
        <color theme="1"/>
        <sz val="11.0"/>
      </rPr>
      <t>크레스틴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</si>
  <si>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서울제약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</si>
  <si>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</si>
  <si>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</si>
  <si>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서울제약</t>
    </r>
  </si>
  <si>
    <r>
      <rPr>
        <rFont val="맑은 고딕"/>
        <color theme="1"/>
        <sz val="11.0"/>
      </rPr>
      <t>크레스틴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</si>
  <si>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서울제약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</si>
  <si>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</si>
  <si>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</si>
  <si>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서흥</t>
    </r>
  </si>
  <si>
    <r>
      <rPr>
        <rFont val="맑은 고딕"/>
        <color theme="1"/>
        <sz val="11.0"/>
      </rPr>
      <t>로바칸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</si>
  <si>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서흥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</si>
  <si>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</si>
  <si>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</si>
  <si>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서흥</t>
    </r>
  </si>
  <si>
    <r>
      <rPr>
        <rFont val="맑은 고딕"/>
        <color theme="1"/>
        <sz val="11.0"/>
      </rPr>
      <t>로바칸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</si>
  <si>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서흥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</si>
  <si>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</si>
  <si>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</si>
  <si>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셀릭스</t>
    </r>
  </si>
  <si>
    <r>
      <rPr>
        <rFont val="맑은 고딕"/>
        <color theme="1"/>
        <sz val="11.0"/>
      </rPr>
      <t>로스타젠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</si>
  <si>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셀릭스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</si>
  <si>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</si>
  <si>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</si>
  <si>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셀트리온제약</t>
    </r>
  </si>
  <si>
    <r>
      <rPr>
        <rFont val="맑은 고딕"/>
        <color theme="1"/>
        <sz val="11.0"/>
      </rPr>
      <t>크로스틴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</si>
  <si>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셀트리온제약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</si>
  <si>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</si>
  <si>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</si>
  <si>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셀트리온제약</t>
    </r>
  </si>
  <si>
    <r>
      <rPr>
        <rFont val="맑은 고딕"/>
        <color theme="1"/>
        <sz val="11.0"/>
      </rPr>
      <t>크로스틴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</si>
  <si>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셀트리온제약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</si>
  <si>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</si>
  <si>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</si>
  <si>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셀트리온제약</t>
    </r>
  </si>
  <si>
    <r>
      <rPr>
        <rFont val="맑은 고딕"/>
        <color theme="1"/>
        <sz val="11.0"/>
      </rPr>
      <t>크로스틴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</si>
  <si>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셀트리온제약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</si>
  <si>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</si>
  <si>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</si>
  <si>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시어스제약</t>
    </r>
  </si>
  <si>
    <r>
      <rPr>
        <rFont val="맑은 고딕"/>
        <color theme="1"/>
        <sz val="11.0"/>
      </rPr>
      <t>로수그린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</si>
  <si>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시어스제약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</si>
  <si>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</si>
  <si>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</si>
  <si>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시어스제약</t>
    </r>
  </si>
  <si>
    <r>
      <rPr>
        <rFont val="맑은 고딕"/>
        <color theme="1"/>
        <sz val="11.0"/>
      </rPr>
      <t>로수그린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</si>
  <si>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시어스제약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</si>
  <si>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</si>
  <si>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</si>
  <si>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신일제약</t>
    </r>
  </si>
  <si>
    <r>
      <rPr>
        <rFont val="맑은 고딕"/>
        <color theme="1"/>
        <sz val="11.0"/>
      </rPr>
      <t>하이엘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</si>
  <si>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신일제약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</si>
  <si>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</si>
  <si>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</si>
  <si>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신일제약</t>
    </r>
  </si>
  <si>
    <r>
      <rPr>
        <rFont val="맑은 고딕"/>
        <color theme="1"/>
        <sz val="11.0"/>
      </rPr>
      <t>하이엘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</si>
  <si>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신일제약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</si>
  <si>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</si>
  <si>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</si>
  <si>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신일제약</t>
    </r>
  </si>
  <si>
    <r>
      <rPr>
        <rFont val="맑은 고딕"/>
        <color theme="1"/>
        <sz val="11.0"/>
      </rPr>
      <t>하이엘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</si>
  <si>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신일제약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</si>
  <si>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</si>
  <si>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</si>
  <si>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신텍스제약</t>
    </r>
  </si>
  <si>
    <r>
      <rPr>
        <rFont val="맑은 고딕"/>
        <color theme="1"/>
        <sz val="11.0"/>
      </rPr>
      <t>로수탑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</si>
  <si>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신신제약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</si>
  <si>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</si>
  <si>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</si>
  <si>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신풍제약</t>
    </r>
  </si>
  <si>
    <r>
      <rPr>
        <rFont val="맑은 고딕"/>
        <color theme="1"/>
        <sz val="11.0"/>
      </rPr>
      <t>콜로스타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</si>
  <si>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신풍제약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</si>
  <si>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</si>
  <si>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</si>
  <si>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신풍제약</t>
    </r>
  </si>
  <si>
    <r>
      <rPr>
        <rFont val="맑은 고딕"/>
        <color theme="1"/>
        <sz val="11.0"/>
      </rPr>
      <t>콜로스타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2.5mg</t>
    </r>
  </si>
  <si>
    <r>
      <rPr>
        <rFont val="맑은 고딕"/>
        <color theme="1"/>
        <sz val="11.0"/>
      </rPr>
      <t>신풍제약</t>
    </r>
  </si>
  <si>
    <r>
      <rPr>
        <rFont val="Calibri"/>
        <color theme="1"/>
        <sz val="11.0"/>
      </rPr>
      <t>rosuvastatin calcium 2.6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(2.5 as rosuvastatin) [454005ATB]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</si>
  <si>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</si>
  <si>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신풍제약</t>
    </r>
  </si>
  <si>
    <r>
      <rPr>
        <rFont val="맑은 고딕"/>
        <color theme="1"/>
        <sz val="11.0"/>
      </rPr>
      <t>콜로스타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</si>
  <si>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신풍제약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</si>
  <si>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</si>
  <si>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</si>
  <si>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신풍제약</t>
    </r>
  </si>
  <si>
    <r>
      <rPr>
        <rFont val="맑은 고딕"/>
        <color theme="1"/>
        <sz val="11.0"/>
      </rPr>
      <t>콜로스타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</si>
  <si>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신풍제약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</si>
  <si>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</si>
  <si>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</si>
  <si>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씨엠지제약</t>
    </r>
  </si>
  <si>
    <r>
      <rPr>
        <rFont val="맑은 고딕"/>
        <color theme="1"/>
        <sz val="11.0"/>
      </rPr>
      <t>씨엠지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</si>
  <si>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씨엠지제약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</si>
  <si>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</si>
  <si>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</si>
  <si>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씨엠지제약</t>
    </r>
  </si>
  <si>
    <r>
      <rPr>
        <rFont val="맑은 고딕"/>
        <color theme="1"/>
        <sz val="11.0"/>
      </rPr>
      <t>씨엠지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</si>
  <si>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씨엠지제약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</si>
  <si>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</si>
  <si>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</si>
  <si>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씨엠지제약</t>
    </r>
  </si>
  <si>
    <r>
      <rPr>
        <rFont val="맑은 고딕"/>
        <color theme="1"/>
        <sz val="11.0"/>
      </rPr>
      <t>씨엠지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</si>
  <si>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씨엠지제약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</si>
  <si>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</si>
  <si>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</si>
  <si>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씨티씨바이오</t>
    </r>
  </si>
  <si>
    <r>
      <rPr>
        <rFont val="맑은 고딕"/>
        <color theme="1"/>
        <sz val="11.0"/>
      </rPr>
      <t>로바이드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</si>
  <si>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씨티씨바이오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</si>
  <si>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</si>
  <si>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</si>
  <si>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씨티씨바이오</t>
    </r>
  </si>
  <si>
    <r>
      <rPr>
        <rFont val="맑은 고딕"/>
        <color theme="1"/>
        <sz val="11.0"/>
      </rPr>
      <t>로바이드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</si>
  <si>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씨티씨바이오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</si>
  <si>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</si>
  <si>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</si>
  <si>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씨티씨바이오</t>
    </r>
  </si>
  <si>
    <r>
      <rPr>
        <rFont val="맑은 고딕"/>
        <color theme="1"/>
        <sz val="11.0"/>
      </rPr>
      <t>로바이드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</si>
  <si>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씨티씨바이오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</si>
  <si>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</si>
  <si>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</si>
  <si>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아이큐어</t>
    </r>
  </si>
  <si>
    <r>
      <rPr>
        <rFont val="맑은 고딕"/>
        <color theme="1"/>
        <sz val="11.0"/>
      </rPr>
      <t>크레진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</si>
  <si>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아이큐어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</si>
  <si>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</si>
  <si>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</si>
  <si>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아주약품</t>
    </r>
  </si>
  <si>
    <r>
      <rPr>
        <rFont val="맑은 고딕"/>
        <color theme="1"/>
        <sz val="11.0"/>
      </rPr>
      <t>로스틴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</si>
  <si>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아주약품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</si>
  <si>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</si>
  <si>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</si>
  <si>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아주약품</t>
    </r>
  </si>
  <si>
    <r>
      <rPr>
        <rFont val="맑은 고딕"/>
        <color theme="1"/>
        <sz val="11.0"/>
      </rPr>
      <t>로스틴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</si>
  <si>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아주약품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</si>
  <si>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</si>
  <si>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</si>
  <si>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아주약품</t>
    </r>
  </si>
  <si>
    <r>
      <rPr>
        <rFont val="맑은 고딕"/>
        <color theme="1"/>
        <sz val="11.0"/>
      </rPr>
      <t>로스틴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</si>
  <si>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아주약품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</si>
  <si>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</si>
  <si>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</si>
  <si>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안국뉴팜</t>
    </r>
  </si>
  <si>
    <r>
      <rPr>
        <rFont val="맑은 고딕"/>
        <color theme="1"/>
        <sz val="11.0"/>
      </rPr>
      <t>뉴슈바틴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</si>
  <si>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안국뉴팜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</si>
  <si>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</si>
  <si>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</si>
  <si>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안국약품</t>
    </r>
  </si>
  <si>
    <r>
      <rPr>
        <rFont val="맑은 고딕"/>
        <color theme="1"/>
        <sz val="11.0"/>
      </rPr>
      <t>슈스타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</si>
  <si>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안국약품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</si>
  <si>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</si>
  <si>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</si>
  <si>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안국약품</t>
    </r>
  </si>
  <si>
    <r>
      <rPr>
        <rFont val="맑은 고딕"/>
        <color theme="1"/>
        <sz val="11.0"/>
      </rPr>
      <t>슈스타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2.5mg</t>
    </r>
  </si>
  <si>
    <r>
      <rPr>
        <rFont val="맑은 고딕"/>
        <color theme="1"/>
        <sz val="11.0"/>
      </rPr>
      <t>안국약품</t>
    </r>
  </si>
  <si>
    <r>
      <rPr>
        <rFont val="Calibri"/>
        <color theme="1"/>
        <sz val="11.0"/>
      </rPr>
      <t>rosuvastatin calcium 2.6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(2.5 as rosuvastatin) [454005ATB]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</si>
  <si>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</si>
  <si>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안국약품</t>
    </r>
  </si>
  <si>
    <r>
      <rPr>
        <rFont val="맑은 고딕"/>
        <color theme="1"/>
        <sz val="11.0"/>
      </rPr>
      <t>슈스타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</si>
  <si>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안국약품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</si>
  <si>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</si>
  <si>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</si>
  <si>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안국약품</t>
    </r>
  </si>
  <si>
    <r>
      <rPr>
        <rFont val="맑은 고딕"/>
        <color theme="1"/>
        <sz val="11.0"/>
      </rPr>
      <t>슈스타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</si>
  <si>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안국약품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</si>
  <si>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</si>
  <si>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</si>
  <si>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알리코</t>
    </r>
  </si>
  <si>
    <r>
      <rPr>
        <rFont val="맑은 고딕"/>
        <color theme="1"/>
        <sz val="11.0"/>
      </rPr>
      <t>크레스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</si>
  <si>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알리코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</si>
  <si>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</si>
  <si>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</si>
  <si>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알리코</t>
    </r>
  </si>
  <si>
    <r>
      <rPr>
        <rFont val="맑은 고딕"/>
        <color theme="1"/>
        <sz val="11.0"/>
      </rPr>
      <t>크레스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</si>
  <si>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알리코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</si>
  <si>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</si>
  <si>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</si>
  <si>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알리코</t>
    </r>
  </si>
  <si>
    <r>
      <rPr>
        <rFont val="맑은 고딕"/>
        <color theme="1"/>
        <sz val="11.0"/>
      </rPr>
      <t>크레스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</si>
  <si>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알리코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</si>
  <si>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</si>
  <si>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</si>
  <si>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알보젠코리아</t>
    </r>
  </si>
  <si>
    <r>
      <rPr>
        <rFont val="맑은 고딕"/>
        <color theme="1"/>
        <sz val="11.0"/>
      </rPr>
      <t>로레스토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</si>
  <si>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알보젠코리아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</si>
  <si>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</si>
  <si>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</si>
  <si>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알보젠코리아</t>
    </r>
  </si>
  <si>
    <r>
      <rPr>
        <rFont val="맑은 고딕"/>
        <color theme="1"/>
        <sz val="11.0"/>
      </rPr>
      <t>로레스토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2.5mg</t>
    </r>
  </si>
  <si>
    <r>
      <rPr>
        <rFont val="맑은 고딕"/>
        <color theme="1"/>
        <sz val="11.0"/>
      </rPr>
      <t>알보젠코리아</t>
    </r>
  </si>
  <si>
    <r>
      <rPr>
        <rFont val="Calibri"/>
        <color theme="1"/>
        <sz val="11.0"/>
      </rPr>
      <t>rosuvastatin calcium 2.6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(2.5 as rosuvastatin) [454005ATB]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</si>
  <si>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</si>
  <si>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알보젠코리아</t>
    </r>
  </si>
  <si>
    <r>
      <rPr>
        <rFont val="맑은 고딕"/>
        <color theme="1"/>
        <sz val="11.0"/>
      </rPr>
      <t>로레스토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</si>
  <si>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알보젠코리아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</si>
  <si>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</si>
  <si>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</si>
  <si>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알피바이오</t>
    </r>
  </si>
  <si>
    <r>
      <rPr>
        <rFont val="맑은 고딕"/>
        <color theme="1"/>
        <sz val="11.0"/>
      </rPr>
      <t>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</si>
  <si>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알피바이오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</si>
  <si>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</si>
  <si>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</si>
  <si>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알피바이오</t>
    </r>
  </si>
  <si>
    <r>
      <rPr>
        <rFont val="맑은 고딕"/>
        <color theme="1"/>
        <sz val="11.0"/>
      </rPr>
      <t>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</si>
  <si>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알피바이오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</si>
  <si>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</si>
  <si>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</si>
  <si>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알피바이오</t>
    </r>
  </si>
  <si>
    <r>
      <rPr>
        <rFont val="맑은 고딕"/>
        <color theme="1"/>
        <sz val="11.0"/>
      </rPr>
      <t>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</si>
  <si>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알피바이오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</si>
  <si>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</si>
  <si>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</si>
  <si>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에이치엘비제약</t>
    </r>
  </si>
  <si>
    <r>
      <rPr>
        <rFont val="맑은 고딕"/>
        <color theme="1"/>
        <sz val="11.0"/>
      </rPr>
      <t>로바스토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</si>
  <si>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에이치엘비제약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</si>
  <si>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</si>
  <si>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</si>
  <si>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에이치엘비제약</t>
    </r>
  </si>
  <si>
    <r>
      <rPr>
        <rFont val="맑은 고딕"/>
        <color theme="1"/>
        <sz val="11.0"/>
      </rPr>
      <t>로바스토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</si>
  <si>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에이치엘비제약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</si>
  <si>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</si>
  <si>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</si>
  <si>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에이치엘비제약</t>
    </r>
  </si>
  <si>
    <r>
      <rPr>
        <rFont val="맑은 고딕"/>
        <color theme="1"/>
        <sz val="11.0"/>
      </rPr>
      <t>로바스토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</si>
  <si>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에이치엘비제약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</si>
  <si>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</si>
  <si>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</si>
  <si>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에이치케이이노엔</t>
    </r>
  </si>
  <si>
    <r>
      <rPr>
        <rFont val="맑은 고딕"/>
        <color theme="1"/>
        <sz val="11.0"/>
      </rPr>
      <t>비바코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</si>
  <si>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에이치케이이노엔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</si>
  <si>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</si>
  <si>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</si>
  <si>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에이치케이이노엔</t>
    </r>
  </si>
  <si>
    <r>
      <rPr>
        <rFont val="맑은 고딕"/>
        <color theme="1"/>
        <sz val="11.0"/>
      </rPr>
      <t>비바코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</si>
  <si>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에이치케이이노엔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</si>
  <si>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</si>
  <si>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</si>
  <si>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에이치케이이노엔</t>
    </r>
  </si>
  <si>
    <r>
      <rPr>
        <rFont val="맑은 고딕"/>
        <color theme="1"/>
        <sz val="11.0"/>
      </rPr>
      <t>비바코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</si>
  <si>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에이치케이이노엔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</si>
  <si>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</si>
  <si>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</si>
  <si>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에이프로젠바이오로직스</t>
    </r>
  </si>
  <si>
    <r>
      <rPr>
        <rFont val="맑은 고딕"/>
        <color theme="1"/>
        <sz val="11.0"/>
      </rPr>
      <t>에이프로젠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로수바스타틴칼슘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</si>
  <si>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에이프로젠바이오로직스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</si>
  <si>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</si>
  <si>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</si>
  <si>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에이프로젠바이오로직스</t>
    </r>
  </si>
  <si>
    <r>
      <rPr>
        <rFont val="맑은 고딕"/>
        <color theme="1"/>
        <sz val="11.0"/>
      </rPr>
      <t>에이프로젠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로수바스타틴칼슘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</si>
  <si>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에이프로젠바이오로직스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</si>
  <si>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</si>
  <si>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</si>
  <si>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엘앤씨바이오</t>
    </r>
  </si>
  <si>
    <r>
      <rPr>
        <rFont val="맑은 고딕"/>
        <color theme="1"/>
        <sz val="11.0"/>
      </rPr>
      <t>메가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</si>
  <si>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엘앤씨바이오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</si>
  <si>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</si>
  <si>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</si>
  <si>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엘앤씨바이오</t>
    </r>
  </si>
  <si>
    <r>
      <rPr>
        <rFont val="맑은 고딕"/>
        <color theme="1"/>
        <sz val="11.0"/>
      </rPr>
      <t>메가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2.5mg</t>
    </r>
  </si>
  <si>
    <r>
      <rPr>
        <rFont val="맑은 고딕"/>
        <color theme="1"/>
        <sz val="11.0"/>
      </rPr>
      <t>엘앤씨바이오</t>
    </r>
  </si>
  <si>
    <r>
      <rPr>
        <rFont val="Calibri"/>
        <color theme="1"/>
        <sz val="11.0"/>
      </rPr>
      <t>rosuvastatin calcium 2.6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(2.5 as rosuvastatin) [454005ATB]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</si>
  <si>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</si>
  <si>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엘앤씨바이오</t>
    </r>
  </si>
  <si>
    <r>
      <rPr>
        <rFont val="맑은 고딕"/>
        <color theme="1"/>
        <sz val="11.0"/>
      </rPr>
      <t>메가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</si>
  <si>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엘앤씨바이오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</si>
  <si>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</si>
  <si>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</si>
  <si>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영일제약</t>
    </r>
  </si>
  <si>
    <r>
      <rPr>
        <rFont val="맑은 고딕"/>
        <color theme="1"/>
        <sz val="11.0"/>
      </rPr>
      <t>크레바틴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</si>
  <si>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영일제약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</si>
  <si>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</si>
  <si>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</si>
  <si>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영일제약</t>
    </r>
  </si>
  <si>
    <r>
      <rPr>
        <rFont val="맑은 고딕"/>
        <color theme="1"/>
        <sz val="11.0"/>
      </rPr>
      <t>크레바틴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</si>
  <si>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영일제약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</si>
  <si>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</si>
  <si>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</si>
  <si>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영일제약</t>
    </r>
  </si>
  <si>
    <r>
      <rPr>
        <rFont val="맑은 고딕"/>
        <color theme="1"/>
        <sz val="11.0"/>
      </rPr>
      <t>크레바틴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</si>
  <si>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영일제약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</si>
  <si>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</si>
  <si>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</si>
  <si>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영진약품</t>
    </r>
  </si>
  <si>
    <r>
      <rPr>
        <rFont val="맑은 고딕"/>
        <color theme="1"/>
        <sz val="11.0"/>
      </rPr>
      <t>크레아진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</si>
  <si>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영진약품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</si>
  <si>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</si>
  <si>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</si>
  <si>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영진약품</t>
    </r>
  </si>
  <si>
    <r>
      <rPr>
        <rFont val="맑은 고딕"/>
        <color theme="1"/>
        <sz val="11.0"/>
      </rPr>
      <t>크레아진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</si>
  <si>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영진약품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</si>
  <si>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</si>
  <si>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</si>
  <si>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영진약품</t>
    </r>
  </si>
  <si>
    <r>
      <rPr>
        <rFont val="맑은 고딕"/>
        <color theme="1"/>
        <sz val="11.0"/>
      </rPr>
      <t>크레아진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</si>
  <si>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영진약품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</si>
  <si>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</si>
  <si>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</si>
  <si>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영풍제약</t>
    </r>
  </si>
  <si>
    <r>
      <rPr>
        <rFont val="맑은 고딕"/>
        <color theme="1"/>
        <sz val="11.0"/>
      </rPr>
      <t>슈바스타틴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</si>
  <si>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영풍제약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</si>
  <si>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</si>
  <si>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</si>
  <si>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오스코리아</t>
    </r>
  </si>
  <si>
    <r>
      <rPr>
        <rFont val="맑은 고딕"/>
        <color theme="1"/>
        <sz val="11.0"/>
      </rPr>
      <t>오스타틴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</si>
  <si>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오스코리아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</si>
  <si>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</si>
  <si>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</si>
  <si>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원광제약</t>
    </r>
  </si>
  <si>
    <r>
      <rPr>
        <rFont val="맑은 고딕"/>
        <color theme="1"/>
        <sz val="11.0"/>
      </rPr>
      <t>로바원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</si>
  <si>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원광제약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</si>
  <si>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</si>
  <si>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</si>
  <si>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원광제약</t>
    </r>
  </si>
  <si>
    <r>
      <rPr>
        <rFont val="맑은 고딕"/>
        <color theme="1"/>
        <sz val="11.0"/>
      </rPr>
      <t>로바원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</si>
  <si>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원광제약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</si>
  <si>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</si>
  <si>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</si>
  <si>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원광제약</t>
    </r>
  </si>
  <si>
    <r>
      <rPr>
        <rFont val="맑은 고딕"/>
        <color theme="1"/>
        <sz val="11.0"/>
      </rPr>
      <t>로바원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</si>
  <si>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원광제약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</si>
  <si>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</si>
  <si>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</si>
  <si>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위더스제약</t>
    </r>
  </si>
  <si>
    <r>
      <rPr>
        <rFont val="맑은 고딕"/>
        <color theme="1"/>
        <sz val="11.0"/>
      </rPr>
      <t>로수브이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</si>
  <si>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위더스제약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</si>
  <si>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</si>
  <si>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</si>
  <si>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위더스제약</t>
    </r>
  </si>
  <si>
    <r>
      <rPr>
        <rFont val="맑은 고딕"/>
        <color theme="1"/>
        <sz val="11.0"/>
      </rPr>
      <t>로수브이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</si>
  <si>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위더스제약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</si>
  <si>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</si>
  <si>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</si>
  <si>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위더스제약</t>
    </r>
  </si>
  <si>
    <r>
      <rPr>
        <rFont val="맑은 고딕"/>
        <color theme="1"/>
        <sz val="11.0"/>
      </rPr>
      <t>로수브이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</si>
  <si>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위더스제약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</si>
  <si>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</si>
  <si>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</si>
  <si>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유나이티드</t>
    </r>
  </si>
  <si>
    <r>
      <rPr>
        <rFont val="맑은 고딕"/>
        <color theme="1"/>
        <sz val="11.0"/>
      </rPr>
      <t>로바스타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</si>
  <si>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유나이티드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</si>
  <si>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</si>
  <si>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</si>
  <si>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유나이티드</t>
    </r>
  </si>
  <si>
    <r>
      <rPr>
        <rFont val="맑은 고딕"/>
        <color theme="1"/>
        <sz val="11.0"/>
      </rPr>
      <t>로바스타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</si>
  <si>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유나이티드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</si>
  <si>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</si>
  <si>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</si>
  <si>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유나이티드</t>
    </r>
  </si>
  <si>
    <r>
      <rPr>
        <rFont val="맑은 고딕"/>
        <color theme="1"/>
        <sz val="11.0"/>
      </rPr>
      <t>로바스타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</si>
  <si>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유나이티드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</si>
  <si>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</si>
  <si>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</si>
  <si>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유니메드</t>
    </r>
  </si>
  <si>
    <r>
      <rPr>
        <rFont val="맑은 고딕"/>
        <color theme="1"/>
        <sz val="11.0"/>
      </rPr>
      <t>크레토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</si>
  <si>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유니메드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</si>
  <si>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</si>
  <si>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</si>
  <si>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유니메드</t>
    </r>
  </si>
  <si>
    <r>
      <rPr>
        <rFont val="맑은 고딕"/>
        <color theme="1"/>
        <sz val="11.0"/>
      </rPr>
      <t>크레토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</si>
  <si>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유니메드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</si>
  <si>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</si>
  <si>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</si>
  <si>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유영제약</t>
    </r>
  </si>
  <si>
    <r>
      <rPr>
        <rFont val="맑은 고딕"/>
        <color theme="1"/>
        <sz val="11.0"/>
      </rPr>
      <t>유로스토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</si>
  <si>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유영제약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</si>
  <si>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</si>
  <si>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</si>
  <si>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유한양행</t>
    </r>
  </si>
  <si>
    <r>
      <rPr>
        <rFont val="맑은 고딕"/>
        <color theme="1"/>
        <sz val="11.0"/>
      </rPr>
      <t>모노로바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</si>
  <si>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유한양행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</si>
  <si>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</si>
  <si>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</si>
  <si>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유한양행</t>
    </r>
  </si>
  <si>
    <r>
      <rPr>
        <rFont val="맑은 고딕"/>
        <color theme="1"/>
        <sz val="11.0"/>
      </rPr>
      <t>모노로바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</si>
  <si>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유한양행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</si>
  <si>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</si>
  <si>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</si>
  <si>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유한양행</t>
    </r>
  </si>
  <si>
    <r>
      <rPr>
        <rFont val="맑은 고딕"/>
        <color theme="1"/>
        <sz val="11.0"/>
      </rPr>
      <t>모노로바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</si>
  <si>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유한양행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</si>
  <si>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</si>
  <si>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</si>
  <si>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이든파마</t>
    </r>
  </si>
  <si>
    <r>
      <rPr>
        <rFont val="맑은 고딕"/>
        <color theme="1"/>
        <sz val="11.0"/>
      </rPr>
      <t>로수반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</si>
  <si>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이든파마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</si>
  <si>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</si>
  <si>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</si>
  <si>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이든파마</t>
    </r>
  </si>
  <si>
    <r>
      <rPr>
        <rFont val="맑은 고딕"/>
        <color theme="1"/>
        <sz val="11.0"/>
      </rPr>
      <t>로수반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</si>
  <si>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이든파마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</si>
  <si>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</si>
  <si>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</si>
  <si>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이든파마</t>
    </r>
  </si>
  <si>
    <r>
      <rPr>
        <rFont val="맑은 고딕"/>
        <color theme="1"/>
        <sz val="11.0"/>
      </rPr>
      <t>로수반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</si>
  <si>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이든파마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</si>
  <si>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</si>
  <si>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</si>
  <si>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이연제약</t>
    </r>
  </si>
  <si>
    <r>
      <rPr>
        <rFont val="맑은 고딕"/>
        <color theme="1"/>
        <sz val="11.0"/>
      </rPr>
      <t>이로스타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</si>
  <si>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이연제약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</si>
  <si>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</si>
  <si>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</si>
  <si>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이연제약</t>
    </r>
  </si>
  <si>
    <r>
      <rPr>
        <rFont val="맑은 고딕"/>
        <color theme="1"/>
        <sz val="11.0"/>
      </rPr>
      <t>이로스타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</si>
  <si>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이연제약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</si>
  <si>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</si>
  <si>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</si>
  <si>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이연제약</t>
    </r>
  </si>
  <si>
    <r>
      <rPr>
        <rFont val="맑은 고딕"/>
        <color theme="1"/>
        <sz val="11.0"/>
      </rPr>
      <t>이로스타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</si>
  <si>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이연제약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</si>
  <si>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</si>
  <si>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</si>
  <si>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인트로바이오파마</t>
    </r>
  </si>
  <si>
    <r>
      <rPr>
        <rFont val="맑은 고딕"/>
        <color theme="1"/>
        <sz val="11.0"/>
      </rPr>
      <t>로슈바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</si>
  <si>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인트로바이오파마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</si>
  <si>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</si>
  <si>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</si>
  <si>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인트로바이오파마</t>
    </r>
  </si>
  <si>
    <r>
      <rPr>
        <rFont val="맑은 고딕"/>
        <color theme="1"/>
        <sz val="11.0"/>
      </rPr>
      <t>로슈바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</si>
  <si>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인트로바이오파마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</si>
  <si>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</si>
  <si>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</si>
  <si>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일동제약</t>
    </r>
  </si>
  <si>
    <r>
      <rPr>
        <rFont val="맑은 고딕"/>
        <color theme="1"/>
        <sz val="11.0"/>
      </rPr>
      <t>로베틴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</si>
  <si>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일동제약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</si>
  <si>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</si>
  <si>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</si>
  <si>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일동제약</t>
    </r>
  </si>
  <si>
    <r>
      <rPr>
        <rFont val="맑은 고딕"/>
        <color theme="1"/>
        <sz val="11.0"/>
      </rPr>
      <t>로베틴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</si>
  <si>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일동제약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</si>
  <si>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</si>
  <si>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</si>
  <si>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일동제약</t>
    </r>
  </si>
  <si>
    <r>
      <rPr>
        <rFont val="맑은 고딕"/>
        <color theme="1"/>
        <sz val="11.0"/>
      </rPr>
      <t>로베틴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</si>
  <si>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일동제약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</si>
  <si>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</si>
  <si>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</si>
  <si>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일성아이에스</t>
    </r>
  </si>
  <si>
    <r>
      <rPr>
        <rFont val="맑은 고딕"/>
        <color theme="1"/>
        <sz val="11.0"/>
      </rPr>
      <t>크로스타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</si>
  <si>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일성아이에스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</si>
  <si>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</si>
  <si>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</si>
  <si>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일성아이에스</t>
    </r>
  </si>
  <si>
    <r>
      <rPr>
        <rFont val="맑은 고딕"/>
        <color theme="1"/>
        <sz val="11.0"/>
      </rPr>
      <t>크로스타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</si>
  <si>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일성아이에스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</si>
  <si>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</si>
  <si>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</si>
  <si>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일양바이오팜</t>
    </r>
  </si>
  <si>
    <r>
      <rPr>
        <rFont val="맑은 고딕"/>
        <color theme="1"/>
        <sz val="11.0"/>
      </rPr>
      <t>크래바스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</si>
  <si>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일양바이오팜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</si>
  <si>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</si>
  <si>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</si>
  <si>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일양약품</t>
    </r>
  </si>
  <si>
    <r>
      <rPr>
        <rFont val="맑은 고딕"/>
        <color theme="1"/>
        <sz val="11.0"/>
      </rPr>
      <t>크레고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</si>
  <si>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일양약품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</si>
  <si>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</si>
  <si>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</si>
  <si>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일양약품</t>
    </r>
  </si>
  <si>
    <r>
      <rPr>
        <rFont val="맑은 고딕"/>
        <color theme="1"/>
        <sz val="11.0"/>
      </rPr>
      <t>크레고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</si>
  <si>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일양약품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</si>
  <si>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</si>
  <si>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</si>
  <si>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일양약품</t>
    </r>
  </si>
  <si>
    <r>
      <rPr>
        <rFont val="맑은 고딕"/>
        <color theme="1"/>
        <sz val="11.0"/>
      </rPr>
      <t>크레고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</si>
  <si>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일양약품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</si>
  <si>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</si>
  <si>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</si>
  <si>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일화</t>
    </r>
  </si>
  <si>
    <r>
      <rPr>
        <rFont val="맑은 고딕"/>
        <color theme="1"/>
        <sz val="11.0"/>
      </rPr>
      <t>레스타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</si>
  <si>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일화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</si>
  <si>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</si>
  <si>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</si>
  <si>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일화</t>
    </r>
  </si>
  <si>
    <r>
      <rPr>
        <rFont val="맑은 고딕"/>
        <color theme="1"/>
        <sz val="11.0"/>
      </rPr>
      <t>레스타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</si>
  <si>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일화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</si>
  <si>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</si>
  <si>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</si>
  <si>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일화</t>
    </r>
  </si>
  <si>
    <r>
      <rPr>
        <rFont val="맑은 고딕"/>
        <color theme="1"/>
        <sz val="11.0"/>
      </rPr>
      <t>레스타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</si>
  <si>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일화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</si>
  <si>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</si>
  <si>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</si>
  <si>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제뉴파마</t>
    </r>
  </si>
  <si>
    <r>
      <rPr>
        <rFont val="맑은 고딕"/>
        <color theme="1"/>
        <sz val="11.0"/>
      </rPr>
      <t>크로바틴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</si>
  <si>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제뉴파마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</si>
  <si>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</si>
  <si>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</si>
  <si>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제뉴파마</t>
    </r>
  </si>
  <si>
    <r>
      <rPr>
        <rFont val="맑은 고딕"/>
        <color theme="1"/>
        <sz val="11.0"/>
      </rPr>
      <t>크로바틴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</si>
  <si>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제뉴파마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</si>
  <si>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</si>
  <si>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</si>
  <si>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제뉴파마</t>
    </r>
  </si>
  <si>
    <r>
      <rPr>
        <rFont val="맑은 고딕"/>
        <color theme="1"/>
        <sz val="11.0"/>
      </rPr>
      <t>크로바틴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</si>
  <si>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제뉴파마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</si>
  <si>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</si>
  <si>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</si>
  <si>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제일약품</t>
    </r>
  </si>
  <si>
    <r>
      <rPr>
        <rFont val="맑은 고딕"/>
        <color theme="1"/>
        <sz val="11.0"/>
      </rPr>
      <t>제이로수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</si>
  <si>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제일약품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</si>
  <si>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</si>
  <si>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</si>
  <si>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제일약품</t>
    </r>
  </si>
  <si>
    <r>
      <rPr>
        <rFont val="맑은 고딕"/>
        <color theme="1"/>
        <sz val="11.0"/>
      </rPr>
      <t>제이로수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</si>
  <si>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제일약품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</si>
  <si>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</si>
  <si>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</si>
  <si>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제일약품</t>
    </r>
  </si>
  <si>
    <r>
      <rPr>
        <rFont val="맑은 고딕"/>
        <color theme="1"/>
        <sz val="11.0"/>
      </rPr>
      <t>제이로수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</si>
  <si>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제일약품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</si>
  <si>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</si>
  <si>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</si>
  <si>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조아제약</t>
    </r>
  </si>
  <si>
    <r>
      <rPr>
        <rFont val="맑은 고딕"/>
        <color theme="1"/>
        <sz val="11.0"/>
      </rPr>
      <t>슈바스타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</si>
  <si>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조아제약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</si>
  <si>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</si>
  <si>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</si>
  <si>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조아제약</t>
    </r>
  </si>
  <si>
    <r>
      <rPr>
        <rFont val="맑은 고딕"/>
        <color theme="1"/>
        <sz val="11.0"/>
      </rPr>
      <t>슈바스타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</si>
  <si>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조아제약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</si>
  <si>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</si>
  <si>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</si>
  <si>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종근당</t>
    </r>
  </si>
  <si>
    <r>
      <rPr>
        <rFont val="맑은 고딕"/>
        <color theme="1"/>
        <sz val="11.0"/>
      </rPr>
      <t>로수로드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</si>
  <si>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종근당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</si>
  <si>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</si>
  <si>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</si>
  <si>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종근당</t>
    </r>
  </si>
  <si>
    <r>
      <rPr>
        <rFont val="맑은 고딕"/>
        <color theme="1"/>
        <sz val="11.0"/>
      </rPr>
      <t>로수로드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</si>
  <si>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종근당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</si>
  <si>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</si>
  <si>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</si>
  <si>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종근당</t>
    </r>
  </si>
  <si>
    <r>
      <rPr>
        <rFont val="맑은 고딕"/>
        <color theme="1"/>
        <sz val="11.0"/>
      </rPr>
      <t>로수로드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</si>
  <si>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종근당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</si>
  <si>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</si>
  <si>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</si>
  <si>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중헌제약</t>
    </r>
  </si>
  <si>
    <r>
      <rPr>
        <rFont val="맑은 고딕"/>
        <color theme="1"/>
        <sz val="11.0"/>
      </rPr>
      <t>엘로수바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</si>
  <si>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중헌제약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</si>
  <si>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</si>
  <si>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</si>
  <si>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중헌제약</t>
    </r>
  </si>
  <si>
    <r>
      <rPr>
        <rFont val="맑은 고딕"/>
        <color theme="1"/>
        <sz val="11.0"/>
      </rPr>
      <t>엘로수바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</si>
  <si>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중헌제약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</si>
  <si>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</si>
  <si>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</si>
  <si>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지엘파마</t>
    </r>
  </si>
  <si>
    <r>
      <rPr>
        <rFont val="맑은 고딕"/>
        <color theme="1"/>
        <sz val="11.0"/>
      </rPr>
      <t>로수바신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</si>
  <si>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지엘파마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</si>
  <si>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</si>
  <si>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</si>
  <si>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지엘파마</t>
    </r>
  </si>
  <si>
    <r>
      <rPr>
        <rFont val="맑은 고딕"/>
        <color theme="1"/>
        <sz val="11.0"/>
      </rPr>
      <t>로수바신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</si>
  <si>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지엘파마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</si>
  <si>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</si>
  <si>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</si>
  <si>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진양제약</t>
    </r>
  </si>
  <si>
    <r>
      <rPr>
        <rFont val="맑은 고딕"/>
        <color theme="1"/>
        <sz val="11.0"/>
      </rPr>
      <t>로수바틴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</si>
  <si>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진양제약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</si>
  <si>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</si>
  <si>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</si>
  <si>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진양제약</t>
    </r>
  </si>
  <si>
    <r>
      <rPr>
        <rFont val="맑은 고딕"/>
        <color theme="1"/>
        <sz val="11.0"/>
      </rPr>
      <t>로수바틴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</si>
  <si>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진양제약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</si>
  <si>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</si>
  <si>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</si>
  <si>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진양제약</t>
    </r>
  </si>
  <si>
    <r>
      <rPr>
        <rFont val="맑은 고딕"/>
        <color theme="1"/>
        <sz val="11.0"/>
      </rPr>
      <t>로수바틴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</si>
  <si>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진양제약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</si>
  <si>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</si>
  <si>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</si>
  <si>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케이에스제약</t>
    </r>
  </si>
  <si>
    <r>
      <rPr>
        <rFont val="맑은 고딕"/>
        <color theme="1"/>
        <sz val="11.0"/>
      </rPr>
      <t>로바케이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</si>
  <si>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케이에스제약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</si>
  <si>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</si>
  <si>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</si>
  <si>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케이에스제약</t>
    </r>
  </si>
  <si>
    <r>
      <rPr>
        <rFont val="맑은 고딕"/>
        <color theme="1"/>
        <sz val="11.0"/>
      </rPr>
      <t>로바케이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</si>
  <si>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케이에스제약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</si>
  <si>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</si>
  <si>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</si>
  <si>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케이에스제약</t>
    </r>
  </si>
  <si>
    <r>
      <rPr>
        <rFont val="맑은 고딕"/>
        <color theme="1"/>
        <sz val="11.0"/>
      </rPr>
      <t>로바케이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</si>
  <si>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케이에스제약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</si>
  <si>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</si>
  <si>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</si>
  <si>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코오롱</t>
    </r>
  </si>
  <si>
    <r>
      <rPr>
        <rFont val="맑은 고딕"/>
        <color theme="1"/>
        <sz val="11.0"/>
      </rPr>
      <t>로슈타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</si>
  <si>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코오롱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</si>
  <si>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</si>
  <si>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</si>
  <si>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코오롱</t>
    </r>
  </si>
  <si>
    <r>
      <rPr>
        <rFont val="맑은 고딕"/>
        <color theme="1"/>
        <sz val="11.0"/>
      </rPr>
      <t>로슈타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</si>
  <si>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코오롱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</si>
  <si>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</si>
  <si>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</si>
  <si>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킵스바이오파마</t>
    </r>
  </si>
  <si>
    <r>
      <rPr>
        <rFont val="맑은 고딕"/>
        <color theme="1"/>
        <sz val="11.0"/>
      </rPr>
      <t>로바탄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</si>
  <si>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킵스바이오파마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</si>
  <si>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</si>
  <si>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</si>
  <si>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킵스바이오파마</t>
    </r>
  </si>
  <si>
    <r>
      <rPr>
        <rFont val="맑은 고딕"/>
        <color theme="1"/>
        <sz val="11.0"/>
      </rPr>
      <t>로바탄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</si>
  <si>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킵스바이오파마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</si>
  <si>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</si>
  <si>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</si>
  <si>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킵스바이오파마</t>
    </r>
  </si>
  <si>
    <r>
      <rPr>
        <rFont val="맑은 고딕"/>
        <color theme="1"/>
        <sz val="11.0"/>
      </rPr>
      <t>로바탄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</si>
  <si>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킵스바이오파마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</si>
  <si>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</si>
  <si>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</si>
  <si>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테라젠이텍스</t>
    </r>
  </si>
  <si>
    <r>
      <rPr>
        <rFont val="맑은 고딕"/>
        <color theme="1"/>
        <sz val="11.0"/>
      </rPr>
      <t>이텍스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로수바스타틴칼슘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</si>
  <si>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테라젠이텍스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</si>
  <si>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</si>
  <si>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</si>
  <si>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테라젠이텍스</t>
    </r>
  </si>
  <si>
    <r>
      <rPr>
        <rFont val="맑은 고딕"/>
        <color theme="1"/>
        <sz val="11.0"/>
      </rPr>
      <t>이텍스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로수바스타틴칼슘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</si>
  <si>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테라젠이텍스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</si>
  <si>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</si>
  <si>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</si>
  <si>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테라젠이텍스</t>
    </r>
  </si>
  <si>
    <r>
      <rPr>
        <rFont val="맑은 고딕"/>
        <color theme="1"/>
        <sz val="11.0"/>
      </rPr>
      <t>이텍스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로수바스타틴칼슘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</si>
  <si>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테라젠이텍스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</si>
  <si>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</si>
  <si>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</si>
  <si>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텔콘제약</t>
    </r>
  </si>
  <si>
    <r>
      <rPr>
        <rFont val="맑은 고딕"/>
        <color theme="1"/>
        <sz val="11.0"/>
      </rPr>
      <t>로수메디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</si>
  <si>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텔콘제약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</si>
  <si>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</si>
  <si>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</si>
  <si>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텔콘제약</t>
    </r>
  </si>
  <si>
    <r>
      <rPr>
        <rFont val="맑은 고딕"/>
        <color theme="1"/>
        <sz val="11.0"/>
      </rPr>
      <t>로수메디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</si>
  <si>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텔콘제약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</si>
  <si>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</si>
  <si>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</si>
  <si>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파마사이언스코리아</t>
    </r>
  </si>
  <si>
    <r>
      <rPr>
        <rFont val="맑은 고딕"/>
        <color theme="1"/>
        <sz val="11.0"/>
      </rPr>
      <t>피엠에스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</si>
  <si>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파마사이언스코리아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</si>
  <si>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</si>
  <si>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</si>
  <si>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파마사이언스코리아</t>
    </r>
  </si>
  <si>
    <r>
      <rPr>
        <rFont val="맑은 고딕"/>
        <color theme="1"/>
        <sz val="11.0"/>
      </rPr>
      <t>피엠에스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</si>
  <si>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파마사이언스코리아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</si>
  <si>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</si>
  <si>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</si>
  <si>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파마사이언스코리아</t>
    </r>
  </si>
  <si>
    <r>
      <rPr>
        <rFont val="맑은 고딕"/>
        <color theme="1"/>
        <sz val="11.0"/>
      </rPr>
      <t>피엠에스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로수바스타틴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</si>
  <si>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파마사이언스코리아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</si>
  <si>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</si>
  <si>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</si>
  <si>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파비스</t>
    </r>
  </si>
  <si>
    <r>
      <rPr>
        <rFont val="맑은 고딕"/>
        <color theme="1"/>
        <sz val="11.0"/>
      </rPr>
      <t>록스바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</si>
  <si>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파비스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</si>
  <si>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</si>
  <si>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</si>
  <si>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파비스</t>
    </r>
  </si>
  <si>
    <r>
      <rPr>
        <rFont val="맑은 고딕"/>
        <color theme="1"/>
        <sz val="11.0"/>
      </rPr>
      <t>록스바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</si>
  <si>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파비스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</si>
  <si>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</si>
  <si>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</si>
  <si>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팜젠사이언스</t>
    </r>
  </si>
  <si>
    <r>
      <rPr>
        <rFont val="맑은 고딕"/>
        <color theme="1"/>
        <sz val="11.0"/>
      </rPr>
      <t>크바스틴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</si>
  <si>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팜젠사이언스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</si>
  <si>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</si>
  <si>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</si>
  <si>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팜젠사이언스</t>
    </r>
  </si>
  <si>
    <r>
      <rPr>
        <rFont val="맑은 고딕"/>
        <color theme="1"/>
        <sz val="11.0"/>
      </rPr>
      <t>크바스틴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</si>
  <si>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팜젠사이언스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</si>
  <si>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</si>
  <si>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</si>
  <si>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팜젠사이언스</t>
    </r>
  </si>
  <si>
    <r>
      <rPr>
        <rFont val="맑은 고딕"/>
        <color theme="1"/>
        <sz val="11.0"/>
      </rPr>
      <t>크바스틴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</si>
  <si>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팜젠사이언스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</si>
  <si>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</si>
  <si>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</si>
  <si>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하나제약</t>
    </r>
  </si>
  <si>
    <r>
      <rPr>
        <rFont val="맑은 고딕"/>
        <color theme="1"/>
        <sz val="11.0"/>
      </rPr>
      <t>로스토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</si>
  <si>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하나제약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</si>
  <si>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</si>
  <si>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</si>
  <si>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하나제약</t>
    </r>
  </si>
  <si>
    <r>
      <rPr>
        <rFont val="맑은 고딕"/>
        <color theme="1"/>
        <sz val="11.0"/>
      </rPr>
      <t>로스토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</si>
  <si>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하나제약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</si>
  <si>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</si>
  <si>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</si>
  <si>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하나제약</t>
    </r>
  </si>
  <si>
    <r>
      <rPr>
        <rFont val="맑은 고딕"/>
        <color theme="1"/>
        <sz val="11.0"/>
      </rPr>
      <t>로스토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</si>
  <si>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하나제약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</si>
  <si>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</si>
  <si>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</si>
  <si>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한국프라임제약</t>
    </r>
  </si>
  <si>
    <r>
      <rPr>
        <rFont val="맑은 고딕"/>
        <color theme="1"/>
        <sz val="11.0"/>
      </rPr>
      <t>로수바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</si>
  <si>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한국프라임제약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</si>
  <si>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</si>
  <si>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</si>
  <si>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한국프라임제약</t>
    </r>
  </si>
  <si>
    <r>
      <rPr>
        <rFont val="맑은 고딕"/>
        <color theme="1"/>
        <sz val="11.0"/>
      </rPr>
      <t>로수바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</si>
  <si>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한국프라임제약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</si>
  <si>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</si>
  <si>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</si>
  <si>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한독테바</t>
    </r>
  </si>
  <si>
    <r>
      <rPr>
        <rFont val="맑은 고딕"/>
        <color theme="1"/>
        <sz val="11.0"/>
      </rPr>
      <t>로수바스타퀄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</si>
  <si>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한독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</si>
  <si>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</si>
  <si>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</si>
  <si>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한독테바</t>
    </r>
  </si>
  <si>
    <r>
      <rPr>
        <rFont val="맑은 고딕"/>
        <color theme="1"/>
        <sz val="11.0"/>
      </rPr>
      <t>로수바스타퀄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</si>
  <si>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한독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</si>
  <si>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</si>
  <si>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</si>
  <si>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한독테바</t>
    </r>
  </si>
  <si>
    <r>
      <rPr>
        <rFont val="맑은 고딕"/>
        <color theme="1"/>
        <sz val="11.0"/>
      </rPr>
      <t>로수바스타퀄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</si>
  <si>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한독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</si>
  <si>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</si>
  <si>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</si>
  <si>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한림제약</t>
    </r>
  </si>
  <si>
    <r>
      <rPr>
        <rFont val="맑은 고딕"/>
        <color theme="1"/>
        <sz val="11.0"/>
      </rPr>
      <t>크레첵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</si>
  <si>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한림제약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</si>
  <si>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</si>
  <si>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</si>
  <si>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한림제약</t>
    </r>
  </si>
  <si>
    <r>
      <rPr>
        <rFont val="맑은 고딕"/>
        <color theme="1"/>
        <sz val="11.0"/>
      </rPr>
      <t>크레첵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2.5mg</t>
    </r>
  </si>
  <si>
    <r>
      <rPr>
        <rFont val="맑은 고딕"/>
        <color theme="1"/>
        <sz val="11.0"/>
      </rPr>
      <t>한림제약</t>
    </r>
  </si>
  <si>
    <r>
      <rPr>
        <rFont val="Calibri"/>
        <color theme="1"/>
        <sz val="11.0"/>
      </rPr>
      <t>rosuvastatin calcium 2.6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(2.5 as rosuvastatin) [454005ATB]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</si>
  <si>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</si>
  <si>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한림제약</t>
    </r>
  </si>
  <si>
    <r>
      <rPr>
        <rFont val="맑은 고딕"/>
        <color theme="1"/>
        <sz val="11.0"/>
      </rPr>
      <t>크레첵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</si>
  <si>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한림제약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</si>
  <si>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</si>
  <si>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</si>
  <si>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한림제약</t>
    </r>
  </si>
  <si>
    <r>
      <rPr>
        <rFont val="맑은 고딕"/>
        <color theme="1"/>
        <sz val="11.0"/>
      </rPr>
      <t>크레첵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</si>
  <si>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한림제약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</si>
  <si>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</si>
  <si>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</si>
  <si>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한미약품</t>
    </r>
  </si>
  <si>
    <r>
      <rPr>
        <rFont val="맑은 고딕"/>
        <color theme="1"/>
        <sz val="11.0"/>
      </rPr>
      <t>수바스트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</si>
  <si>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한미약품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</si>
  <si>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</si>
  <si>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</si>
  <si>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한미약품</t>
    </r>
  </si>
  <si>
    <r>
      <rPr>
        <rFont val="맑은 고딕"/>
        <color theme="1"/>
        <sz val="11.0"/>
      </rPr>
      <t>수바스트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2.5mg</t>
    </r>
  </si>
  <si>
    <r>
      <rPr>
        <rFont val="맑은 고딕"/>
        <color theme="1"/>
        <sz val="11.0"/>
      </rPr>
      <t>한미약품</t>
    </r>
  </si>
  <si>
    <r>
      <rPr>
        <rFont val="Calibri"/>
        <color theme="1"/>
        <sz val="11.0"/>
      </rPr>
      <t>rosuvastatin calcium 2.6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(2.5 as rosuvastatin) [454005ATB]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</si>
  <si>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</si>
  <si>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한미약품</t>
    </r>
  </si>
  <si>
    <r>
      <rPr>
        <rFont val="맑은 고딕"/>
        <color theme="1"/>
        <sz val="11.0"/>
      </rPr>
      <t>수바스트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</si>
  <si>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한미약품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</si>
  <si>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</si>
  <si>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</si>
  <si>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한미약품</t>
    </r>
  </si>
  <si>
    <r>
      <rPr>
        <rFont val="맑은 고딕"/>
        <color theme="1"/>
        <sz val="11.0"/>
      </rPr>
      <t>수바스트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</si>
  <si>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한미약품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</si>
  <si>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</si>
  <si>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</si>
  <si>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한풍제약</t>
    </r>
  </si>
  <si>
    <r>
      <rPr>
        <rFont val="맑은 고딕"/>
        <color theme="1"/>
        <sz val="11.0"/>
      </rPr>
      <t>로바트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</si>
  <si>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한풍제약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</si>
  <si>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</si>
  <si>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</si>
  <si>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한풍제약</t>
    </r>
  </si>
  <si>
    <r>
      <rPr>
        <rFont val="맑은 고딕"/>
        <color theme="1"/>
        <sz val="11.0"/>
      </rPr>
      <t>로바트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</si>
  <si>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한풍제약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</si>
  <si>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</si>
  <si>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</si>
  <si>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한풍제약</t>
    </r>
  </si>
  <si>
    <r>
      <rPr>
        <rFont val="맑은 고딕"/>
        <color theme="1"/>
        <sz val="11.0"/>
      </rPr>
      <t>로바트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</si>
  <si>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한풍제약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</si>
  <si>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</si>
  <si>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</si>
  <si>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화이트생명과학</t>
    </r>
  </si>
  <si>
    <r>
      <rPr>
        <rFont val="맑은 고딕"/>
        <color theme="1"/>
        <sz val="11.0"/>
      </rPr>
      <t>콜레스톱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</si>
  <si>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화이트생명과학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</si>
  <si>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</si>
  <si>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</si>
  <si>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화이트생명과학</t>
    </r>
  </si>
  <si>
    <r>
      <rPr>
        <rFont val="맑은 고딕"/>
        <color theme="1"/>
        <sz val="11.0"/>
      </rPr>
      <t>콜레스톱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</si>
  <si>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화이트생명과학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</si>
  <si>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</si>
  <si>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</si>
  <si>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환인제약</t>
    </r>
  </si>
  <si>
    <r>
      <rPr>
        <rFont val="맑은 고딕"/>
        <color theme="1"/>
        <sz val="11.0"/>
      </rPr>
      <t>로바스로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</si>
  <si>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환인제약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</si>
  <si>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</si>
  <si>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</si>
  <si>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환인제약</t>
    </r>
  </si>
  <si>
    <r>
      <rPr>
        <rFont val="맑은 고딕"/>
        <color theme="1"/>
        <sz val="11.0"/>
      </rPr>
      <t>로바스로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</si>
  <si>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환인제약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</si>
  <si>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</si>
  <si>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</si>
  <si>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환인제약</t>
    </r>
  </si>
  <si>
    <r>
      <rPr>
        <rFont val="맑은 고딕"/>
        <color theme="1"/>
        <sz val="11.0"/>
      </rPr>
      <t>로바스로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</si>
  <si>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환인제약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</si>
  <si>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</si>
  <si>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</si>
  <si>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휴비스트제약</t>
    </r>
  </si>
  <si>
    <r>
      <rPr>
        <rFont val="맑은 고딕"/>
        <color theme="1"/>
        <sz val="11.0"/>
      </rPr>
      <t>휴레스토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</si>
  <si>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휴비스트제약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</si>
  <si>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</si>
  <si>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</si>
  <si>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휴비스트제약</t>
    </r>
  </si>
  <si>
    <r>
      <rPr>
        <rFont val="맑은 고딕"/>
        <color theme="1"/>
        <sz val="11.0"/>
      </rPr>
      <t>휴레스토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</si>
  <si>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휴비스트제약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</si>
  <si>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</si>
  <si>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</si>
  <si>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휴비스트제약</t>
    </r>
  </si>
  <si>
    <r>
      <rPr>
        <rFont val="맑은 고딕"/>
        <color theme="1"/>
        <sz val="11.0"/>
      </rPr>
      <t>휴레스토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</si>
  <si>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휴비스트제약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</si>
  <si>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</si>
  <si>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</si>
  <si>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휴온스</t>
    </r>
  </si>
  <si>
    <r>
      <rPr>
        <rFont val="맑은 고딕"/>
        <color theme="1"/>
        <sz val="11.0"/>
      </rPr>
      <t>로스톤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</si>
  <si>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휴온스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</si>
  <si>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</si>
  <si>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</si>
  <si>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휴온스</t>
    </r>
  </si>
  <si>
    <r>
      <rPr>
        <rFont val="맑은 고딕"/>
        <color theme="1"/>
        <sz val="11.0"/>
      </rPr>
      <t>로스톤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</si>
  <si>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휴온스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</si>
  <si>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</si>
  <si>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</si>
  <si>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휴온스</t>
    </r>
  </si>
  <si>
    <r>
      <rPr>
        <rFont val="맑은 고딕"/>
        <color theme="1"/>
        <sz val="11.0"/>
      </rPr>
      <t>로스톤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</si>
  <si>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휴온스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</si>
  <si>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</si>
  <si>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</si>
  <si>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휴온스메디텍</t>
    </r>
  </si>
  <si>
    <r>
      <rPr>
        <rFont val="맑은 고딕"/>
        <color theme="1"/>
        <sz val="11.0"/>
      </rPr>
      <t>크레로스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</si>
  <si>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휴온스메디텍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</si>
  <si>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</si>
  <si>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</si>
  <si>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휴온스메디텍</t>
    </r>
  </si>
  <si>
    <r>
      <rPr>
        <rFont val="맑은 고딕"/>
        <color theme="1"/>
        <sz val="11.0"/>
      </rPr>
      <t>크레로스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</si>
  <si>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휴온스메디텍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</si>
  <si>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</si>
  <si>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</si>
  <si>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휴텍스</t>
    </r>
  </si>
  <si>
    <r>
      <rPr>
        <rFont val="맑은 고딕"/>
        <color theme="1"/>
        <sz val="11.0"/>
      </rPr>
      <t>크레스바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</si>
  <si>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휴텍스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</si>
  <si>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</si>
  <si>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</si>
  <si>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휴텍스</t>
    </r>
  </si>
  <si>
    <r>
      <rPr>
        <rFont val="맑은 고딕"/>
        <color theme="1"/>
        <sz val="11.0"/>
      </rPr>
      <t>크레스바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2.5mg</t>
    </r>
  </si>
  <si>
    <r>
      <rPr>
        <rFont val="맑은 고딕"/>
        <color theme="1"/>
        <sz val="11.0"/>
      </rPr>
      <t>휴텍스</t>
    </r>
  </si>
  <si>
    <r>
      <rPr>
        <rFont val="Calibri"/>
        <color theme="1"/>
        <sz val="11.0"/>
      </rPr>
      <t>rosuvastatin calcium 2.6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(2.5 as rosuvastatin) [454005ATB]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</si>
  <si>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</si>
  <si>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휴텍스</t>
    </r>
  </si>
  <si>
    <r>
      <rPr>
        <rFont val="맑은 고딕"/>
        <color theme="1"/>
        <sz val="11.0"/>
      </rPr>
      <t>크레스바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</si>
  <si>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휴텍스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</si>
  <si>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</si>
  <si>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</si>
  <si>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휴텍스</t>
    </r>
  </si>
  <si>
    <r>
      <rPr>
        <rFont val="맑은 고딕"/>
        <color theme="1"/>
        <sz val="11.0"/>
      </rPr>
      <t>크레스바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</si>
  <si>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휴텍스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</si>
  <si>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</si>
  <si>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</si>
  <si>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>SK</t>
    </r>
    <r>
      <rPr>
        <rFont val="맑은 고딕"/>
        <color theme="1"/>
        <sz val="11.0"/>
      </rPr>
      <t>케미칼</t>
    </r>
  </si>
  <si>
    <r>
      <rPr>
        <rFont val="맑은 고딕"/>
        <color theme="1"/>
        <sz val="11.0"/>
      </rPr>
      <t>에스로틴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</si>
  <si>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Calibri"/>
        <color theme="1"/>
        <sz val="11.0"/>
      </rPr>
      <t>SK</t>
    </r>
    <r>
      <rPr>
        <rFont val="맑은 고딕"/>
        <color theme="1"/>
        <sz val="11.0"/>
      </rPr>
      <t>케미칼</t>
    </r>
  </si>
  <si>
    <r>
      <rPr>
        <rFont val="Calibri"/>
        <color theme="1"/>
        <sz val="11.0"/>
      </rPr>
      <t>rosuvastatin calcium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</si>
  <si>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</si>
  <si>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>SK</t>
    </r>
    <r>
      <rPr>
        <rFont val="맑은 고딕"/>
        <color theme="1"/>
        <sz val="11.0"/>
      </rPr>
      <t>케미칼</t>
    </r>
  </si>
  <si>
    <r>
      <rPr>
        <rFont val="맑은 고딕"/>
        <color theme="1"/>
        <sz val="11.0"/>
      </rPr>
      <t>에스로틴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</si>
  <si>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Calibri"/>
        <color theme="1"/>
        <sz val="11.0"/>
      </rPr>
      <t>SK</t>
    </r>
    <r>
      <rPr>
        <rFont val="맑은 고딕"/>
        <color theme="1"/>
        <sz val="11.0"/>
      </rPr>
      <t>케미칼</t>
    </r>
  </si>
  <si>
    <r>
      <rPr>
        <rFont val="Calibri"/>
        <color theme="1"/>
        <sz val="11.0"/>
      </rPr>
      <t>rosuvastatin calcium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</si>
  <si>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</si>
  <si>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>SK</t>
    </r>
    <r>
      <rPr>
        <rFont val="맑은 고딕"/>
        <color theme="1"/>
        <sz val="11.0"/>
      </rPr>
      <t>케미칼</t>
    </r>
  </si>
  <si>
    <r>
      <rPr>
        <rFont val="맑은 고딕"/>
        <color theme="1"/>
        <sz val="11.0"/>
      </rPr>
      <t>에스로틴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</si>
  <si>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Calibri"/>
        <color theme="1"/>
        <sz val="11.0"/>
      </rPr>
      <t>SK</t>
    </r>
    <r>
      <rPr>
        <rFont val="맑은 고딕"/>
        <color theme="1"/>
        <sz val="11.0"/>
      </rPr>
      <t>케미칼</t>
    </r>
  </si>
  <si>
    <r>
      <rPr>
        <rFont val="Calibri"/>
        <color theme="1"/>
        <sz val="11.0"/>
      </rPr>
      <t>rosuvastatin calcium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</si>
  <si>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</si>
  <si>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t>rosuvastatin calcium (micronized)  ( as rosuvastatin)</t>
  </si>
  <si>
    <r>
      <rPr>
        <rFont val="맑은 고딕"/>
        <color theme="1"/>
        <sz val="11.0"/>
      </rPr>
      <t>비씨월드</t>
    </r>
  </si>
  <si>
    <r>
      <rPr>
        <rFont val="맑은 고딕"/>
        <color theme="1"/>
        <sz val="11.0"/>
      </rPr>
      <t>수바로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오디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10mg</t>
    </r>
  </si>
  <si>
    <r>
      <rPr>
        <rFont val="맑은 고딕"/>
        <color theme="1"/>
        <sz val="11.0"/>
      </rPr>
      <t>비씨월드</t>
    </r>
  </si>
  <si>
    <r>
      <rPr>
        <rFont val="Calibri"/>
        <color theme="1"/>
        <sz val="11.0"/>
      </rPr>
      <t>rosuvastatin calcium (micronized) 10.4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(10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[454001ATD]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</si>
  <si>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</si>
  <si>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비씨월드</t>
    </r>
  </si>
  <si>
    <r>
      <rPr>
        <rFont val="맑은 고딕"/>
        <color theme="1"/>
        <sz val="11.0"/>
      </rPr>
      <t>수바로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오디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</si>
  <si>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비씨월드</t>
    </r>
  </si>
  <si>
    <r>
      <rPr>
        <rFont val="Calibri"/>
        <color theme="1"/>
        <sz val="11.0"/>
      </rPr>
      <t>rosuvastatin calcium (micronized) 20.8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(20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[454002ATD]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</si>
  <si>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</si>
  <si>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비씨월드</t>
    </r>
  </si>
  <si>
    <r>
      <rPr>
        <rFont val="맑은 고딕"/>
        <color theme="1"/>
        <sz val="11.0"/>
      </rPr>
      <t>수바로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오디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</si>
  <si>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비씨월드</t>
    </r>
  </si>
  <si>
    <r>
      <rPr>
        <rFont val="Calibri"/>
        <color theme="1"/>
        <sz val="11.0"/>
      </rPr>
      <t>rosuvastatin calcium (micronized) 5.2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(5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as rosuvastatin) [454003ATD]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</si>
  <si>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</si>
  <si>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t>simvastatin</t>
  </si>
  <si>
    <r>
      <rPr>
        <rFont val="맑은 고딕"/>
        <color theme="1"/>
        <sz val="11.0"/>
      </rPr>
      <t>대우제약</t>
    </r>
  </si>
  <si>
    <r>
      <rPr>
        <rFont val="맑은 고딕"/>
        <color theme="1"/>
        <sz val="11.0"/>
      </rPr>
      <t>심바스테롤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</si>
  <si>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대우제약</t>
    </r>
  </si>
  <si>
    <t>simvastatin 20mg [227801ATB]</t>
  </si>
  <si>
    <t>SMV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</si>
  <si>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</si>
  <si>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바이오</t>
    </r>
  </si>
  <si>
    <r>
      <rPr>
        <rFont val="맑은 고딕"/>
        <color theme="1"/>
        <sz val="11.0"/>
      </rPr>
      <t>심바코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</si>
  <si>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동구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바이오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</si>
  <si>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</si>
  <si>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동성제약</t>
    </r>
  </si>
  <si>
    <r>
      <rPr>
        <rFont val="맑은 고딕"/>
        <color theme="1"/>
        <sz val="11.0"/>
      </rPr>
      <t>동성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심바스타틴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</si>
  <si>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동성제약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</si>
  <si>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</si>
  <si>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명문제약</t>
    </r>
  </si>
  <si>
    <r>
      <rPr>
        <rFont val="맑은 고딕"/>
        <color theme="1"/>
        <sz val="11.0"/>
      </rPr>
      <t>명문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심바스타틴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</si>
  <si>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명문제약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</si>
  <si>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</si>
  <si>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미래바이오제약</t>
    </r>
  </si>
  <si>
    <r>
      <rPr>
        <rFont val="맑은 고딕"/>
        <color theme="1"/>
        <sz val="11.0"/>
      </rPr>
      <t>심바탄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</si>
  <si>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미래바이오제약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</si>
  <si>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</si>
  <si>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보령</t>
    </r>
  </si>
  <si>
    <r>
      <rPr>
        <rFont val="맑은 고딕"/>
        <color theme="1"/>
        <sz val="11.0"/>
      </rPr>
      <t>시스타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</si>
  <si>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보령</t>
    </r>
  </si>
  <si>
    <t>simvastatin 40mg [227802ATB]</t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</si>
  <si>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</si>
  <si>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셀릭스</t>
    </r>
  </si>
  <si>
    <r>
      <rPr>
        <rFont val="맑은 고딕"/>
        <color theme="1"/>
        <sz val="11.0"/>
      </rPr>
      <t>심바젠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</si>
  <si>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셀릭스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</si>
  <si>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</si>
  <si>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신텍스제약</t>
    </r>
  </si>
  <si>
    <r>
      <rPr>
        <rFont val="맑은 고딕"/>
        <color theme="1"/>
        <sz val="11.0"/>
      </rPr>
      <t>엔티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심바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</si>
  <si>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신텍스제약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</si>
  <si>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</si>
  <si>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신풍제약</t>
    </r>
  </si>
  <si>
    <r>
      <rPr>
        <rFont val="맑은 고딕"/>
        <color theme="1"/>
        <sz val="11.0"/>
      </rPr>
      <t>심바스틴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</si>
  <si>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신풍제약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</si>
  <si>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</si>
  <si>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아주약품</t>
    </r>
  </si>
  <si>
    <r>
      <rPr>
        <rFont val="맑은 고딕"/>
        <color theme="1"/>
        <sz val="11.0"/>
      </rPr>
      <t>심바트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</si>
  <si>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아주약품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</si>
  <si>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</si>
  <si>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알리코</t>
    </r>
  </si>
  <si>
    <r>
      <rPr>
        <rFont val="맑은 고딕"/>
        <color theme="1"/>
        <sz val="11.0"/>
      </rPr>
      <t>심바로틴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</si>
  <si>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알리코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</si>
  <si>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</si>
  <si>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에이치엘비제약</t>
    </r>
  </si>
  <si>
    <r>
      <rPr>
        <rFont val="맑은 고딕"/>
        <color theme="1"/>
        <sz val="11.0"/>
      </rPr>
      <t>에이치엘비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심바스타틴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</si>
  <si>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에이치엘비제약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</si>
  <si>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</si>
  <si>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에이치케이이노엔</t>
    </r>
  </si>
  <si>
    <r>
      <rPr>
        <rFont val="맑은 고딕"/>
        <color theme="1"/>
        <sz val="11.0"/>
      </rPr>
      <t>심바스타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</si>
  <si>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에이치케이이노엔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</si>
  <si>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</si>
  <si>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에이치케이이노엔</t>
    </r>
  </si>
  <si>
    <r>
      <rPr>
        <rFont val="맑은 고딕"/>
        <color theme="1"/>
        <sz val="11.0"/>
      </rPr>
      <t>심바스타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</si>
  <si>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에이치케이이노엔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</si>
  <si>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</si>
  <si>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에이프로젠바이오로직스</t>
    </r>
  </si>
  <si>
    <r>
      <rPr>
        <rFont val="맑은 고딕"/>
        <color theme="1"/>
        <sz val="11.0"/>
      </rPr>
      <t>에이프로젠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심바스타틴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</si>
  <si>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에이프로젠바이오로직스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</si>
  <si>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</si>
  <si>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영일제약</t>
    </r>
  </si>
  <si>
    <r>
      <rPr>
        <rFont val="맑은 고딕"/>
        <color theme="1"/>
        <sz val="11.0"/>
      </rPr>
      <t>심바로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</si>
  <si>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영일제약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</si>
  <si>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</si>
  <si>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오가논</t>
    </r>
  </si>
  <si>
    <r>
      <rPr>
        <rFont val="맑은 고딕"/>
        <color theme="1"/>
        <sz val="11.0"/>
      </rPr>
      <t>조코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</si>
  <si>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오가논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</si>
  <si>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</si>
  <si>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오가논</t>
    </r>
  </si>
  <si>
    <r>
      <rPr>
        <rFont val="맑은 고딕"/>
        <color theme="1"/>
        <sz val="11.0"/>
      </rPr>
      <t>조코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</si>
  <si>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오가논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</si>
  <si>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</si>
  <si>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유나이티드</t>
    </r>
  </si>
  <si>
    <r>
      <rPr>
        <rFont val="맑은 고딕"/>
        <color theme="1"/>
        <sz val="11.0"/>
      </rPr>
      <t>심펙스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</si>
  <si>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유나이티드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</si>
  <si>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</si>
  <si>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유니메드</t>
    </r>
  </si>
  <si>
    <r>
      <rPr>
        <rFont val="맑은 고딕"/>
        <color theme="1"/>
        <sz val="11.0"/>
      </rPr>
      <t>유니심바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</si>
  <si>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유니메드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</si>
  <si>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</si>
  <si>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유니메드</t>
    </r>
  </si>
  <si>
    <r>
      <rPr>
        <rFont val="맑은 고딕"/>
        <color theme="1"/>
        <sz val="11.0"/>
      </rPr>
      <t>유니심바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5mg</t>
    </r>
  </si>
  <si>
    <r>
      <rPr>
        <rFont val="맑은 고딕"/>
        <color theme="1"/>
        <sz val="11.0"/>
      </rPr>
      <t>유니메드</t>
    </r>
  </si>
  <si>
    <r>
      <rPr>
        <rFont val="Calibri"/>
        <color theme="1"/>
        <sz val="11.0"/>
      </rPr>
      <t>simvastatin 5</t>
    </r>
    <r>
      <rPr>
        <rFont val="맑은 고딕"/>
        <color theme="1"/>
        <sz val="11.0"/>
      </rPr>
      <t>㎎</t>
    </r>
    <r>
      <rPr>
        <rFont val="Calibri"/>
        <color theme="1"/>
        <sz val="11.0"/>
      </rPr>
      <t xml:space="preserve"> [227806ATB]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</si>
  <si>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</si>
  <si>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유니온</t>
    </r>
  </si>
  <si>
    <r>
      <rPr>
        <rFont val="맑은 고딕"/>
        <color theme="1"/>
        <sz val="11.0"/>
      </rPr>
      <t>조바코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</si>
  <si>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유니온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</si>
  <si>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</si>
  <si>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일동제약</t>
    </r>
  </si>
  <si>
    <r>
      <rPr>
        <rFont val="맑은 고딕"/>
        <color theme="1"/>
        <sz val="11.0"/>
      </rPr>
      <t>심바롤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</si>
  <si>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일동제약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</si>
  <si>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</si>
  <si>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일화</t>
    </r>
  </si>
  <si>
    <r>
      <rPr>
        <rFont val="맑은 고딕"/>
        <color theme="1"/>
        <sz val="11.0"/>
      </rPr>
      <t>리포스타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</si>
  <si>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일화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</si>
  <si>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</si>
  <si>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제뉴원사이언스</t>
    </r>
  </si>
  <si>
    <r>
      <rPr>
        <rFont val="맑은 고딕"/>
        <color theme="1"/>
        <sz val="11.0"/>
      </rPr>
      <t>심바타틴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</si>
  <si>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제뉴원사이언스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</si>
  <si>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</si>
  <si>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종근당</t>
    </r>
  </si>
  <si>
    <r>
      <rPr>
        <rFont val="맑은 고딕"/>
        <color theme="1"/>
        <sz val="11.0"/>
      </rPr>
      <t>심바로드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</si>
  <si>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종근당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</si>
  <si>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</si>
  <si>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진양제약</t>
    </r>
  </si>
  <si>
    <r>
      <rPr>
        <rFont val="맑은 고딕"/>
        <color theme="1"/>
        <sz val="11.0"/>
      </rPr>
      <t>조바틴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</si>
  <si>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진양제약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</si>
  <si>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</si>
  <si>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태극제약</t>
    </r>
  </si>
  <si>
    <r>
      <rPr>
        <rFont val="맑은 고딕"/>
        <color theme="1"/>
        <sz val="11.0"/>
      </rPr>
      <t>태극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심바스타틴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</si>
  <si>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태극제약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</si>
  <si>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</si>
  <si>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테라젠이텍스</t>
    </r>
  </si>
  <si>
    <r>
      <rPr>
        <rFont val="맑은 고딕"/>
        <color theme="1"/>
        <sz val="11.0"/>
      </rPr>
      <t>리피스탄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</si>
  <si>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테라젠이텍스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</si>
  <si>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</si>
  <si>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티디에스팜</t>
    </r>
  </si>
  <si>
    <r>
      <rPr>
        <rFont val="맑은 고딕"/>
        <color theme="1"/>
        <sz val="11.0"/>
      </rPr>
      <t>콜스테롤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</si>
  <si>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티디에스팜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</si>
  <si>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</si>
  <si>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팜젠사이언스</t>
    </r>
  </si>
  <si>
    <r>
      <rPr>
        <rFont val="맑은 고딕"/>
        <color theme="1"/>
        <sz val="11.0"/>
      </rPr>
      <t>심바란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</si>
  <si>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팜젠사이언스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</si>
  <si>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</si>
  <si>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풍림무약</t>
    </r>
  </si>
  <si>
    <r>
      <rPr>
        <rFont val="맑은 고딕"/>
        <color theme="1"/>
        <sz val="11.0"/>
      </rPr>
      <t>리바스타틴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</si>
  <si>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풍림무약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</si>
  <si>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</si>
  <si>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하나제약</t>
    </r>
  </si>
  <si>
    <r>
      <rPr>
        <rFont val="맑은 고딕"/>
        <color theme="1"/>
        <sz val="11.0"/>
      </rPr>
      <t>심콜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</si>
  <si>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하나제약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</si>
  <si>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</si>
  <si>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하원제약</t>
    </r>
  </si>
  <si>
    <r>
      <rPr>
        <rFont val="맑은 고딕"/>
        <color theme="1"/>
        <sz val="11.0"/>
      </rPr>
      <t>바스트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</si>
  <si>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하원제약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</si>
  <si>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</si>
  <si>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한미약품</t>
    </r>
  </si>
  <si>
    <r>
      <rPr>
        <rFont val="맑은 고딕"/>
        <color theme="1"/>
        <sz val="11.0"/>
      </rPr>
      <t>심바스트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</si>
  <si>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한미약품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</si>
  <si>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</si>
  <si>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한미약품</t>
    </r>
  </si>
  <si>
    <r>
      <rPr>
        <rFont val="맑은 고딕"/>
        <color theme="1"/>
        <sz val="11.0"/>
      </rPr>
      <t>심바스트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40mg</t>
    </r>
  </si>
  <si>
    <r>
      <rPr>
        <rFont val="맑은 고딕"/>
        <color theme="1"/>
        <sz val="11.0"/>
      </rPr>
      <t>한미약품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</si>
  <si>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</si>
  <si>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휴비스트제약</t>
    </r>
  </si>
  <si>
    <r>
      <rPr>
        <rFont val="맑은 고딕"/>
        <color theme="1"/>
        <sz val="11.0"/>
      </rPr>
      <t>휴코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</si>
  <si>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휴비스트제약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</si>
  <si>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</si>
  <si>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휴온스</t>
    </r>
  </si>
  <si>
    <r>
      <rPr>
        <rFont val="맑은 고딕"/>
        <color theme="1"/>
        <sz val="11.0"/>
      </rPr>
      <t>시바스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</si>
  <si>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맑은 고딕"/>
        <color theme="1"/>
        <sz val="11.0"/>
      </rPr>
      <t>휴온스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</si>
  <si>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</si>
  <si>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맑은 고딕"/>
        <color theme="1"/>
        <sz val="11.0"/>
      </rPr>
      <t>휴텍스</t>
    </r>
  </si>
  <si>
    <r>
      <rPr>
        <rFont val="맑은 고딕"/>
        <color theme="1"/>
        <sz val="11.0"/>
      </rPr>
      <t>휴심바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</si>
  <si>
    <r>
      <rPr>
        <rFont val="맑은 고딕"/>
        <color theme="1"/>
        <sz val="11.0"/>
      </rPr>
      <t>휴텍스</t>
    </r>
  </si>
  <si>
    <r>
      <rPr>
        <rFont val="Calibri"/>
        <b/>
        <color theme="1"/>
        <sz val="11.0"/>
      </rPr>
      <t xml:space="preserve">[C10A1] </t>
    </r>
    <r>
      <rPr>
        <rFont val="맑은 고딕"/>
        <b/>
        <color theme="1"/>
        <sz val="11.0"/>
      </rPr>
      <t>스타틴류</t>
    </r>
    <r>
      <rPr>
        <rFont val="Calibri"/>
        <b/>
        <color theme="1"/>
        <sz val="11.0"/>
      </rPr>
      <t xml:space="preserve"> (HMG-CoA </t>
    </r>
    <r>
      <rPr>
        <rFont val="맑은 고딕"/>
        <b/>
        <color theme="1"/>
        <sz val="11.0"/>
      </rPr>
      <t>환원효소</t>
    </r>
    <r>
      <rPr>
        <rFont val="Calibri"/>
        <b/>
        <color theme="1"/>
        <sz val="11.0"/>
      </rPr>
      <t xml:space="preserve"> </t>
    </r>
    <r>
      <rPr>
        <rFont val="맑은 고딕"/>
        <b/>
        <color theme="1"/>
        <sz val="11.0"/>
      </rPr>
      <t>억제제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</si>
  <si>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>SK</t>
    </r>
    <r>
      <rPr>
        <rFont val="맑은 고딕"/>
        <color theme="1"/>
        <sz val="11.0"/>
      </rPr>
      <t>케미칼</t>
    </r>
  </si>
  <si>
    <r>
      <rPr>
        <rFont val="맑은 고딕"/>
        <color theme="1"/>
        <sz val="11.0"/>
      </rPr>
      <t>리피듀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정</t>
    </r>
    <r>
      <rPr>
        <rFont val="Calibri"/>
        <color theme="1"/>
        <sz val="11.0"/>
      </rPr>
      <t xml:space="preserve"> 20mg</t>
    </r>
  </si>
  <si>
    <r>
      <rPr>
        <rFont val="Calibri"/>
        <color theme="1"/>
        <sz val="11.0"/>
      </rPr>
      <t>SK</t>
    </r>
    <r>
      <rPr>
        <rFont val="맑은 고딕"/>
        <color theme="1"/>
        <sz val="11.0"/>
      </rPr>
      <t>케미칼</t>
    </r>
  </si>
  <si>
    <t>제외</t>
  </si>
  <si>
    <t>듀오피토 정 10/10mg</t>
  </si>
  <si>
    <t>듀오피토 정 10/20mg</t>
  </si>
  <si>
    <t>리포듀오 정 10/10mg</t>
  </si>
  <si>
    <t>리포듀오 정 10/20mg</t>
  </si>
  <si>
    <t>리피듀엣 정 10/20mg</t>
  </si>
  <si>
    <t>리토젯 정 10/40mg</t>
  </si>
  <si>
    <t>리피아젯 정 10/40mg</t>
  </si>
  <si>
    <t>아트로젯 정 10/40mg</t>
  </si>
  <si>
    <t>삼토젯 정 10/10mg</t>
  </si>
  <si>
    <t>삼토젯 정 10/20mg</t>
  </si>
  <si>
    <t>삼토젯 정 10/40mg</t>
  </si>
  <si>
    <t>젠토르 정 10/20mg</t>
  </si>
  <si>
    <t>아로틴 플러스 정 10/40mg</t>
  </si>
  <si>
    <t>아리제약</t>
  </si>
  <si>
    <t>리피티젯 정 10/10mg</t>
  </si>
  <si>
    <t>아이토젯 정 10/20mg</t>
  </si>
  <si>
    <t>올피토젯 정 10/10mg</t>
  </si>
  <si>
    <t>올피토젯 정 10/20mg</t>
  </si>
  <si>
    <t>뉴 아토르젯 정 10/40mg</t>
  </si>
  <si>
    <t>아제티브 정 10/40mg</t>
  </si>
  <si>
    <t>에바스젯 정 10/20mg</t>
  </si>
  <si>
    <t>아토 엠 정 10/10mg</t>
  </si>
  <si>
    <t>아토 엠 정 10/20mg</t>
  </si>
  <si>
    <t>알트젯 정 10/20mg</t>
  </si>
  <si>
    <t>아토로우 엠 정 10/20mg</t>
  </si>
  <si>
    <t>토르제토 정 10/10mg</t>
  </si>
  <si>
    <t>토르제토 정 10/20mg</t>
  </si>
  <si>
    <t>에브젯 정 10/40mg</t>
  </si>
  <si>
    <t>아토에브 정 10/10mg</t>
  </si>
  <si>
    <t>인토젯 정 10/20mg</t>
  </si>
  <si>
    <t>일성 에젯틴 정 10/40mg</t>
  </si>
  <si>
    <t>제뉴원 아제브 정 10/40mg</t>
  </si>
  <si>
    <t>아토에제트 정 10/10mg</t>
  </si>
  <si>
    <t>아토에제트 정 10/20mg</t>
  </si>
  <si>
    <t>아토엘젯 정 10/20mg</t>
  </si>
  <si>
    <t>아토엘젯 정 10/40mg</t>
  </si>
  <si>
    <t>아토켓 정 10/20mg</t>
  </si>
  <si>
    <t>아토브 정 10/20mg</t>
  </si>
  <si>
    <t>아트로드 플러스 정 10/40mg</t>
  </si>
  <si>
    <t>에토르 정 10/40mg</t>
  </si>
  <si>
    <t>휴토젯 정 10/10mg</t>
  </si>
  <si>
    <t>아미브 정 10/10mg</t>
  </si>
  <si>
    <t>아미브 정 10/20mg</t>
  </si>
  <si>
    <t>오스젯 정 10/10mg</t>
  </si>
  <si>
    <t>휴토메가 연질캡슐 5/1000mg</t>
  </si>
  <si>
    <t>로제 케이 정 10/20mg</t>
  </si>
  <si>
    <t>로타젯 정 10/20mg</t>
  </si>
  <si>
    <t>크레스젯 정 10/5mg</t>
  </si>
  <si>
    <t>크레바젯 정 10/20mg</t>
  </si>
  <si>
    <t>바이제틴 정 10/10</t>
  </si>
  <si>
    <t>바이제틴 정 10/20</t>
  </si>
  <si>
    <t>심바듀엣 정 10/10mg</t>
  </si>
  <si>
    <t>심바트롤 정 10/10mg</t>
  </si>
  <si>
    <t>심바트롤 정 10/20mg</t>
  </si>
  <si>
    <t>심바제트 정 10/10</t>
  </si>
  <si>
    <t>심바제트 정 10/20</t>
  </si>
  <si>
    <t>바이트린 큐 정 10/10mg</t>
  </si>
  <si>
    <t>바이트린 큐 정 10/20mg</t>
  </si>
  <si>
    <t>심바토린 정 10/10</t>
  </si>
  <si>
    <t>심바토린 정 10/20</t>
  </si>
  <si>
    <t>심제트 정 10/10</t>
  </si>
  <si>
    <t>심제트 정 10/20</t>
  </si>
  <si>
    <t>심록스 에이 정</t>
  </si>
  <si>
    <t>심록스 에프 정</t>
  </si>
  <si>
    <t>바이스틴 정 10/20mg</t>
  </si>
  <si>
    <t xml:space="preserve">Statin/Fibrate </t>
  </si>
  <si>
    <t>PTV/Fenofibrate granule</t>
  </si>
  <si>
    <t xml:space="preserve">PRV/Fenofibrate </t>
  </si>
  <si>
    <t>PTV/Fenofibric acid</t>
  </si>
  <si>
    <t>PTV/Micronized fenofibrate</t>
  </si>
  <si>
    <t>micronized fenofibrate,  simvastatin</t>
  </si>
  <si>
    <t>콜립 정 145/20mg</t>
  </si>
  <si>
    <t>micronized fenofibrate 145㎎,  simvastatin 20㎎ [631400ATB]</t>
  </si>
  <si>
    <t>SMV/Micronized fenofibrate</t>
  </si>
  <si>
    <t>콜립 정 145/40mg</t>
  </si>
  <si>
    <t>micronized fenofibrate 145㎎,  simvastatin 40㎎ [631500ATB]</t>
  </si>
  <si>
    <t>bezafibrate</t>
  </si>
  <si>
    <t>베자립 서방정 400mg</t>
  </si>
  <si>
    <t>bezafibrate 400mg [117102ATR]</t>
  </si>
  <si>
    <t>베자립 정 200mg</t>
  </si>
  <si>
    <t>bezafibrate 200mg [117101ATB]</t>
  </si>
  <si>
    <t>choline fenofibrate  ( as fenofibric acid)</t>
  </si>
  <si>
    <t>티지페논 정</t>
  </si>
  <si>
    <t>choline fenofibrate 178.8㎎ (135㎎ as fenofibric acid) [642301ATR]</t>
  </si>
  <si>
    <t xml:space="preserve">Fibrate </t>
  </si>
  <si>
    <t xml:space="preserve">Choline fenofibrate </t>
  </si>
  <si>
    <t>페노코린 캡슐</t>
  </si>
  <si>
    <t>choline fenofibrate 178.8㎎ (135㎎ as fenofibric acid) [642301ACR]</t>
  </si>
  <si>
    <t>fenofibrate</t>
  </si>
  <si>
    <t>페노바 정</t>
  </si>
  <si>
    <t>fenofibrate 160㎎ [194930ATB]</t>
  </si>
  <si>
    <t>네오페노 정 145mg</t>
  </si>
  <si>
    <t>fenofibrate 145mg [157704ATB]</t>
  </si>
  <si>
    <t>네오페노 정 48mg</t>
  </si>
  <si>
    <t>fenofibrate 48㎎ [157706ATB]</t>
  </si>
  <si>
    <t>페노브 정</t>
  </si>
  <si>
    <t>페노핍 정</t>
  </si>
  <si>
    <t>페노핀 정</t>
  </si>
  <si>
    <t>글리펜 서방캅셀 250mg</t>
  </si>
  <si>
    <t>fenofibrate 250mg [157702ACR]</t>
  </si>
  <si>
    <t>글리펜 슈프림 정 160mg</t>
  </si>
  <si>
    <t>페노피 정 160mg</t>
  </si>
  <si>
    <t>리피멧 정 160mg</t>
  </si>
  <si>
    <t>페노딜 정</t>
  </si>
  <si>
    <t>리피딜 슈프라 정 160mg</t>
  </si>
  <si>
    <t>리피딜 엔티 정</t>
  </si>
  <si>
    <t>티지프리 정</t>
  </si>
  <si>
    <t>페노웰 정 145mg</t>
  </si>
  <si>
    <t>페노레이트 정</t>
  </si>
  <si>
    <t>리피페노 정</t>
  </si>
  <si>
    <t>페노피브 정 160mg</t>
  </si>
  <si>
    <t>리페돌 정 160mg</t>
  </si>
  <si>
    <t>로오딜슈프라 정 160mg</t>
  </si>
  <si>
    <t>fenofibric acid</t>
  </si>
  <si>
    <t>로피롤 에이 정 110mg</t>
  </si>
  <si>
    <t>fenofibric acid 110㎎ [520302ATE]</t>
  </si>
  <si>
    <t>페노릭스 EH 정</t>
  </si>
  <si>
    <t>한국바이오켐</t>
  </si>
  <si>
    <t>뉴브릭 이에이치 정</t>
  </si>
  <si>
    <t>페노시드 캡슐</t>
  </si>
  <si>
    <t>fenofibric acid 135mg [520301ACH]</t>
  </si>
  <si>
    <t>gemfibrozil</t>
  </si>
  <si>
    <t>제일 로피드 캡슐</t>
  </si>
  <si>
    <t>gemfibrozil 300mg [165001ACH]</t>
  </si>
  <si>
    <t>micronized fenofibrate</t>
  </si>
  <si>
    <t>비스론 캡슐</t>
  </si>
  <si>
    <t>micronized fenofibrate 200mg [194901ACH]</t>
  </si>
  <si>
    <t>리필펜 캡슐 160mg</t>
  </si>
  <si>
    <t>micronized fenofibrate 160㎎ [194930ACH]</t>
  </si>
  <si>
    <t>페노베이트 캡슐 200mg</t>
  </si>
  <si>
    <t>노피드 캡슐</t>
  </si>
  <si>
    <t>페노렌 캡슐 200mg</t>
  </si>
  <si>
    <t>마이페노 캡슐</t>
  </si>
  <si>
    <t>로피롤에스 캡슐 130mg</t>
  </si>
  <si>
    <t>micronized fenofibrate 130mg [194902ACH]</t>
  </si>
  <si>
    <t>페노피딜 캡슐</t>
  </si>
  <si>
    <t>리페돌 캡슐</t>
  </si>
  <si>
    <t>리도스 캡슐</t>
  </si>
  <si>
    <t>omega-3-acids ethyl esters90</t>
  </si>
  <si>
    <t>지마코 미니 연질캡슐 2g</t>
  </si>
  <si>
    <t>omega-3-acids ethyl esters90 2000㎎ [679401ACS]</t>
  </si>
  <si>
    <t>Omega-3</t>
  </si>
  <si>
    <t>오마코 미니 연질캡슐 2g</t>
  </si>
  <si>
    <t>오마코 연질캡슐</t>
  </si>
  <si>
    <t>omega-3-acids ethyl esters90 1000㎎ [679402ACS]</t>
  </si>
  <si>
    <t>오마칸 연질캡슐</t>
  </si>
  <si>
    <t>오메신 연질캡슐</t>
  </si>
  <si>
    <t>다림 오메가3 연질캡슐</t>
  </si>
  <si>
    <t>오마티지 미니 연질캡슐 2g</t>
  </si>
  <si>
    <t>오마티지 연질캡슐</t>
  </si>
  <si>
    <t>오마스 미니 연질캡슐 2g</t>
  </si>
  <si>
    <t>티지코 연질캡슐</t>
  </si>
  <si>
    <t>오엠지 미니 연질캡슐 2g</t>
  </si>
  <si>
    <t>메가로우 연질캡슐</t>
  </si>
  <si>
    <t>서울 오메가 3 연질캡슐</t>
  </si>
  <si>
    <t>메가엠 미니 연질캡슐 2g</t>
  </si>
  <si>
    <t>메가엠 연질캡슐</t>
  </si>
  <si>
    <t>아주코 연질캡슐</t>
  </si>
  <si>
    <t>미니마코 연질캡슐 500mg</t>
  </si>
  <si>
    <t>omega-3-acids ethyl esters90 500㎎ [679403ACS]</t>
  </si>
  <si>
    <t>휴메가 미니 연질캡슐 2g</t>
  </si>
  <si>
    <t>휴메가 연질캡슐</t>
  </si>
  <si>
    <t>메가트리 연질캡슐</t>
  </si>
  <si>
    <t>뉴마론 연질캡슐 0.5g</t>
  </si>
  <si>
    <t>오마론 미니 연질캡슐 2g</t>
  </si>
  <si>
    <t>오마론 연질캡슐</t>
  </si>
  <si>
    <t>오스메가 연질캡슐</t>
  </si>
  <si>
    <t>위마코 연질캡슐</t>
  </si>
  <si>
    <t>오메틸 큐티렛 연질캡슐</t>
  </si>
  <si>
    <t>유니메가 미니 연질캡슐</t>
  </si>
  <si>
    <t>뉴마코 연질캡슐</t>
  </si>
  <si>
    <t>티지웰 연질캡슐</t>
  </si>
  <si>
    <t>오테르 연질캡슐</t>
  </si>
  <si>
    <t>뉴메틴 미니 연질캡슐</t>
  </si>
  <si>
    <t>뉴메틴 연질캡슐</t>
  </si>
  <si>
    <t>로마코 연질캡슐</t>
  </si>
  <si>
    <t>오메로 연질캡슐</t>
  </si>
  <si>
    <t>미니플로 연질캡슐 2g</t>
  </si>
  <si>
    <t>시코 연질캡슐</t>
  </si>
  <si>
    <t>종근당 오메가 미니 연질캡슐 2g</t>
  </si>
  <si>
    <t>미니메가 연질캡슐 500mg</t>
  </si>
  <si>
    <t>글로메가 연질캡슐</t>
  </si>
  <si>
    <t>로티지 연질캡슐</t>
  </si>
  <si>
    <t>오메가 원 연질캡슐</t>
  </si>
  <si>
    <t>오메가원 프로 연질캡슐</t>
  </si>
  <si>
    <t>오메티드 큐티렛 연질캡슐</t>
  </si>
  <si>
    <t>파마 오메가 연질캡슐</t>
  </si>
  <si>
    <t>프라임 오메가 연질캡슐</t>
  </si>
  <si>
    <t>한미 오메가 연질캡슐 1000mg</t>
  </si>
  <si>
    <t>코마코 미니 연질캡슐 2g</t>
  </si>
  <si>
    <t>코마코 연질캡슐</t>
  </si>
  <si>
    <t>웰마코 미니 연질캡슐 2g</t>
  </si>
  <si>
    <t>웰마코 연질캡슐</t>
  </si>
  <si>
    <t xml:space="preserve">*bezafibrate/gemfibrozil </t>
  </si>
  <si>
    <t xml:space="preserve">*statin/omega-3 </t>
  </si>
  <si>
    <t xml:space="preserve">*fibrate/ez </t>
  </si>
  <si>
    <t xml:space="preserve">리바로하이 </t>
  </si>
  <si>
    <t>TA</t>
  </si>
  <si>
    <t xml:space="preserve">Type </t>
  </si>
  <si>
    <t xml:space="preserve">성분 Recdoe </t>
  </si>
  <si>
    <r>
      <rPr>
        <rFont val="맑은 고딕"/>
        <color theme="1"/>
        <sz val="10.0"/>
      </rPr>
      <t>질환</t>
    </r>
    <r>
      <rPr>
        <rFont val="Calibri"/>
        <color theme="1"/>
        <sz val="10.0"/>
      </rPr>
      <t xml:space="preserve"> </t>
    </r>
    <r>
      <rPr>
        <rFont val="맑은 고딕"/>
        <color theme="1"/>
        <sz val="10.0"/>
      </rPr>
      <t>정의</t>
    </r>
    <r>
      <rPr>
        <rFont val="Calibri"/>
        <color theme="1"/>
        <sz val="10.0"/>
      </rPr>
      <t xml:space="preserve"> Recode </t>
    </r>
  </si>
  <si>
    <r>
      <rPr>
        <rFont val="Calibri"/>
        <color theme="1"/>
        <sz val="10.0"/>
      </rPr>
      <t>단일/</t>
    </r>
    <r>
      <rPr>
        <rFont val="맑은 고딕"/>
        <color theme="1"/>
        <sz val="10.0"/>
      </rPr>
      <t>복합</t>
    </r>
    <r>
      <rPr>
        <rFont val="Calibri"/>
        <color theme="1"/>
        <sz val="10.0"/>
      </rPr>
      <t xml:space="preserve"> Recode </t>
    </r>
  </si>
  <si>
    <r>
      <rPr>
        <rFont val="맑은 고딕"/>
        <color theme="1"/>
        <sz val="10.0"/>
      </rPr>
      <t>성분</t>
    </r>
    <r>
      <rPr>
        <rFont val="Calibri"/>
        <color theme="1"/>
        <sz val="10.0"/>
      </rPr>
      <t xml:space="preserve"> Recode </t>
    </r>
  </si>
  <si>
    <r>
      <rPr>
        <rFont val="Calibri"/>
        <color theme="1"/>
        <sz val="10.0"/>
      </rPr>
      <t>Class Recode 분류</t>
    </r>
    <r>
      <rPr>
        <rFont val="맑은 고딕"/>
        <color theme="1"/>
        <sz val="11.0"/>
      </rPr>
      <t>2</t>
    </r>
  </si>
  <si>
    <t>candesartan cilexetil</t>
  </si>
  <si>
    <t>칸사타</t>
  </si>
  <si>
    <t>HTN</t>
  </si>
  <si>
    <t xml:space="preserve">Single </t>
  </si>
  <si>
    <t xml:space="preserve">Candesartan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</si>
  <si>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</si>
  <si>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단일제</t>
  </si>
  <si>
    <t>ARB</t>
  </si>
  <si>
    <t xml:space="preserve">지질강하제+고혈압 복합제 </t>
  </si>
  <si>
    <t xml:space="preserve">Atorvastatin/Candesartan/Amlodipine </t>
  </si>
  <si>
    <t>Statin/ARB/CCB</t>
  </si>
  <si>
    <t>칸데탄</t>
  </si>
  <si>
    <t>eprosartan mesylate</t>
  </si>
  <si>
    <t>Eprosartan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</si>
  <si>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</si>
  <si>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Atorvastatin/Valsartan/Amlodipine </t>
  </si>
  <si>
    <t>고려 칸데사르탄</t>
  </si>
  <si>
    <t>fimasartan potassium trihydrate ( as fimasartan potassium)</t>
  </si>
  <si>
    <t xml:space="preserve">Fimasartan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</si>
  <si>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</si>
  <si>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Atorvastatin/EZ/Amlodipine </t>
  </si>
  <si>
    <t>Statin/EZ/CCB</t>
  </si>
  <si>
    <t>네오칸데</t>
  </si>
  <si>
    <t>irbesartan</t>
  </si>
  <si>
    <t>Irbesartan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</si>
  <si>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</si>
  <si>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Rosuvastatin/EZ/Telmisartan/Amlodipine </t>
  </si>
  <si>
    <t>Statin/EZ/ARB/CCB</t>
  </si>
  <si>
    <t>칸데칸</t>
  </si>
  <si>
    <t>losartan potassium</t>
  </si>
  <si>
    <t xml:space="preserve">Iosartan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</si>
  <si>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</si>
  <si>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Rosuvastatin/EZ/Losartan/Amlodipine </t>
  </si>
  <si>
    <t>칸데르탄</t>
  </si>
  <si>
    <t>losartan potassium  ( as losartan)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</si>
  <si>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</si>
  <si>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Rosuvastatin/Fimasartan/Amlodipine </t>
  </si>
  <si>
    <t>칸델탄</t>
  </si>
  <si>
    <t>olmesartan medoxomil</t>
  </si>
  <si>
    <t xml:space="preserve">Olmesartan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</si>
  <si>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</si>
  <si>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Rosuvastatin/Olmesartan/Amlodipine </t>
  </si>
  <si>
    <t>디케이에스에이치</t>
  </si>
  <si>
    <t>디케이에스에이치 아타칸</t>
  </si>
  <si>
    <t>potassium azilsartan medoxomil  ( as azilsartan medoxomil)</t>
  </si>
  <si>
    <t xml:space="preserve">Azilsartan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</si>
  <si>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</si>
  <si>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Rosuvastatin/Amlodipine </t>
  </si>
  <si>
    <t>Statin/CCB</t>
  </si>
  <si>
    <t>아타칸</t>
  </si>
  <si>
    <t>telmisartan</t>
  </si>
  <si>
    <t xml:space="preserve">Telmisartan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</si>
  <si>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</si>
  <si>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Rosuvastatin/Telmisartan/Amlodipine </t>
  </si>
  <si>
    <t>칸데살탄</t>
  </si>
  <si>
    <t>valsartan</t>
  </si>
  <si>
    <t xml:space="preserve">Valsartan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</si>
  <si>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</si>
  <si>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Rosuvastatin/Valsartan/Amlodipine</t>
  </si>
  <si>
    <t>칸데산</t>
  </si>
  <si>
    <t>candesartan cilexetil,  hydrochlorothiazide</t>
  </si>
  <si>
    <t xml:space="preserve">Candesartan/Hydrochlorothiazide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</si>
  <si>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</si>
  <si>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복합제</t>
  </si>
  <si>
    <t xml:space="preserve">ARB/DU </t>
  </si>
  <si>
    <t xml:space="preserve">Atorvastatin/Amlodipine </t>
  </si>
  <si>
    <t>데카르탄</t>
  </si>
  <si>
    <t>chlorthalidone,  losartan potassium</t>
  </si>
  <si>
    <t>Losartan/Chlorthalidone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</si>
  <si>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</si>
  <si>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Rosuvastatin/Losartan/Amlodipine </t>
  </si>
  <si>
    <t>칸타칸</t>
  </si>
  <si>
    <t>chlorthalidone,  potassium azilsartan medoxomil  ( as azilsartan medoxomil)</t>
  </si>
  <si>
    <t>Azilsartan/chlorthalidone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</si>
  <si>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</si>
  <si>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Atorvastatin/Irbesartan</t>
  </si>
  <si>
    <t>Statin/ARB</t>
  </si>
  <si>
    <t>칸세틸</t>
  </si>
  <si>
    <t>eprosartan,  hydrochlorothiazide</t>
  </si>
  <si>
    <t>eprosartan/hydrochlorothiazide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</si>
  <si>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</si>
  <si>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Atorvastatin/S-amlodipine </t>
  </si>
  <si>
    <t>아나탄</t>
  </si>
  <si>
    <t>fimasartan potassium trihydrate  ( as fimasartan potassium), hydrochlorothiazide</t>
  </si>
  <si>
    <t xml:space="preserve">Fimasartan/Hydrochlorothiazide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</si>
  <si>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</si>
  <si>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Atorvastatin/Fimasartan </t>
  </si>
  <si>
    <t>하이살탄</t>
  </si>
  <si>
    <t>hydrochlorothiazide,  irbesartan</t>
  </si>
  <si>
    <t xml:space="preserve">Irbesartan/Hydrochlorothiazide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</si>
  <si>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</si>
  <si>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Rosuvastatin/Candesartan </t>
  </si>
  <si>
    <t>칸살탄</t>
  </si>
  <si>
    <t>hydrochlorothiazide,  losartan potassium</t>
  </si>
  <si>
    <t xml:space="preserve">Losartan/Hydrochlorothiazide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</si>
  <si>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</si>
  <si>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Rosuvastatin/EZ/Telmisartan/S-amlodipine </t>
  </si>
  <si>
    <t>칸데로탄</t>
  </si>
  <si>
    <t>hydrochlorothiazide,  olmesartan medoxomil</t>
  </si>
  <si>
    <t xml:space="preserve">Olmesartan/Hydrochlorothiazide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</si>
  <si>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</si>
  <si>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Rosuvastatin/EZ/Telmisartan </t>
  </si>
  <si>
    <t>Statin/EZ/ARB</t>
  </si>
  <si>
    <t>제뉴원 칸데사르탄</t>
  </si>
  <si>
    <t>hydrochlorothiazide,  telmisartan</t>
  </si>
  <si>
    <t xml:space="preserve">Telmisartan/Hydrochlorothiazide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</si>
  <si>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</si>
  <si>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Rosuvastatin/Fimasartan</t>
  </si>
  <si>
    <t>칸데모어</t>
  </si>
  <si>
    <t>hydrochlorothiazide,  valsartan</t>
  </si>
  <si>
    <t xml:space="preserve">Valsartan/Hydrochlorothiazide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</si>
  <si>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</si>
  <si>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Rosuvastatin/Nebivolol </t>
  </si>
  <si>
    <t>Statin/BB</t>
  </si>
  <si>
    <t>글로아타</t>
  </si>
  <si>
    <t>amlodipine adipate  ( as ),  valsartan</t>
  </si>
  <si>
    <t>Valsartan/amlodipine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</si>
  <si>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</si>
  <si>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ARB/CCB</t>
  </si>
  <si>
    <t>Rosuvastatin/Nebivolol</t>
  </si>
  <si>
    <t>칸데라</t>
  </si>
  <si>
    <t>amlodipine besylate  ( as amlodipine),  candesartan cilexetil</t>
  </si>
  <si>
    <t xml:space="preserve">Candesartan/amlodipine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</si>
  <si>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</si>
  <si>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Rosuvastatin/Olmesartan</t>
  </si>
  <si>
    <t>데잘탄</t>
  </si>
  <si>
    <t>amlodipine besylate  ( as amlodipine),  fimasartan potassium trihydrate granule  ( as fimasartan potassium)</t>
  </si>
  <si>
    <t xml:space="preserve">Fimasartan/amlodipine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</si>
  <si>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</si>
  <si>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Pitavastatin/Valsartan</t>
  </si>
  <si>
    <t>아칸데</t>
  </si>
  <si>
    <t>amlodipine besylate  ( as amlodipine),  fimasartan potassium trihydrate granule  ( as fimasartan potassium),  hydrochlorothiazide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</si>
  <si>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</si>
  <si>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Rosuvastatin/Telmisartan</t>
  </si>
  <si>
    <t>휴테칸</t>
  </si>
  <si>
    <t>amlodipine besylate  ( as amlodipine),  hydrochlorothiazide,  telmisartan</t>
  </si>
  <si>
    <t>Temisartan/amlodipine/Hydrochlothiazide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</si>
  <si>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</si>
  <si>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Rosuvastatin/Valsartan</t>
  </si>
  <si>
    <t>테베텐</t>
  </si>
  <si>
    <t>amlodipine besylate  ( as amlodipine),  irbesartan</t>
  </si>
  <si>
    <t xml:space="preserve">Irbesartan/Amlodipine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</si>
  <si>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</si>
  <si>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카나덴</t>
  </si>
  <si>
    <t>amlodipine besylate  ( as amlodipine),  losartan potassium</t>
  </si>
  <si>
    <t xml:space="preserve">Losartan/Amlodipine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</si>
  <si>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</si>
  <si>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피마모노</t>
  </si>
  <si>
    <t>amlodipine besylate,  chlorthalidone,  telmisartan</t>
  </si>
  <si>
    <t>Telmisartan/Amlodipine/Chlorthalidone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</si>
  <si>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</si>
  <si>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카나브</t>
  </si>
  <si>
    <t>amlodipine besylate,  hydrochlorothiazide,  olmesartan medoxomil</t>
  </si>
  <si>
    <t>Olmesartan/amlodipine/Hydrochlothiazide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</si>
  <si>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</si>
  <si>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알카나</t>
  </si>
  <si>
    <t>amlodipine besylate,  olmesartan medoxomil</t>
  </si>
  <si>
    <t>Olmesartan/amlodipine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</si>
  <si>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</si>
  <si>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피마솔로</t>
  </si>
  <si>
    <t>amlodipine besylate,  telmisartan</t>
  </si>
  <si>
    <t>Telmisartan/amlodipine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</si>
  <si>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</si>
  <si>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휴나브</t>
  </si>
  <si>
    <t>amlodipine besylate,  valsartan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</si>
  <si>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</si>
  <si>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아이살탄</t>
  </si>
  <si>
    <t>amlodipine camsylate,  chlorthalidone,  losartan potassium</t>
  </si>
  <si>
    <t>Losartan/amlodipine/Chlorthalidone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</si>
  <si>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</si>
  <si>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이베르탄</t>
  </si>
  <si>
    <t>amlodipine camsylate,  losartan potassium</t>
  </si>
  <si>
    <t>Losartan/amlodipine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</si>
  <si>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</si>
  <si>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사노피</t>
  </si>
  <si>
    <t>아프로벨</t>
  </si>
  <si>
    <t>amlodipine maleate,  olmesartan medoxomil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</si>
  <si>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</si>
  <si>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이베프로</t>
  </si>
  <si>
    <t>amlodipine orotate  ( as ),  valsartan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</si>
  <si>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</si>
  <si>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셀프로벨</t>
  </si>
  <si>
    <t>amlodipine orotate  ( as amlodipine),  olmesartan medoxomil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</si>
  <si>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</si>
  <si>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이베라</t>
  </si>
  <si>
    <t>lercanidipine hydrochloride,  valsartan</t>
  </si>
  <si>
    <t xml:space="preserve">Valsartan/Lecarnidipine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</si>
  <si>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</si>
  <si>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이베스딜</t>
  </si>
  <si>
    <t>olmesartan medoxomil,  s-amlodipine besylate  ( as s-amlodipine)</t>
  </si>
  <si>
    <t xml:space="preserve">Olmesartan/S-amlodipine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</si>
  <si>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</si>
  <si>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이노엔 아벨탄</t>
  </si>
  <si>
    <t>olmesartan medoxomil,  s-amlodipine nicotinate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</si>
  <si>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</si>
  <si>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이베텔</t>
  </si>
  <si>
    <t>s-amlodipine besylate 2.5 hydrate  ( as s-amlodipine),  fimasartan potassium trihydrate  ( as fimasartan potassium)</t>
  </si>
  <si>
    <t xml:space="preserve">Fimasartan/S-amlodipine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</si>
  <si>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</si>
  <si>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이베로</t>
  </si>
  <si>
    <t>s-amlodipine besylate 2.5 hydrate,  valsartan</t>
  </si>
  <si>
    <t xml:space="preserve">Valsartan/S-amlodipine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</si>
  <si>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</si>
  <si>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이르벨</t>
  </si>
  <si>
    <t>s-amlodipine besylate dihydrate  ( as s-amlodipine),  fimasartan potassium trihydrate  ( as fimasartan potassium)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</si>
  <si>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</si>
  <si>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국제 로잘탄</t>
  </si>
  <si>
    <t>s-amlodipine besylate dihydrate  ( as s-amlodipine),  telmisartan</t>
  </si>
  <si>
    <t xml:space="preserve">Telmisartan/S-amlodipine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</si>
  <si>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</si>
  <si>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베아로탄</t>
  </si>
  <si>
    <t>s-amlodipine nicotinate  ( as s-amlodipine),  telmisartan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</si>
  <si>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</si>
  <si>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로사텍</t>
  </si>
  <si>
    <t xml:space="preserve">Amlodipine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</si>
  <si>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</si>
  <si>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CCB</t>
  </si>
  <si>
    <t>원살탄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</si>
  <si>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</si>
  <si>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프로자탄</t>
  </si>
  <si>
    <t>amlodipine besylate  ( as amlodipine)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</si>
  <si>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</si>
  <si>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코자르탄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</si>
  <si>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</si>
  <si>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세자르</t>
  </si>
  <si>
    <t>amlodipine camsylate  ( as amlodipine)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</si>
  <si>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</si>
  <si>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에이알비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</si>
  <si>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</si>
  <si>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로사칼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</si>
  <si>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</si>
  <si>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코살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</si>
  <si>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</si>
  <si>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코자뉴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</si>
  <si>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</si>
  <si>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로자신</t>
  </si>
  <si>
    <t>Azelnidine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</si>
  <si>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</si>
  <si>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로자인</t>
  </si>
  <si>
    <t>Barnidipine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</si>
  <si>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</si>
  <si>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로자토</t>
  </si>
  <si>
    <t>Benidipine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</si>
  <si>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</si>
  <si>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코자살탄</t>
  </si>
  <si>
    <t>Cilnidipine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</si>
  <si>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</si>
  <si>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로사맥스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</si>
  <si>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</si>
  <si>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로자틴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</si>
  <si>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</si>
  <si>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메가 로사탄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</si>
  <si>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</si>
  <si>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자라탄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</si>
  <si>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</si>
  <si>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코잘탄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</si>
  <si>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</si>
  <si>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오가논 코자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</si>
  <si>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</si>
  <si>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로더스</t>
  </si>
  <si>
    <t>nicardipine hydrochloride</t>
  </si>
  <si>
    <t>nicardipine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</si>
  <si>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</si>
  <si>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로잘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</si>
  <si>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</si>
  <si>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뉴로탄</t>
  </si>
  <si>
    <t>nisoldipine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</si>
  <si>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</si>
  <si>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로자살탄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</si>
  <si>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</si>
  <si>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로자딘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</si>
  <si>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</si>
  <si>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로자칼</t>
  </si>
  <si>
    <t>s-amlodipine nicotinate  ( as s-amlodipine)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</si>
  <si>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</si>
  <si>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코사로탄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</si>
  <si>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</si>
  <si>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로자탐</t>
  </si>
  <si>
    <t>amosulalol HCl</t>
  </si>
  <si>
    <t xml:space="preserve">Amosulalol 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</si>
  <si>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</si>
  <si>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일양 로자탄</t>
  </si>
  <si>
    <t>Arotinolol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</si>
  <si>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</si>
  <si>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로자타</t>
  </si>
  <si>
    <t>Atenolol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</si>
  <si>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</si>
  <si>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로자케이</t>
  </si>
  <si>
    <t>Betaxolol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</si>
  <si>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</si>
  <si>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살로탄</t>
  </si>
  <si>
    <t>bevantolol HCl</t>
  </si>
  <si>
    <t>Bevantolol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</si>
  <si>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</si>
  <si>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카자탄</t>
  </si>
  <si>
    <t>Bisoprolol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</si>
  <si>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</si>
  <si>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로코탄</t>
  </si>
  <si>
    <t>Carteolol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</si>
  <si>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</si>
  <si>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로탄</t>
  </si>
  <si>
    <t>Carvedilol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</si>
  <si>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</si>
  <si>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코로자</t>
  </si>
  <si>
    <t>carvedilol granule  ( as carvedilol)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</si>
  <si>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</si>
  <si>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로사벨</t>
  </si>
  <si>
    <t>celiprolol HCl</t>
  </si>
  <si>
    <t>Celiprolol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</si>
  <si>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</si>
  <si>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코사탄</t>
  </si>
  <si>
    <t>Metoprolol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</si>
  <si>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</si>
  <si>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로사</t>
  </si>
  <si>
    <t>Nadolol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</si>
  <si>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</si>
  <si>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오잘탄</t>
  </si>
  <si>
    <t>nebivolol hydrochloride  ( as nebivolol),  rosuvastatin calcium  ( as rosuvastatin)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</si>
  <si>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</si>
  <si>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로사탄</t>
  </si>
  <si>
    <t>nebivolol hydrochloride  ( as nebivolol),  rosuvastatin calcium (micronized)  ( as rosuvastatin)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</si>
  <si>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</si>
  <si>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로카탄</t>
  </si>
  <si>
    <t>Propranolol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</si>
  <si>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</si>
  <si>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로사르</t>
  </si>
  <si>
    <t>S-atenolol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</si>
  <si>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</si>
  <si>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코스카</t>
  </si>
  <si>
    <t>Sotalol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</si>
  <si>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</si>
  <si>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[C8B2] 베타차단제를 복함한 칼슘길항제</t>
  </si>
  <si>
    <t>felodipine,  metoprolol succinate</t>
  </si>
  <si>
    <t>Felodipine/Metoprolol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</si>
  <si>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</si>
  <si>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CCB/BB</t>
  </si>
  <si>
    <t>amiloride HCl</t>
  </si>
  <si>
    <t>Amiloride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</si>
  <si>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</si>
  <si>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DU</t>
  </si>
  <si>
    <t>올메건</t>
  </si>
  <si>
    <t>finerenone</t>
  </si>
  <si>
    <t>Finerenone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</si>
  <si>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</si>
  <si>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오르메탄</t>
  </si>
  <si>
    <t>finerenone (micronized)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</si>
  <si>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</si>
  <si>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올메텍</t>
  </si>
  <si>
    <t>spironolactone</t>
  </si>
  <si>
    <t>Spironolactone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</si>
  <si>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</si>
  <si>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뉴메살탄</t>
  </si>
  <si>
    <t>azosemide</t>
  </si>
  <si>
    <t>Azosemide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</si>
  <si>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</si>
  <si>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올위너</t>
  </si>
  <si>
    <t>furosemide</t>
  </si>
  <si>
    <t>Furosemide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</si>
  <si>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</si>
  <si>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올메론</t>
  </si>
  <si>
    <t>torasemide</t>
  </si>
  <si>
    <t>Torasemide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</si>
  <si>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</si>
  <si>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올메딜</t>
  </si>
  <si>
    <t>chlorthalidone</t>
  </si>
  <si>
    <t>Chlorthalidone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</si>
  <si>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</si>
  <si>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올메산</t>
  </si>
  <si>
    <t>hydrochlorothiazide</t>
  </si>
  <si>
    <t>Hydrochlorothiazide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</si>
  <si>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</si>
  <si>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프리살탄</t>
  </si>
  <si>
    <t>indapamide</t>
  </si>
  <si>
    <t>Indapamide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</si>
  <si>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</si>
  <si>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에스올</t>
  </si>
  <si>
    <t>xipamide</t>
  </si>
  <si>
    <t>Xipamide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</si>
  <si>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</si>
  <si>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에이알비-에스</t>
  </si>
  <si>
    <t>[C3A5] 칼륨보존성이뇨제와 Thiazide 계 이뇨제 복합제제</t>
  </si>
  <si>
    <t>hydrochlorothiazide,  spironolactone</t>
  </si>
  <si>
    <t>Spironolactone/hydrochlorothiazide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</si>
  <si>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</si>
  <si>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셀메텍</t>
  </si>
  <si>
    <t>atenolol,  chlorthalidone</t>
  </si>
  <si>
    <t>atenolol/chlorthalidone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</si>
  <si>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</si>
  <si>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BB/DU</t>
  </si>
  <si>
    <t>오멕실</t>
  </si>
  <si>
    <t>bisoprolol fumarate,  hydrochlorothiazide</t>
  </si>
  <si>
    <t>bisoprolol/hydrochlorothiazide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</si>
  <si>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</si>
  <si>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올메살탄</t>
  </si>
  <si>
    <t>alacepril</t>
  </si>
  <si>
    <t>Alacepril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</si>
  <si>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</si>
  <si>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ACEi</t>
  </si>
  <si>
    <t>위메탄</t>
  </si>
  <si>
    <t>captopril</t>
  </si>
  <si>
    <t>Captopril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</si>
  <si>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</si>
  <si>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올레텐</t>
  </si>
  <si>
    <t>cilazapril</t>
  </si>
  <si>
    <t>Cilazapril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</si>
  <si>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</si>
  <si>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유니메드 올탄</t>
  </si>
  <si>
    <t>enalapril maleate</t>
  </si>
  <si>
    <t>Enalapril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</si>
  <si>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</si>
  <si>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올메팜</t>
  </si>
  <si>
    <t>imidapril HCl</t>
  </si>
  <si>
    <t>Imidapril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</si>
  <si>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</si>
  <si>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올고탄</t>
  </si>
  <si>
    <t>lisinopril</t>
  </si>
  <si>
    <t>Lisinopril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</si>
  <si>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</si>
  <si>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올메잘탄</t>
  </si>
  <si>
    <t>perindopril arginine</t>
  </si>
  <si>
    <t>Perindopril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</si>
  <si>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</si>
  <si>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제뉴원 올메사탄</t>
  </si>
  <si>
    <t>perindopril tertbutylamine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</si>
  <si>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</si>
  <si>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올메세틸엠</t>
  </si>
  <si>
    <t>ramipril</t>
  </si>
  <si>
    <t>Ramipril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</si>
  <si>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</si>
  <si>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오메탄</t>
  </si>
  <si>
    <t>temocapril HCl</t>
  </si>
  <si>
    <t>Temocapril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</si>
  <si>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</si>
  <si>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이텍스 올메사탄</t>
  </si>
  <si>
    <t>zofenopril calcium</t>
  </si>
  <si>
    <t>Zofenopril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</si>
  <si>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</si>
  <si>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올스텍</t>
  </si>
  <si>
    <t>indapamide,  perindopril arginine</t>
  </si>
  <si>
    <t>indapamide/perindopril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</si>
  <si>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</si>
  <si>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 xml:space="preserve">ACEi/DU </t>
  </si>
  <si>
    <t>올프레</t>
  </si>
  <si>
    <t>felodipine,  ramipril</t>
  </si>
  <si>
    <t>felodipine/ramipril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</si>
  <si>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</si>
  <si>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ACEi/CCB</t>
  </si>
  <si>
    <t>메사르</t>
  </si>
  <si>
    <t>amlodipine besylate  ( as amlodipine),  atorvastatin calcium  ( as atorvastatin),  candesartan cilexetil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</si>
  <si>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</si>
  <si>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올메린</t>
  </si>
  <si>
    <t>amlodipine besylate  ( as amlodipine),  atorvastatin calcium hydrate  ( as atorvastatin),  valsartan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</si>
  <si>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</si>
  <si>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휴니즈 올메사탄메독소밀</t>
  </si>
  <si>
    <t>amlodipine besylate  ( as amlodipine),  atorvastatin calcium trihydrate  ( as atorvastatin),  ezetimibe (micronized)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</si>
  <si>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</si>
  <si>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휴메텍</t>
  </si>
  <si>
    <t>amlodipine besylate  ( as amlodipine),  ezetimibe (micronized),  rosuvastatin calcium  ( as rosuvastatin),  telmisartan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</si>
  <si>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</si>
  <si>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amlodipine besylate  ( as amlodipine),  ezetimibe,  losartan potassium,  rosuvastatin calcium  ( as rosuvastatin)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</si>
  <si>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</si>
  <si>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이달비</t>
  </si>
  <si>
    <t>amlodipine besylate  ( as amlodipine),  fimasartan potassium trihydrate granule  ( as fimasartan),  rosuvastatin calcium (micronized)  ( as rosuvastatin)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</si>
  <si>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</si>
  <si>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텔카딘</t>
  </si>
  <si>
    <t>amlodipine besylate  ( as amlodipine),  olmesartan medoxomil,  rosuvastatin calcium  ( as rosuvastatin)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</si>
  <si>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</si>
  <si>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텔미카르</t>
  </si>
  <si>
    <t>amlodipine besylate  ( as amlodipine),  rosuvastatin calcium  ( as rosuvastatin)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</si>
  <si>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</si>
  <si>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프리토</t>
  </si>
  <si>
    <t>amlodipine besylate  ( as amlodipine),  rosuvastatin calcium  ( as rosuvastatin),  telmisartan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</si>
  <si>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</si>
  <si>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프리텐션</t>
  </si>
  <si>
    <t>amlodipine besylate  ( as amlodipine),  rosuvastatin calcium  ( as rosuvastatin),  valsartan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</si>
  <si>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</si>
  <si>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텔미베타</t>
  </si>
  <si>
    <t>amlodipine besylate,  atorvastatin calcium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</si>
  <si>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</si>
  <si>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테르탄</t>
  </si>
  <si>
    <t>amlodipine camsylate  ( as amlodipine),  losartan potassium,  rosuvastatin calcium  ( as rosuvastatin)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</si>
  <si>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</si>
  <si>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텔미텐션</t>
  </si>
  <si>
    <t>atorvastatin calcium  ( as atorvastatin),  irbesartan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</si>
  <si>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</si>
  <si>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텔미스타</t>
  </si>
  <si>
    <t>atorvastatin calcium anhydrous,  S-amlodipine besylate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</si>
  <si>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</si>
  <si>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프리모노</t>
  </si>
  <si>
    <t>atorvastatin calcium trihydrate  ( as atorvastatin),  fimasartan potassium trihydrate granule  ( as fimasartan potassium)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</si>
  <si>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</si>
  <si>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텔미살탄</t>
  </si>
  <si>
    <t>candesartan cilexetil,  rosuvastatin calcium  ( as rosuvastatin)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</si>
  <si>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</si>
  <si>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텔미</t>
  </si>
  <si>
    <t>ezetimibe (micronized),  rosuvastatin calcium  ( as rosuvastatin),  s-amlodipine besylate dihydrate  ( as amlodipine),  telmisartan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</si>
  <si>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</si>
  <si>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모노스핀</t>
  </si>
  <si>
    <t>ezetimibe,  rosuvastatin calcium  ( as rosuvastatin),  telmisartan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</si>
  <si>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</si>
  <si>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베링거인겔하임</t>
  </si>
  <si>
    <t>미카르디스</t>
  </si>
  <si>
    <t>fimasartan potassium trihydrate granule  ( as fimasartan potassium),  rosuvastatin calcium  ( as rosuvastatin)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</si>
  <si>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</si>
  <si>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텔리토</t>
  </si>
  <si>
    <t>nebivolol hydrochloride  ( as nebivolol)</t>
  </si>
  <si>
    <t>Nebivolol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</si>
  <si>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</si>
  <si>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텔바로</t>
  </si>
  <si>
    <r>
      <rPr>
        <rFont val="Calibri"/>
        <color theme="1"/>
        <sz val="10.0"/>
      </rPr>
      <t>고혈압</t>
    </r>
    <r>
      <rPr>
        <rFont val="맑은 고딕"/>
        <color theme="1"/>
        <sz val="11.0"/>
      </rPr>
      <t xml:space="preserve"> </t>
    </r>
  </si>
  <si>
    <t>텔미스</t>
  </si>
  <si>
    <t>olmesartan medoxomil,  rosuvastatin calcium  ( as rosuvastatin)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</si>
  <si>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</si>
  <si>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미르텔</t>
  </si>
  <si>
    <t>pitavastatin calcium,  valsartan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</si>
  <si>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</si>
  <si>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티살탄</t>
  </si>
  <si>
    <t>rosuvastatin calcium  ( as rosuvastatin),  telmisartan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</si>
  <si>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</si>
  <si>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셀미살탄</t>
  </si>
  <si>
    <t>rosuvastatin calcium  ( as rosuvastatin),  valsartan</t>
  </si>
  <si>
    <r>
      <rPr>
        <rFont val="Calibri"/>
        <color theme="1"/>
        <sz val="10.0"/>
      </rPr>
      <t>고혈압/이상지질혈증</t>
    </r>
    <r>
      <rPr>
        <rFont val="맑은 고딕"/>
        <color theme="1"/>
        <sz val="11.0"/>
      </rPr>
      <t xml:space="preserve"> </t>
    </r>
  </si>
  <si>
    <t>네오 텔미</t>
  </si>
  <si>
    <t>Atorvastatin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</si>
  <si>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</si>
  <si>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 xml:space="preserve">스타틴 단일제 </t>
  </si>
  <si>
    <t>텔미탄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</si>
  <si>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</si>
  <si>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텔미로탄</t>
  </si>
  <si>
    <t>Fluvastatin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</si>
  <si>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</si>
  <si>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아나텔</t>
  </si>
  <si>
    <t>lovastatin</t>
  </si>
  <si>
    <t>Lovastatin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</si>
  <si>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</si>
  <si>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모노티탄</t>
  </si>
  <si>
    <t>Pitavastatin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</si>
  <si>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</si>
  <si>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알텔미</t>
  </si>
  <si>
    <t>Pravastatin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</si>
  <si>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</si>
  <si>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유앤 텔미</t>
  </si>
  <si>
    <t>Rosuvastatin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</si>
  <si>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</si>
  <si>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텔미원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</si>
  <si>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</si>
  <si>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텔미코르</t>
  </si>
  <si>
    <t>Simvastatin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</si>
  <si>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</si>
  <si>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메가 텔미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</si>
  <si>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</si>
  <si>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피브레이트제제</t>
  </si>
  <si>
    <t>영텔미탄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</si>
  <si>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</si>
  <si>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뉴텔미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</si>
  <si>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</si>
  <si>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미르토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</si>
  <si>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</si>
  <si>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텔탄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</si>
  <si>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</si>
  <si>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미살탄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</si>
  <si>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</si>
  <si>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미카테르</t>
  </si>
  <si>
    <t>[C10A3] 이온 교환 수지</t>
  </si>
  <si>
    <t>cholestyramine resin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</si>
  <si>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</si>
  <si>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 xml:space="preserve">콜레스티라민 </t>
  </si>
  <si>
    <t>텔미토</t>
  </si>
  <si>
    <t>[C10A4] PCSK9 억제제</t>
  </si>
  <si>
    <t>alirocumab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</si>
  <si>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</si>
  <si>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PSCK9 억제제</t>
  </si>
  <si>
    <t>일양 텔미사탄</t>
  </si>
  <si>
    <t>evolocumab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</si>
  <si>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</si>
  <si>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텔카디</t>
  </si>
  <si>
    <t>[C10A9] 기타 콜레스테롤 및 중성지방 조절 약품</t>
  </si>
  <si>
    <t>acipimox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</si>
  <si>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</si>
  <si>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제뉴원 텔미사르탄</t>
  </si>
  <si>
    <t>ezetimibe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</si>
  <si>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</si>
  <si>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텔미칸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</si>
  <si>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</si>
  <si>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 xml:space="preserve">오메가 </t>
  </si>
  <si>
    <t>텔미트렌</t>
  </si>
  <si>
    <t>Atorvastatin/Omega3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</si>
  <si>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</si>
  <si>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 xml:space="preserve">스타틴 복합제 </t>
  </si>
  <si>
    <t>텔미프리</t>
  </si>
  <si>
    <t>Atorvastatin/EZ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</si>
  <si>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</si>
  <si>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텔미큐어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</si>
  <si>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</si>
  <si>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텔카탄</t>
  </si>
  <si>
    <t xml:space="preserve">Fenofibrate/EZ 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</si>
  <si>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</si>
  <si>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텔로살탄</t>
  </si>
  <si>
    <t>Pitavastatin/EZ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</si>
  <si>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</si>
  <si>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텔미다운</t>
  </si>
  <si>
    <t>Rosuvastatin/EZ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</si>
  <si>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</si>
  <si>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텔미라</t>
  </si>
  <si>
    <t>Simvastatin/EZ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</si>
  <si>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</si>
  <si>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텔미린</t>
  </si>
  <si>
    <t>Pitavastatin/Fenofibrate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</si>
  <si>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</si>
  <si>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텔미르</t>
  </si>
  <si>
    <t xml:space="preserve">Pravastatin/Fenofibrate 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</si>
  <si>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</si>
  <si>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텔미콜</t>
  </si>
  <si>
    <t xml:space="preserve">Simvastatin/Fenofibrate 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</si>
  <si>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</si>
  <si>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텔미일</t>
  </si>
  <si>
    <t>Rosuvastatin/Omega3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</si>
  <si>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</si>
  <si>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텔미즈</t>
  </si>
  <si>
    <t xml:space="preserve">Rosuvastatin/Omega3 </t>
  </si>
  <si>
    <r>
      <rPr>
        <rFont val="맑은 고딕"/>
        <color theme="1"/>
        <sz val="10.0"/>
      </rPr>
      <t>이상지질혈증</t>
    </r>
    <r>
      <rPr>
        <rFont val="Calibri"/>
        <color theme="1"/>
        <sz val="10.0"/>
      </rPr>
      <t xml:space="preserve"> </t>
    </r>
  </si>
  <si>
    <t>하이퍼텔미</t>
  </si>
  <si>
    <t>amlodipine besylate  ( as amlodipine),  azilsartan medoxomil potassium  ( as azilsartan medoxomil)</t>
  </si>
  <si>
    <t xml:space="preserve">Azilsartan/Amlodipine 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</si>
  <si>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</si>
  <si>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Newly Added in 2026?</t>
  </si>
  <si>
    <t>발트렙</t>
  </si>
  <si>
    <t>amlodipine besylate  ( as amlodipine),  chlortalidone,  losartan potassium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</si>
  <si>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</si>
  <si>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 xml:space="preserve">ARB/CCB/DU </t>
  </si>
  <si>
    <t>브이반</t>
  </si>
  <si>
    <t>amlodipine besylate  ( as amlodipine),  chlortalidone,  valsartan</t>
  </si>
  <si>
    <t>Valsartan/amlodipine/Chlorthalidone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</si>
  <si>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</si>
  <si>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노바티스</t>
  </si>
  <si>
    <t>디오반</t>
  </si>
  <si>
    <t>amlodipine besylate  ( as amlodipine),  telmisartan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</si>
  <si>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</si>
  <si>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사르반</t>
  </si>
  <si>
    <t>amlodipine besylate,  chlortalidone,  telmisartan</t>
  </si>
  <si>
    <t>Telmisartan/amlodipine/Chlorthalidone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</si>
  <si>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</si>
  <si>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디오브이</t>
  </si>
  <si>
    <t>candesartan cilexetil,  s-amlodipine besylate 2.5 hydrate  ( as amlodipine)</t>
  </si>
  <si>
    <t>Telmisartan/s-amlodipine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</si>
  <si>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</si>
  <si>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발사텍</t>
  </si>
  <si>
    <t>chlortalidone,  s-amlodipine nicotinate  ( as s-amlodipine),  telmisartan</t>
  </si>
  <si>
    <t>Telmisartan/s-amlodipine/Chlorthalidone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</si>
  <si>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</si>
  <si>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디오르탄</t>
  </si>
  <si>
    <t>fimasartan potassium trihydrate  ( as fimasartan potassium),  s-amlodipine besylate dihydrate  ( as s-amlodipine)</t>
  </si>
  <si>
    <t>Fimasartan/s-amlodipine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</si>
  <si>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</si>
  <si>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발탄</t>
  </si>
  <si>
    <t>hydrochlorothiazide,  olmesartan medoxomil,  s-amlodipine besylate dihydrate  ( as s-amlodipine)</t>
  </si>
  <si>
    <t>Olmesartan/s-amlodipine/hydrochlorothiazide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</si>
  <si>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</si>
  <si>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바로살탄</t>
  </si>
  <si>
    <t>hydrochlorothiazide,  olmesartan medoxomil,  s-amlodipine nicotinate dihydrate  ( as s-amlodipine)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</si>
  <si>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</si>
  <si>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에살탄</t>
  </si>
  <si>
    <t>s-amlodipine besylate dihydrate,  telmisartan</t>
  </si>
  <si>
    <t xml:space="preserve">Telmisartan/s-amlodipine 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</si>
  <si>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</si>
  <si>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발사닌</t>
  </si>
  <si>
    <t>amlodipine besylate  ( as amlodipine),  ezetimibe,  rosuvastatin calcium  ( as rosuvastatin)</t>
  </si>
  <si>
    <t xml:space="preserve">Rosuvastatin/EZ/amlodipine 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</si>
  <si>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</si>
  <si>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디오잘탄</t>
  </si>
  <si>
    <t>amlodipine besylate  ( as amlodipine),  pitavastatin calcium hydrate  ( as pitavastatin calcium),  valsartan</t>
  </si>
  <si>
    <t xml:space="preserve">Pitavastatin/Valsartan/amlodipine 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</si>
  <si>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</si>
  <si>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부광 발사르탄</t>
  </si>
  <si>
    <t>amlodipine besylate  ( as amlodipine),  pitavastatin calcium hydrate  ( as pitavastatin),  valsartan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</si>
  <si>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</si>
  <si>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엑스반</t>
  </si>
  <si>
    <t>ezetimibe,  rosuvastatin calcium (micronized)  ( as rosuvastatin),  s-amlodipine besylate  ( as s-amlodipine),  telmisartan</t>
  </si>
  <si>
    <t>Rosuvastatin/EZ/Telmisartan/S-amlodipine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</si>
  <si>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</si>
  <si>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사르발탄</t>
  </si>
  <si>
    <t>ezetimibe,  rosuvastatin calcium (micronized)  ( as rosuvastatin),  s-amlodipine besylate dihydrate  ( as s-amlodipine),  telmisartan</t>
  </si>
  <si>
    <r>
      <rPr>
        <rFont val="맑은 고딕"/>
        <color theme="1"/>
        <sz val="10.0"/>
      </rPr>
      <t>고혈압</t>
    </r>
    <r>
      <rPr>
        <rFont val="Calibri"/>
        <color theme="1"/>
        <sz val="10.0"/>
      </rPr>
      <t xml:space="preserve"> </t>
    </r>
  </si>
  <si>
    <t>네오반</t>
  </si>
  <si>
    <t>디발탄</t>
  </si>
  <si>
    <t>바레탄</t>
  </si>
  <si>
    <t>뉴발사타반</t>
  </si>
  <si>
    <t>디큐반</t>
  </si>
  <si>
    <t>디오르반</t>
  </si>
  <si>
    <t>맥스디오</t>
  </si>
  <si>
    <t>씨르탄</t>
  </si>
  <si>
    <t>발사원</t>
  </si>
  <si>
    <t>뉴사탄</t>
  </si>
  <si>
    <t>브이디오</t>
  </si>
  <si>
    <t>디잔틴</t>
  </si>
  <si>
    <t>발산</t>
  </si>
  <si>
    <t>디오살탄</t>
  </si>
  <si>
    <t>디로탄</t>
  </si>
  <si>
    <t>바르사르</t>
  </si>
  <si>
    <t>디오패스</t>
  </si>
  <si>
    <t>디오탄</t>
  </si>
  <si>
    <t>발사르텔</t>
  </si>
  <si>
    <t>디오발탄</t>
  </si>
  <si>
    <t>발사벨</t>
  </si>
  <si>
    <t>발미탄 에이</t>
  </si>
  <si>
    <t>바르반</t>
  </si>
  <si>
    <t>디에스반</t>
  </si>
  <si>
    <t>바라탄</t>
  </si>
  <si>
    <t>현대 발사르탄</t>
  </si>
  <si>
    <t>바사탄</t>
  </si>
  <si>
    <t>유니발탄</t>
  </si>
  <si>
    <t>발사르반</t>
  </si>
  <si>
    <t>칸사타 플러스</t>
  </si>
  <si>
    <t>Combi</t>
  </si>
  <si>
    <t>칸데탄 플러스</t>
  </si>
  <si>
    <t>고려 칸데사르탄플러스</t>
  </si>
  <si>
    <t>네오칸데 플러스</t>
  </si>
  <si>
    <t>칸데칸 플러스</t>
  </si>
  <si>
    <t>디케이에스에이치 아타칸 플러스</t>
  </si>
  <si>
    <t>칸데산 플러스</t>
  </si>
  <si>
    <t>칸타 플러스</t>
  </si>
  <si>
    <t>칸타칸 플러스</t>
  </si>
  <si>
    <t>칸세틸 플러스</t>
  </si>
  <si>
    <t>아나탄 플러스</t>
  </si>
  <si>
    <t>하이살탄플러스</t>
  </si>
  <si>
    <t>칸살탄 플러스</t>
  </si>
  <si>
    <t>칸단테 플러스</t>
  </si>
  <si>
    <t>칸데로탄 플러스</t>
  </si>
  <si>
    <t>칸데모어 플러스</t>
  </si>
  <si>
    <t>글로아타 플러스</t>
  </si>
  <si>
    <t>칸데라플러스</t>
  </si>
  <si>
    <t>칸데사 플러스</t>
  </si>
  <si>
    <t>데잘탄 플러스</t>
  </si>
  <si>
    <t>칸데 플러스</t>
  </si>
  <si>
    <t>휴니즈 칸데르플러스</t>
  </si>
  <si>
    <t>휴테칸 플러스</t>
  </si>
  <si>
    <t>클로잘탄</t>
  </si>
  <si>
    <t>이달비클로</t>
  </si>
  <si>
    <t>테베텐 플러스</t>
  </si>
  <si>
    <t>라코르</t>
  </si>
  <si>
    <t>이베르탄 듀오</t>
  </si>
  <si>
    <t>코아프로벨</t>
  </si>
  <si>
    <t>이베프</t>
  </si>
  <si>
    <t>셀프로벨 플러스</t>
  </si>
  <si>
    <t>이베라 플러스</t>
  </si>
  <si>
    <t>코이베스딜</t>
  </si>
  <si>
    <t>이노엔 아벨탄 플러스</t>
  </si>
  <si>
    <t>이벨탄 플러스</t>
  </si>
  <si>
    <t>국제 로잘탄 플러스</t>
  </si>
  <si>
    <t>베아로탄 플러스</t>
  </si>
  <si>
    <t>로사텍 플러스</t>
  </si>
  <si>
    <t>대한뉴팜 로잘탄</t>
  </si>
  <si>
    <t>코자르탄 플러스</t>
  </si>
  <si>
    <t>로자플엠</t>
  </si>
  <si>
    <t>로제틴</t>
  </si>
  <si>
    <t>세자르 플러스</t>
  </si>
  <si>
    <t>세자르 플러스 프로</t>
  </si>
  <si>
    <t>로자신 플러스</t>
  </si>
  <si>
    <t>코자살탄 플러스</t>
  </si>
  <si>
    <t>로사맥스 플러스</t>
  </si>
  <si>
    <t>로자틴 플러스</t>
  </si>
  <si>
    <t>자라탄 플러스</t>
  </si>
  <si>
    <t>코잘탄-플러스</t>
  </si>
  <si>
    <t>오가논 코자 플러스</t>
  </si>
  <si>
    <t>로더플러스</t>
  </si>
  <si>
    <t>로잘플러스</t>
  </si>
  <si>
    <t>뉴로탄 플러스</t>
  </si>
  <si>
    <t>로자살탄 플러스</t>
  </si>
  <si>
    <t>로자딘 플러스</t>
  </si>
  <si>
    <t>로자탐 플러스</t>
  </si>
  <si>
    <t>일양 로자탄 플러스</t>
  </si>
  <si>
    <t>로자타 플러스</t>
  </si>
  <si>
    <t>살로탄 플러스</t>
  </si>
  <si>
    <t>코로자 플러스</t>
  </si>
  <si>
    <t>코사탄 플러스</t>
  </si>
  <si>
    <t>오잘탄 플러스</t>
  </si>
  <si>
    <t>로사탄 플러스</t>
  </si>
  <si>
    <t>로카탄 플러스</t>
  </si>
  <si>
    <t>로사르플러스</t>
  </si>
  <si>
    <t>에스케이 코스카 플러스</t>
  </si>
  <si>
    <t>오르메탄 플러스</t>
  </si>
  <si>
    <t>올메히드 플러스</t>
  </si>
  <si>
    <t>올메텍 플러스</t>
  </si>
  <si>
    <t>올위너 플러스</t>
  </si>
  <si>
    <t>올메론 플러스</t>
  </si>
  <si>
    <t>프리살탄 플러스</t>
  </si>
  <si>
    <t>에스올 플러스</t>
  </si>
  <si>
    <t>에이알비-에스디</t>
  </si>
  <si>
    <t>셀메텍 플러스</t>
  </si>
  <si>
    <t>올레텐 플러스</t>
  </si>
  <si>
    <t>올탄 플러스</t>
  </si>
  <si>
    <t>올메팜 플러스</t>
  </si>
  <si>
    <t>올메세틸엠 플러스</t>
  </si>
  <si>
    <t>오메탄 플러스</t>
  </si>
  <si>
    <t>이텍스 올메사탄 플러스</t>
  </si>
  <si>
    <t>올스텍 플러스</t>
  </si>
  <si>
    <t>올프레 플러스</t>
  </si>
  <si>
    <t>올메자이드</t>
  </si>
  <si>
    <t>로우탄 플러스</t>
  </si>
  <si>
    <t>올멕 플러스</t>
  </si>
  <si>
    <t>프리토 플러스</t>
  </si>
  <si>
    <t>프리텐션 플러스</t>
  </si>
  <si>
    <t>텔미베타 플러스</t>
  </si>
  <si>
    <t>텔미텐션 플러스</t>
  </si>
  <si>
    <t>텔미스타 플러스</t>
  </si>
  <si>
    <t>텔미모어</t>
  </si>
  <si>
    <t>미카르디스 플러스</t>
  </si>
  <si>
    <t>텔리토 플러스</t>
  </si>
  <si>
    <t>텔미스 플러스</t>
  </si>
  <si>
    <t>미르텔 플러스</t>
  </si>
  <si>
    <t>셀미 플러스</t>
  </si>
  <si>
    <t>텔미탄 플러스</t>
  </si>
  <si>
    <t>텔미로탄 플러스</t>
  </si>
  <si>
    <t>아나텔 플러스</t>
  </si>
  <si>
    <t>씨르텔미 플러스</t>
  </si>
  <si>
    <t>텔미원 플러스</t>
  </si>
  <si>
    <t>메가텔미클</t>
  </si>
  <si>
    <t>미르토 플러스</t>
  </si>
  <si>
    <t>유유 텔미타</t>
  </si>
  <si>
    <t>미살탄 플러스</t>
  </si>
  <si>
    <t>미카테르 플러스</t>
  </si>
  <si>
    <t>텔미토 플러스</t>
  </si>
  <si>
    <t>일양 텔미사탄 플러스</t>
  </si>
  <si>
    <t>텔카디 플러스</t>
  </si>
  <si>
    <t>텔미로 플러스</t>
  </si>
  <si>
    <t>텔미칸 플러스</t>
  </si>
  <si>
    <t>텔미트렌 플러스</t>
  </si>
  <si>
    <t>텔미큐어 플러스</t>
  </si>
  <si>
    <t>텔카탄 플러스</t>
  </si>
  <si>
    <t>텔로살탄 플러스</t>
  </si>
  <si>
    <t>텔미라 플러스</t>
  </si>
  <si>
    <t>텔미르플러스</t>
  </si>
  <si>
    <t>텔미콜 플러스</t>
  </si>
  <si>
    <t>텔미일 플러스</t>
  </si>
  <si>
    <t>텔미즈 플러스</t>
  </si>
  <si>
    <t>하이퍼텔미 플러스</t>
  </si>
  <si>
    <t>발트렙 플러스</t>
  </si>
  <si>
    <t>브이반 플러스</t>
  </si>
  <si>
    <t>발데사르 플러스</t>
  </si>
  <si>
    <t>코디오반</t>
  </si>
  <si>
    <t>디오브이 플러스</t>
  </si>
  <si>
    <t>코발사텍</t>
  </si>
  <si>
    <t>코디오르탄</t>
  </si>
  <si>
    <t>발탄 플러스</t>
  </si>
  <si>
    <t>코바소탄</t>
  </si>
  <si>
    <t>코바로살탄</t>
  </si>
  <si>
    <t>발사닌 플러스</t>
  </si>
  <si>
    <t>코디오잘탄</t>
  </si>
  <si>
    <t>하이든 플러스</t>
  </si>
  <si>
    <t>엑스반 플러스</t>
  </si>
  <si>
    <t>사르발탄 플러스</t>
  </si>
  <si>
    <t>디발탄 플러스</t>
  </si>
  <si>
    <t>바레탄 플러스</t>
  </si>
  <si>
    <t>듀오살탄</t>
  </si>
  <si>
    <t>코디큐반</t>
  </si>
  <si>
    <t>코디오르반</t>
  </si>
  <si>
    <t>맥스디오플러스</t>
  </si>
  <si>
    <t>발사원 플러스</t>
  </si>
  <si>
    <t>코디잔틴</t>
  </si>
  <si>
    <t>코발산</t>
  </si>
  <si>
    <t>듀오탄</t>
  </si>
  <si>
    <t>코디오살탄</t>
  </si>
  <si>
    <t>디로탄 플러스</t>
  </si>
  <si>
    <t>코디오패스</t>
  </si>
  <si>
    <t>코디오발탄</t>
  </si>
  <si>
    <t>코발사벨</t>
  </si>
  <si>
    <t>발미탄</t>
  </si>
  <si>
    <t>바르반 플러스</t>
  </si>
  <si>
    <t>코바라탄</t>
  </si>
  <si>
    <t>코플렉스</t>
  </si>
  <si>
    <t>코디바드</t>
  </si>
  <si>
    <t>바사탄 플러스</t>
  </si>
  <si>
    <t>엑스원</t>
  </si>
  <si>
    <t>이달디핀</t>
  </si>
  <si>
    <t>칸데디핀</t>
  </si>
  <si>
    <t>칸데암로</t>
  </si>
  <si>
    <t>마하칸</t>
  </si>
  <si>
    <t>칸타벨</t>
  </si>
  <si>
    <t>아모프렐</t>
  </si>
  <si>
    <t>발디핀 플러스</t>
  </si>
  <si>
    <t>바로셋</t>
  </si>
  <si>
    <t>엑스원 플러스</t>
  </si>
  <si>
    <t>듀카브</t>
  </si>
  <si>
    <t>듀카브 플러스</t>
  </si>
  <si>
    <t>투탑스 플러스</t>
  </si>
  <si>
    <t>텔미디핀 플러스</t>
  </si>
  <si>
    <t>아프로바스크</t>
  </si>
  <si>
    <t>건일바이오 로사베실</t>
  </si>
  <si>
    <t>베아잘탄</t>
  </si>
  <si>
    <t>하이로텐</t>
  </si>
  <si>
    <t>로자디핀</t>
  </si>
  <si>
    <t>맥스잘탄</t>
  </si>
  <si>
    <t>코잘탄-엑스</t>
  </si>
  <si>
    <t>로자스크</t>
  </si>
  <si>
    <t>아모엘탄</t>
  </si>
  <si>
    <t>암로잘</t>
  </si>
  <si>
    <t>코로잘탄</t>
  </si>
  <si>
    <t>노마로핀</t>
  </si>
  <si>
    <t>아모사르</t>
  </si>
  <si>
    <t>베실살탄</t>
  </si>
  <si>
    <t>암로잘탄</t>
  </si>
  <si>
    <t>코스카 이엑스</t>
  </si>
  <si>
    <t>트윈로우</t>
  </si>
  <si>
    <t>트루셋</t>
  </si>
  <si>
    <t>트루베타</t>
  </si>
  <si>
    <t>텔로핀 셋</t>
  </si>
  <si>
    <t>텔미칸 에이 플러스</t>
  </si>
  <si>
    <t>올로디핀 에이치씨티</t>
  </si>
  <si>
    <t>세비카 에이치씨티</t>
  </si>
  <si>
    <t>올메디카 에이치씨티</t>
  </si>
  <si>
    <t>세비루카 에이치씨티</t>
  </si>
  <si>
    <t>뉴비카 플러스</t>
  </si>
  <si>
    <t>올세비탄 에이치씨티</t>
  </si>
  <si>
    <t>암로비카 에이치씨티</t>
  </si>
  <si>
    <t>세비엠 에이치씨티</t>
  </si>
  <si>
    <t>올메딜 에이치씨티</t>
  </si>
  <si>
    <t>제이비카 에이치씨티</t>
  </si>
  <si>
    <t>삼비카 에이치씨티</t>
  </si>
  <si>
    <t>에스카 에이치씨티</t>
  </si>
  <si>
    <t>올디피</t>
  </si>
  <si>
    <t>세바코 에이치씨티</t>
  </si>
  <si>
    <t>세라칸 에이치씨티</t>
  </si>
  <si>
    <t>올메로핀 에이치씨티</t>
  </si>
  <si>
    <t>로우비카 에이치씨티</t>
  </si>
  <si>
    <t>올딥 에이치씨티</t>
  </si>
  <si>
    <t>제뉴파마 로메탄 에이치씨티</t>
  </si>
  <si>
    <t>세비듀오 에이치씨티</t>
  </si>
  <si>
    <t>세비테라 에이치씨티</t>
  </si>
  <si>
    <t>세비원 에이치씨티</t>
  </si>
  <si>
    <t>올메디퀄 에이치씨티</t>
  </si>
  <si>
    <t>하비카 에이치씨티</t>
  </si>
  <si>
    <t>아몰비카 에이치씨티</t>
  </si>
  <si>
    <t>올멕포스 에이치</t>
  </si>
  <si>
    <t>건일바이오 투비카</t>
  </si>
  <si>
    <t>올로디핀</t>
  </si>
  <si>
    <t>오로텐션</t>
  </si>
  <si>
    <t>세비텐션</t>
  </si>
  <si>
    <t>세비카</t>
  </si>
  <si>
    <t>세비루카</t>
  </si>
  <si>
    <t>뉴비카</t>
  </si>
  <si>
    <t>비바스</t>
  </si>
  <si>
    <t>맥세비카</t>
  </si>
  <si>
    <t>세비로텐</t>
  </si>
  <si>
    <t>올메디핀</t>
  </si>
  <si>
    <t>제이비카</t>
  </si>
  <si>
    <t>에스카</t>
  </si>
  <si>
    <t>올듀오 비</t>
  </si>
  <si>
    <t>셀레비카</t>
  </si>
  <si>
    <t>세바코</t>
  </si>
  <si>
    <t>올메로핀</t>
  </si>
  <si>
    <t>올레스크</t>
  </si>
  <si>
    <t>올탄디핀</t>
  </si>
  <si>
    <t>엠디비카</t>
  </si>
  <si>
    <t>올딥</t>
  </si>
  <si>
    <t>로메탄</t>
  </si>
  <si>
    <t>세비듀오</t>
  </si>
  <si>
    <t>비카원스</t>
  </si>
  <si>
    <t>올스디핀</t>
  </si>
  <si>
    <t>세비원</t>
  </si>
  <si>
    <t>파미카</t>
  </si>
  <si>
    <t>리비카</t>
  </si>
  <si>
    <t>올메디퀄</t>
  </si>
  <si>
    <t>하비카</t>
  </si>
  <si>
    <t>올메듀오</t>
  </si>
  <si>
    <t>아몰비카</t>
  </si>
  <si>
    <t>텔카디핀</t>
  </si>
  <si>
    <t>텔미로핀</t>
  </si>
  <si>
    <t>듀얼스타</t>
  </si>
  <si>
    <t>암로텔</t>
  </si>
  <si>
    <t>넬스타</t>
  </si>
  <si>
    <t>트윈액트</t>
  </si>
  <si>
    <t>텔미노바</t>
  </si>
  <si>
    <t>트윈베타</t>
  </si>
  <si>
    <t>텔미암핀</t>
  </si>
  <si>
    <t>트윈콤비</t>
  </si>
  <si>
    <t>엔피스타</t>
  </si>
  <si>
    <t>수피아</t>
  </si>
  <si>
    <t>텔미스타 엑스</t>
  </si>
  <si>
    <t>트윈하트</t>
  </si>
  <si>
    <t>프리트윈</t>
  </si>
  <si>
    <t>트윈 다운</t>
  </si>
  <si>
    <t>듀오엠</t>
  </si>
  <si>
    <t>로디스타</t>
  </si>
  <si>
    <t>텔미듀얼</t>
  </si>
  <si>
    <t>트윈스핀</t>
  </si>
  <si>
    <t>트윈스타</t>
  </si>
  <si>
    <t>트윈텔라</t>
  </si>
  <si>
    <t>트윈원</t>
  </si>
  <si>
    <t>테람트윈</t>
  </si>
  <si>
    <t>베르사체</t>
  </si>
  <si>
    <t>에이알비티에스</t>
  </si>
  <si>
    <t>에이트윈</t>
  </si>
  <si>
    <t>서울 티스타</t>
  </si>
  <si>
    <t>셀미스타</t>
  </si>
  <si>
    <t>네오스타</t>
  </si>
  <si>
    <t>아모스타</t>
  </si>
  <si>
    <t>듀얼살탄</t>
  </si>
  <si>
    <t>아주스타</t>
  </si>
  <si>
    <t>암로텔미</t>
  </si>
  <si>
    <t>맥스미카</t>
  </si>
  <si>
    <t>트윈에코</t>
  </si>
  <si>
    <t>텔라스타</t>
  </si>
  <si>
    <t>메가텔디핀</t>
  </si>
  <si>
    <t>텔로트윈</t>
  </si>
  <si>
    <t>트윈 엑스</t>
  </si>
  <si>
    <t>텔로스탄</t>
  </si>
  <si>
    <t>테살핀</t>
  </si>
  <si>
    <t>트윈플러스</t>
  </si>
  <si>
    <t>테라모핀</t>
  </si>
  <si>
    <t>텔탄스타</t>
  </si>
  <si>
    <t>디핀스</t>
  </si>
  <si>
    <t>미살탄 트윈</t>
  </si>
  <si>
    <t>투탑스</t>
  </si>
  <si>
    <t>더블로우</t>
  </si>
  <si>
    <t>텔로디탄</t>
  </si>
  <si>
    <t>정우신약</t>
  </si>
  <si>
    <t>트윈케라</t>
  </si>
  <si>
    <t>텔로핀</t>
  </si>
  <si>
    <t>텔미칸 에이</t>
  </si>
  <si>
    <t>텔미암로</t>
  </si>
  <si>
    <t>테미스타</t>
  </si>
  <si>
    <t>텔미스크</t>
  </si>
  <si>
    <t>텔론스타</t>
  </si>
  <si>
    <t>에이엠살탄</t>
  </si>
  <si>
    <t>트윈히트</t>
  </si>
  <si>
    <t>텔미로디</t>
  </si>
  <si>
    <t>로우스타</t>
  </si>
  <si>
    <t>더블스타</t>
  </si>
  <si>
    <t>텔로디핀</t>
  </si>
  <si>
    <t>텔미디핀</t>
  </si>
  <si>
    <t>트윈맥스</t>
  </si>
  <si>
    <t>텔미디퀄</t>
  </si>
  <si>
    <t>텔미트윈</t>
  </si>
  <si>
    <t>텔미암</t>
  </si>
  <si>
    <t>텔핀스타</t>
  </si>
  <si>
    <t>텔민스타</t>
  </si>
  <si>
    <t>텔미르핀</t>
  </si>
  <si>
    <t>트윈포지</t>
  </si>
  <si>
    <t>텔사로핀</t>
  </si>
  <si>
    <t>테잘바이</t>
  </si>
  <si>
    <t>에이티스타</t>
  </si>
  <si>
    <t>하이퍼스타</t>
  </si>
  <si>
    <t>트윈테라</t>
  </si>
  <si>
    <t>엑스건</t>
  </si>
  <si>
    <t>발디핀</t>
  </si>
  <si>
    <t>노발탄</t>
  </si>
  <si>
    <t>엑스브이</t>
  </si>
  <si>
    <t>씨알비</t>
  </si>
  <si>
    <t>엑스듀오</t>
  </si>
  <si>
    <t>엑스로탄</t>
  </si>
  <si>
    <t>엑스포지</t>
  </si>
  <si>
    <t>디스포지</t>
  </si>
  <si>
    <t>브이포지</t>
  </si>
  <si>
    <t>엑스발사텍</t>
  </si>
  <si>
    <t>엑스콤비</t>
  </si>
  <si>
    <t>엔피포지</t>
  </si>
  <si>
    <t>바로포지</t>
  </si>
  <si>
    <t>발탄엑스</t>
  </si>
  <si>
    <t>아발탄</t>
  </si>
  <si>
    <t>암로살탄</t>
  </si>
  <si>
    <t>듀얼 엑스</t>
  </si>
  <si>
    <t>메디로텐</t>
  </si>
  <si>
    <t>엑스닌</t>
  </si>
  <si>
    <t>알파포지</t>
  </si>
  <si>
    <t>시넥트</t>
  </si>
  <si>
    <t>카덴자</t>
  </si>
  <si>
    <t>에이알비-엑스지</t>
  </si>
  <si>
    <t>암로반</t>
  </si>
  <si>
    <t>엑스폴</t>
  </si>
  <si>
    <t>뉴젠포지</t>
  </si>
  <si>
    <t>셀트포지</t>
  </si>
  <si>
    <t>듀크포지</t>
  </si>
  <si>
    <t>엑스포텐</t>
  </si>
  <si>
    <t>암로발탄</t>
  </si>
  <si>
    <t>아모르탄</t>
  </si>
  <si>
    <t>아미포지</t>
  </si>
  <si>
    <t>아나퍼지</t>
  </si>
  <si>
    <t>디오디핀</t>
  </si>
  <si>
    <t>씨트포지</t>
  </si>
  <si>
    <t>엑사디핀</t>
  </si>
  <si>
    <t>넥포</t>
  </si>
  <si>
    <t>엑스핀탄</t>
  </si>
  <si>
    <t>렉스파지큐</t>
  </si>
  <si>
    <t>바살핀</t>
  </si>
  <si>
    <t>브이디핀</t>
  </si>
  <si>
    <t>유나잘탄</t>
  </si>
  <si>
    <t>유니포지</t>
  </si>
  <si>
    <t>듀오포지</t>
  </si>
  <si>
    <t>엑스핀</t>
  </si>
  <si>
    <t>디로포지</t>
  </si>
  <si>
    <t>엑스포스</t>
  </si>
  <si>
    <t>바이포지</t>
  </si>
  <si>
    <t>노바살탄</t>
  </si>
  <si>
    <t>듀얼다운</t>
  </si>
  <si>
    <t>암로탄</t>
  </si>
  <si>
    <t>하이포지</t>
  </si>
  <si>
    <t>제이포지</t>
  </si>
  <si>
    <t>더블포지</t>
  </si>
  <si>
    <t>암발탄</t>
  </si>
  <si>
    <t>엑스포르</t>
  </si>
  <si>
    <t>엑시비탄</t>
  </si>
  <si>
    <t>투투포지</t>
  </si>
  <si>
    <t>콤비포지</t>
  </si>
  <si>
    <t>글로포지</t>
  </si>
  <si>
    <t>엑스페라</t>
  </si>
  <si>
    <t>비스포지</t>
  </si>
  <si>
    <t>바르디핀</t>
  </si>
  <si>
    <t>발라디핀</t>
  </si>
  <si>
    <t>엑스디핀</t>
  </si>
  <si>
    <t>한올 네오포지</t>
  </si>
  <si>
    <t>에이치포지</t>
  </si>
  <si>
    <t>발사핀</t>
  </si>
  <si>
    <t>스타포지</t>
  </si>
  <si>
    <t>엑스로핀</t>
  </si>
  <si>
    <t>발사렉스</t>
  </si>
  <si>
    <t>휴니즈 발사르핀</t>
  </si>
  <si>
    <t>에이바스타</t>
  </si>
  <si>
    <t>엑스포르테</t>
  </si>
  <si>
    <t>아모잘탄 플러스</t>
  </si>
  <si>
    <t>코자 엑스큐</t>
  </si>
  <si>
    <t>아모잘탄</t>
  </si>
  <si>
    <t>오로살탄</t>
  </si>
  <si>
    <t>세비살탄</t>
  </si>
  <si>
    <t>칸데산 에스</t>
  </si>
  <si>
    <t>칸데바로</t>
  </si>
  <si>
    <t>로디엔셋</t>
  </si>
  <si>
    <t>듀카노바</t>
  </si>
  <si>
    <t>에스카브</t>
  </si>
  <si>
    <t>듀카엠</t>
  </si>
  <si>
    <t>알듀카</t>
  </si>
  <si>
    <t>암디카브 큐</t>
  </si>
  <si>
    <t>핀카브</t>
  </si>
  <si>
    <t>피마원 에스</t>
  </si>
  <si>
    <t>듀카포지</t>
  </si>
  <si>
    <t>듀나브</t>
  </si>
  <si>
    <t>올메비카 에이치씨티</t>
  </si>
  <si>
    <t>레바캄</t>
  </si>
  <si>
    <t>올메비카</t>
  </si>
  <si>
    <t>레보모스</t>
  </si>
  <si>
    <t>로디비카</t>
  </si>
  <si>
    <t>건카브</t>
  </si>
  <si>
    <t>피마에스</t>
  </si>
  <si>
    <t>피마듀오</t>
  </si>
  <si>
    <t>피마사브</t>
  </si>
  <si>
    <t>레보발사</t>
  </si>
  <si>
    <t>레보살탄</t>
  </si>
  <si>
    <t>듀카디핀</t>
  </si>
  <si>
    <t>듀카나젠</t>
  </si>
  <si>
    <t>피마듀엣</t>
  </si>
  <si>
    <t>텔미누보</t>
  </si>
  <si>
    <t>로디엔 티</t>
  </si>
  <si>
    <t>칸타벨 에이</t>
  </si>
  <si>
    <t xml:space="preserve">HTN &amp; DL </t>
  </si>
  <si>
    <t>아바트리</t>
  </si>
  <si>
    <t>아발탄 에이 플러스</t>
  </si>
  <si>
    <t>엑스원 에이</t>
  </si>
  <si>
    <t>하이포지 에이</t>
  </si>
  <si>
    <t>엑스아토르</t>
  </si>
  <si>
    <t>아토바미브 에이</t>
  </si>
  <si>
    <t>토스젯 에이</t>
  </si>
  <si>
    <t>로제텔핀</t>
  </si>
  <si>
    <t>텔미칸 큐</t>
  </si>
  <si>
    <t>아모잘탄 엑스큐</t>
  </si>
  <si>
    <t>암로젯</t>
  </si>
  <si>
    <t>듀카로</t>
  </si>
  <si>
    <t>올로맥스</t>
  </si>
  <si>
    <t>리바로 하이</t>
  </si>
  <si>
    <t>로토디핀</t>
  </si>
  <si>
    <t>로수암핀</t>
  </si>
  <si>
    <t>트리인원</t>
  </si>
  <si>
    <t>텔미원스플러스</t>
  </si>
  <si>
    <t>트레블</t>
  </si>
  <si>
    <t>텔로타틴</t>
  </si>
  <si>
    <t>듀오웰 에이</t>
  </si>
  <si>
    <t>텔로스톱 플러스</t>
  </si>
  <si>
    <t>텔미듀오 플러스</t>
  </si>
  <si>
    <t>발트리오</t>
  </si>
  <si>
    <t>브이포지알</t>
  </si>
  <si>
    <t>아모르탄 알</t>
  </si>
  <si>
    <t>엑스원 알</t>
  </si>
  <si>
    <t>건일바이오팜 아토노바</t>
  </si>
  <si>
    <t>아토디핀</t>
  </si>
  <si>
    <t>아토바디핀</t>
  </si>
  <si>
    <t>코듀원</t>
  </si>
  <si>
    <t>카듀스틴</t>
  </si>
  <si>
    <t>카로디엣</t>
  </si>
  <si>
    <t>투믹스</t>
  </si>
  <si>
    <t>암바스타</t>
  </si>
  <si>
    <t>듀오맥스</t>
  </si>
  <si>
    <t>카듀엣</t>
  </si>
  <si>
    <t>듀스틴</t>
  </si>
  <si>
    <t>비듀엣</t>
  </si>
  <si>
    <t>듀타딘</t>
  </si>
  <si>
    <t>카디엔</t>
  </si>
  <si>
    <t>올핀</t>
  </si>
  <si>
    <t>라듀엣</t>
  </si>
  <si>
    <t>노토바</t>
  </si>
  <si>
    <t>로바토</t>
  </si>
  <si>
    <t>뉴펙스 듀오</t>
  </si>
  <si>
    <t>이듀엣</t>
  </si>
  <si>
    <t>아듀오</t>
  </si>
  <si>
    <t>아스퀘어</t>
  </si>
  <si>
    <t>카디페어</t>
  </si>
  <si>
    <t>암로스틴</t>
  </si>
  <si>
    <t>콜듀엣</t>
  </si>
  <si>
    <t>듀오디핀</t>
  </si>
  <si>
    <t>아토듀엣</t>
  </si>
  <si>
    <t>아모잘탄 큐</t>
  </si>
  <si>
    <t>로벨리토</t>
  </si>
  <si>
    <t>아카브</t>
  </si>
  <si>
    <t>로수칸데</t>
  </si>
  <si>
    <t>로타칸</t>
  </si>
  <si>
    <t>칸데칸 듀오</t>
  </si>
  <si>
    <t>로칸 듀오</t>
  </si>
  <si>
    <t>콤비로칸</t>
  </si>
  <si>
    <t>크레칸데</t>
  </si>
  <si>
    <t>누보로젯</t>
  </si>
  <si>
    <t>로제텔</t>
  </si>
  <si>
    <t>듀오웰 플러스</t>
  </si>
  <si>
    <t>텔미로젯</t>
  </si>
  <si>
    <t>투베로</t>
  </si>
  <si>
    <t>네비로스타</t>
  </si>
  <si>
    <t>올로스타</t>
  </si>
  <si>
    <t>리바로 브이</t>
  </si>
  <si>
    <t>텔미로브</t>
  </si>
  <si>
    <t>로스텔</t>
  </si>
  <si>
    <t>듀오스타</t>
  </si>
  <si>
    <t>듀로텔</t>
  </si>
  <si>
    <t>듀오웰</t>
  </si>
  <si>
    <t>미살탄 스타</t>
  </si>
  <si>
    <t>텔로스톱</t>
  </si>
  <si>
    <t>텔로다운</t>
  </si>
  <si>
    <t>텔로바틴</t>
  </si>
  <si>
    <t>트루스타</t>
  </si>
  <si>
    <t>텔미로원</t>
  </si>
  <si>
    <t>브이알</t>
  </si>
  <si>
    <t>발사로브</t>
  </si>
  <si>
    <t>로바하이</t>
  </si>
  <si>
    <t>로바티탄</t>
  </si>
  <si>
    <t>아미로</t>
  </si>
  <si>
    <t>케렌디아</t>
  </si>
  <si>
    <t>구주 스피로닥톤</t>
  </si>
  <si>
    <t>스피락톤</t>
  </si>
  <si>
    <t>화이자</t>
  </si>
  <si>
    <t>알닥톤</t>
  </si>
  <si>
    <t>유레틴</t>
  </si>
  <si>
    <t>후릭스</t>
  </si>
  <si>
    <t>라식스</t>
  </si>
  <si>
    <t>보령 토르세미드</t>
  </si>
  <si>
    <t>토르신</t>
  </si>
  <si>
    <t>세토람</t>
  </si>
  <si>
    <t>토렘</t>
  </si>
  <si>
    <t>토르셈</t>
  </si>
  <si>
    <t>클로베네</t>
  </si>
  <si>
    <t>하이그로톤</t>
  </si>
  <si>
    <t>다이크로짇</t>
  </si>
  <si>
    <t>후루덱스</t>
  </si>
  <si>
    <t>나트릭스</t>
  </si>
  <si>
    <t>다피드</t>
  </si>
  <si>
    <t>부광 디유렉산</t>
  </si>
  <si>
    <t>테노레틱</t>
  </si>
  <si>
    <t>코비스</t>
  </si>
  <si>
    <t>세타프릴</t>
  </si>
  <si>
    <t>카프릴</t>
  </si>
  <si>
    <t>제일 실라자프릴</t>
  </si>
  <si>
    <t>에날린</t>
  </si>
  <si>
    <t>에날</t>
  </si>
  <si>
    <t>에나프린</t>
  </si>
  <si>
    <t>날프릴</t>
  </si>
  <si>
    <t>현대 제스트릴</t>
  </si>
  <si>
    <t>아서틸 아르기닌</t>
  </si>
  <si>
    <t>아서틸</t>
  </si>
  <si>
    <t>아서프릴</t>
  </si>
  <si>
    <t>트리테이스</t>
  </si>
  <si>
    <t>트리테이스 프로텍트</t>
  </si>
  <si>
    <t>아서틸 플러스 아르기닌</t>
  </si>
  <si>
    <t>트리아핀</t>
  </si>
  <si>
    <t xml:space="preserve">트루패스, 피나스타/제이다트 </t>
  </si>
  <si>
    <t>Molecule</t>
  </si>
  <si>
    <t>alfuzosin HCl</t>
  </si>
  <si>
    <t>알프신엑스엘</t>
  </si>
  <si>
    <r>
      <rPr>
        <rFont val="Calibri"/>
        <color theme="1"/>
        <sz val="10.0"/>
      </rPr>
      <t>α</t>
    </r>
    <r>
      <rPr>
        <rFont val="맑은 고딕"/>
        <color theme="1"/>
        <sz val="10.0"/>
      </rPr>
      <t>-</t>
    </r>
    <r>
      <rPr>
        <rFont val="Arial"/>
        <b/>
        <color rgb="FF767676"/>
        <sz val="8.0"/>
      </rPr>
      <t>blockers</t>
    </r>
  </si>
  <si>
    <t>alfuzosin</t>
  </si>
  <si>
    <t>자트론 엑스엘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</si>
  <si>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</si>
  <si>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베아자트 엑스엘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</si>
  <si>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</si>
  <si>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알푸랄 엑스엘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</si>
  <si>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</si>
  <si>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알푸케어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</si>
  <si>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</si>
  <si>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유로알파 엑스엘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</si>
  <si>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</si>
  <si>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바이트랄엑스엘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</si>
  <si>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</si>
  <si>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잘트린 엑스엘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</si>
  <si>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</si>
  <si>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알푸릭스엑스엘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</si>
  <si>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</si>
  <si>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유로트랄엑스엘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</si>
  <si>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</si>
  <si>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유로지트엑스엘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</si>
  <si>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</si>
  <si>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코트랄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</si>
  <si>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</si>
  <si>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알프존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</si>
  <si>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</si>
  <si>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알프엑스엘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</si>
  <si>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</si>
  <si>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자트랄 엑스엘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</si>
  <si>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</si>
  <si>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윈트랄엑스엘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</si>
  <si>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</si>
  <si>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naftopidil</t>
  </si>
  <si>
    <t>나포피딜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</si>
  <si>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</si>
  <si>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유로바스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</si>
  <si>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</si>
  <si>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나토딜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</si>
  <si>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</si>
  <si>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플리바스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</si>
  <si>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</si>
  <si>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나프토엠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</si>
  <si>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</si>
  <si>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나스타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</si>
  <si>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</si>
  <si>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플로리스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</si>
  <si>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</si>
  <si>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나프딜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</si>
  <si>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</si>
  <si>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유로피딜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</si>
  <si>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</si>
  <si>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나프바스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</si>
  <si>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</si>
  <si>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silodosin</t>
  </si>
  <si>
    <t>트루테라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</si>
  <si>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</si>
  <si>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실루로신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</si>
  <si>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</si>
  <si>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트루렌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</si>
  <si>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</si>
  <si>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후리패스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</si>
  <si>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</si>
  <si>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r>
      <rPr>
        <rFont val="Malgun Gothic"/>
        <b/>
        <color theme="1"/>
        <sz val="10.0"/>
      </rPr>
      <t>α-</t>
    </r>
    <r>
      <rPr>
        <rFont val="Arial"/>
        <b/>
        <color rgb="FF767676"/>
        <sz val="8.0"/>
      </rPr>
      <t>blockers</t>
    </r>
  </si>
  <si>
    <t>tamsulosin hydrochloride</t>
  </si>
  <si>
    <t>건일바이오팜 팜스로신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</si>
  <si>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</si>
  <si>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tamsulosin</t>
  </si>
  <si>
    <t>유로날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</si>
  <si>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</si>
  <si>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탐스로날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</si>
  <si>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</si>
  <si>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유타날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</si>
  <si>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</si>
  <si>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탐피론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</si>
  <si>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</si>
  <si>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탐스올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</si>
  <si>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</si>
  <si>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탐수로신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</si>
  <si>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</si>
  <si>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베아로신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</si>
  <si>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</si>
  <si>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하루로신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</si>
  <si>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</si>
  <si>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다나 탐스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</si>
  <si>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</si>
  <si>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시워날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</si>
  <si>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</si>
  <si>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탐스웰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</si>
  <si>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</si>
  <si>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타로신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</si>
  <si>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</si>
  <si>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더유 탐스케어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</si>
  <si>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</si>
  <si>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탐스케어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</si>
  <si>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</si>
  <si>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동광 탐스로신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</si>
  <si>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</si>
  <si>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유로파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</si>
  <si>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</si>
  <si>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타루날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</si>
  <si>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</si>
  <si>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동성 탐스로신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</si>
  <si>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</si>
  <si>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탐술엠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</si>
  <si>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</si>
  <si>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탐센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</si>
  <si>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</si>
  <si>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탐소날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</si>
  <si>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</si>
  <si>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바이넥스 탐스로신염산염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</si>
  <si>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</si>
  <si>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보령 탐스로신염산염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</si>
  <si>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</si>
  <si>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데이탐스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</si>
  <si>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</si>
  <si>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더블탐스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</si>
  <si>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</si>
  <si>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비보존 탐스로신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</si>
  <si>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</si>
  <si>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삼성 탐스로신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</si>
  <si>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</si>
  <si>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탐스피드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</si>
  <si>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</si>
  <si>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삼천당 탐스로신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</si>
  <si>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</si>
  <si>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타임에스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</si>
  <si>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</si>
  <si>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</si>
  <si>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</si>
  <si>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탐솔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</si>
  <si>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</si>
  <si>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탐시원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</si>
  <si>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</si>
  <si>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네오로신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</si>
  <si>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</si>
  <si>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</si>
  <si>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</si>
  <si>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유린스타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</si>
  <si>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</si>
  <si>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아스텔라스</t>
  </si>
  <si>
    <t>하루날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</si>
  <si>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</si>
  <si>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</si>
  <si>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</si>
  <si>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탐스진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</si>
  <si>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</si>
  <si>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하루신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</si>
  <si>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</si>
  <si>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하루큐어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</si>
  <si>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</si>
  <si>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알루날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</si>
  <si>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</si>
  <si>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러츠날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</si>
  <si>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</si>
  <si>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탐슬로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</si>
  <si>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</si>
  <si>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에이블사이언스파마</t>
  </si>
  <si>
    <t>에이블 탐스로신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</si>
  <si>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</si>
  <si>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탐스에이블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</si>
  <si>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</si>
  <si>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팜스로신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</si>
  <si>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</si>
  <si>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씨트로신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</si>
  <si>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</si>
  <si>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탐로스타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</si>
  <si>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</si>
  <si>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</si>
  <si>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</si>
  <si>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</si>
  <si>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</si>
  <si>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</si>
  <si>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</si>
  <si>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</si>
  <si>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</si>
  <si>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탐스돌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</si>
  <si>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</si>
  <si>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하루디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</si>
  <si>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</si>
  <si>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탐스트로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</si>
  <si>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</si>
  <si>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피스 에이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</si>
  <si>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</si>
  <si>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</si>
  <si>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</si>
  <si>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탐로딘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</si>
  <si>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</si>
  <si>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탐스로진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</si>
  <si>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</si>
  <si>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유로탐스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</si>
  <si>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</si>
  <si>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타무로신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</si>
  <si>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</si>
  <si>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탐파신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</si>
  <si>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</si>
  <si>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타미날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</si>
  <si>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</si>
  <si>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티피로신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</si>
  <si>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</si>
  <si>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하루론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</si>
  <si>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</si>
  <si>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실론탐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</si>
  <si>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</si>
  <si>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타무날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</si>
  <si>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</si>
  <si>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탐스루신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</si>
  <si>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</si>
  <si>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프로탐스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</si>
  <si>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</si>
  <si>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탐스로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</si>
  <si>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</si>
  <si>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큐미날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</si>
  <si>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</si>
  <si>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탐로스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</si>
  <si>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</si>
  <si>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테라젠 탐스민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</si>
  <si>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</si>
  <si>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탐스프로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</si>
  <si>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</si>
  <si>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탐스타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</si>
  <si>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</si>
  <si>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프라탐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</si>
  <si>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</si>
  <si>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탐수날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</si>
  <si>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</si>
  <si>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하루탐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</si>
  <si>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</si>
  <si>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파마 탐스로신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</si>
  <si>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</si>
  <si>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타미로신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</si>
  <si>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</si>
  <si>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한미 탐스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</si>
  <si>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</si>
  <si>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한미 탐스 오디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</si>
  <si>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</si>
  <si>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한올 탐술로신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</si>
  <si>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</si>
  <si>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현대 탐스로신염산염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</si>
  <si>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</si>
  <si>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유로신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</si>
  <si>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</si>
  <si>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탐스핀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</si>
  <si>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</si>
  <si>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탐스폰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</si>
  <si>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</si>
  <si>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탐루신디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</si>
  <si>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</si>
  <si>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탐시케어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</si>
  <si>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</si>
  <si>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탐소신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</si>
  <si>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</si>
  <si>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탐스플라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</si>
  <si>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</si>
  <si>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terazosin HCl</t>
  </si>
  <si>
    <t>테라메드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</si>
  <si>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</si>
  <si>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terazosin</t>
  </si>
  <si>
    <t>트라조신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</si>
  <si>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</si>
  <si>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네오트린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</si>
  <si>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</si>
  <si>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뉴라조신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</si>
  <si>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</si>
  <si>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하이소린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</si>
  <si>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</si>
  <si>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테라신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</si>
  <si>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</si>
  <si>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테트린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</si>
  <si>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</si>
  <si>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테로조신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</si>
  <si>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</si>
  <si>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푸로조신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</si>
  <si>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</si>
  <si>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테라젠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</si>
  <si>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</si>
  <si>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테라루신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</si>
  <si>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</si>
  <si>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비판티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</si>
  <si>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</si>
  <si>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테로핀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</si>
  <si>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</si>
  <si>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테라산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</si>
  <si>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</si>
  <si>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테라졸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</si>
  <si>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</si>
  <si>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드림파마 트라신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</si>
  <si>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</si>
  <si>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테라딘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</si>
  <si>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</si>
  <si>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테로신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</si>
  <si>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</si>
  <si>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하이조신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</si>
  <si>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</si>
  <si>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테라온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</si>
  <si>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</si>
  <si>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유로트린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</si>
  <si>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</si>
  <si>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히드린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</si>
  <si>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</si>
  <si>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유니트린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</si>
  <si>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</si>
  <si>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테라조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</si>
  <si>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</si>
  <si>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테라지트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</si>
  <si>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</si>
  <si>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테라포스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</si>
  <si>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</si>
  <si>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테라팜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</si>
  <si>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</si>
  <si>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일양 하이트린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</si>
  <si>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</si>
  <si>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바소조신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</si>
  <si>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</si>
  <si>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테조신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</si>
  <si>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</si>
  <si>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테라엘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</si>
  <si>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</si>
  <si>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오트린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</si>
  <si>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</si>
  <si>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테레신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</si>
  <si>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</si>
  <si>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테로스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</si>
  <si>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</si>
  <si>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하이테신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</si>
  <si>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</si>
  <si>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텔라조신</t>
  </si>
  <si>
    <r>
      <rPr>
        <rFont val="Malgun Gothic"/>
        <color theme="1"/>
        <sz val="10.0"/>
      </rPr>
      <t>α-</t>
    </r>
    <r>
      <rPr>
        <rFont val="Arial"/>
        <b/>
        <color rgb="FF767676"/>
        <sz val="8.0"/>
      </rPr>
      <t>blockers</t>
    </r>
  </si>
  <si>
    <t>dutasteride</t>
  </si>
  <si>
    <t>건일바이오팜 두모보</t>
  </si>
  <si>
    <t>5-ARI</t>
  </si>
  <si>
    <t>두로칸</t>
  </si>
  <si>
    <t>두아보</t>
  </si>
  <si>
    <t>아보스티드</t>
  </si>
  <si>
    <t>아보다트</t>
  </si>
  <si>
    <t>두테스</t>
  </si>
  <si>
    <t>두타프렌</t>
  </si>
  <si>
    <t>대웅바이오 두타스테리드</t>
  </si>
  <si>
    <t>두타겟</t>
  </si>
  <si>
    <t>두타텍트</t>
  </si>
  <si>
    <t>엔피 다트</t>
  </si>
  <si>
    <t>두타케어</t>
  </si>
  <si>
    <t>두테론</t>
  </si>
  <si>
    <t>동구 두타리드</t>
  </si>
  <si>
    <t>두타리드</t>
  </si>
  <si>
    <t>두타드</t>
  </si>
  <si>
    <t>두타반</t>
  </si>
  <si>
    <t>두타반 플러스</t>
  </si>
  <si>
    <t>머카나</t>
  </si>
  <si>
    <t>아보엠</t>
  </si>
  <si>
    <t>타테린</t>
  </si>
  <si>
    <t>삼성 두타스테리드</t>
  </si>
  <si>
    <t>아두타</t>
  </si>
  <si>
    <t>삼천당 두타스테리드</t>
  </si>
  <si>
    <t>씨엠두타</t>
  </si>
  <si>
    <t>유로다트</t>
  </si>
  <si>
    <t>아나딘</t>
  </si>
  <si>
    <t>에이두타</t>
  </si>
  <si>
    <t>두타락</t>
  </si>
  <si>
    <t>두타론</t>
  </si>
  <si>
    <t>아보테드</t>
  </si>
  <si>
    <t>두타스테린</t>
  </si>
  <si>
    <t>아보탄</t>
  </si>
  <si>
    <t>유힐릭스</t>
  </si>
  <si>
    <t>아보테리드</t>
  </si>
  <si>
    <t>두타스카</t>
  </si>
  <si>
    <t>아보스타</t>
  </si>
  <si>
    <t>프로다트</t>
  </si>
  <si>
    <t>두타젠</t>
  </si>
  <si>
    <t>두테스몰</t>
  </si>
  <si>
    <t>코스맥스바이오</t>
  </si>
  <si>
    <t>아보투윈</t>
  </si>
  <si>
    <t>두타엘</t>
  </si>
  <si>
    <t>아보그로</t>
  </si>
  <si>
    <t>아보두타</t>
  </si>
  <si>
    <t>두로케어</t>
  </si>
  <si>
    <t>아보타스</t>
  </si>
  <si>
    <t>프라임 아리드</t>
  </si>
  <si>
    <t>한독테바</t>
  </si>
  <si>
    <t>자이가드</t>
  </si>
  <si>
    <t>두테드</t>
  </si>
  <si>
    <t>아다모</t>
  </si>
  <si>
    <t>다모다트</t>
  </si>
  <si>
    <t>두타스타</t>
  </si>
  <si>
    <t>휴다트</t>
  </si>
  <si>
    <t>원투스테리드</t>
  </si>
  <si>
    <t>네오다트</t>
  </si>
  <si>
    <t>finasteride</t>
  </si>
  <si>
    <t>피나프로</t>
  </si>
  <si>
    <t>유로스칸</t>
  </si>
  <si>
    <t>유로피나</t>
  </si>
  <si>
    <t>피나그렌</t>
  </si>
  <si>
    <t>피나스티드</t>
  </si>
  <si>
    <t>피나스</t>
  </si>
  <si>
    <t>대웅바이오 피나스테리드</t>
  </si>
  <si>
    <t>프로핀카</t>
  </si>
  <si>
    <t>피나론</t>
  </si>
  <si>
    <t>핀카</t>
  </si>
  <si>
    <t>엔피스카</t>
  </si>
  <si>
    <t>프로화</t>
  </si>
  <si>
    <t>비피스타</t>
  </si>
  <si>
    <t>유로리드</t>
  </si>
  <si>
    <t>피나시딜</t>
  </si>
  <si>
    <t>트로피나</t>
  </si>
  <si>
    <t>알로피나</t>
  </si>
  <si>
    <t>스카테론</t>
  </si>
  <si>
    <t>명문 피나스테리드</t>
  </si>
  <si>
    <t>프로스타트</t>
  </si>
  <si>
    <t>보령 피나스테리드</t>
  </si>
  <si>
    <t>피나스틴</t>
  </si>
  <si>
    <t>비보존 피나스테리드</t>
  </si>
  <si>
    <t>삼성 피나스테리드</t>
  </si>
  <si>
    <t>파나드</t>
  </si>
  <si>
    <t>피나리</t>
  </si>
  <si>
    <t>셀비온 엔티 테리드</t>
  </si>
  <si>
    <t>피나스트리온</t>
  </si>
  <si>
    <t>피나테크</t>
  </si>
  <si>
    <t>프로피나</t>
  </si>
  <si>
    <t>씨엠피나</t>
  </si>
  <si>
    <t>유레이드</t>
  </si>
  <si>
    <t>프로스틸</t>
  </si>
  <si>
    <t>피테스</t>
  </si>
  <si>
    <t>스카렉스</t>
  </si>
  <si>
    <t>피나스로</t>
  </si>
  <si>
    <t>피나드론</t>
  </si>
  <si>
    <t>피나스테린</t>
  </si>
  <si>
    <t>피나에이블</t>
  </si>
  <si>
    <t>피나스테아</t>
  </si>
  <si>
    <t>이노엔 피나스테리드</t>
  </si>
  <si>
    <t>그로모</t>
  </si>
  <si>
    <t>메가페시아</t>
  </si>
  <si>
    <t>피나베린</t>
  </si>
  <si>
    <t>푸로스타</t>
  </si>
  <si>
    <t>오가논 프로스카</t>
  </si>
  <si>
    <t>핀스타</t>
  </si>
  <si>
    <t>위피나</t>
  </si>
  <si>
    <t>필라스트</t>
  </si>
  <si>
    <t>제이피나</t>
  </si>
  <si>
    <t>프로리드</t>
  </si>
  <si>
    <t>파나스카</t>
  </si>
  <si>
    <t>피나드</t>
  </si>
  <si>
    <t>알파스카</t>
  </si>
  <si>
    <t>피나세트</t>
  </si>
  <si>
    <t>일양 피나스테리드</t>
  </si>
  <si>
    <t>마이피나</t>
  </si>
  <si>
    <t>피나린</t>
  </si>
  <si>
    <t>피나젠</t>
  </si>
  <si>
    <t>프로스몰</t>
  </si>
  <si>
    <t>피나스톤</t>
  </si>
  <si>
    <t>피나시드</t>
  </si>
  <si>
    <t>큐로이드</t>
  </si>
  <si>
    <t>피나신</t>
  </si>
  <si>
    <t>피나스칸</t>
  </si>
  <si>
    <t>피나스카</t>
  </si>
  <si>
    <t>리모날</t>
  </si>
  <si>
    <t>피나프로스</t>
  </si>
  <si>
    <t>파나리드</t>
  </si>
  <si>
    <t>푸로케어</t>
  </si>
  <si>
    <t>피나시아</t>
  </si>
  <si>
    <t>한림 피나스테리드</t>
  </si>
  <si>
    <t>피나트라</t>
  </si>
  <si>
    <t>한올 피나스테리드</t>
  </si>
  <si>
    <t>피나에스</t>
  </si>
  <si>
    <t>프로나드</t>
  </si>
  <si>
    <t>피나진</t>
  </si>
  <si>
    <t>휴메딕스</t>
  </si>
  <si>
    <t>프리스타</t>
  </si>
  <si>
    <t>피나텐</t>
  </si>
  <si>
    <t>휴피나</t>
  </si>
  <si>
    <t>피나즈</t>
  </si>
  <si>
    <t>프로스테리드</t>
  </si>
  <si>
    <t>피로이드</t>
  </si>
  <si>
    <t>dutasteride,  tamsulosin hydrochloride</t>
  </si>
  <si>
    <t>듀오다트</t>
  </si>
  <si>
    <r>
      <rPr>
        <rFont val="Calibri"/>
        <color theme="1"/>
        <sz val="10.0"/>
      </rPr>
      <t>α</t>
    </r>
    <r>
      <rPr>
        <rFont val="Calibri"/>
        <color theme="1"/>
        <sz val="10.0"/>
      </rPr>
      <t>-blockers+</t>
    </r>
    <r>
      <rPr>
        <rFont val="맑은 고딕"/>
        <color theme="1"/>
        <sz val="10.0"/>
      </rPr>
      <t>5-ARI</t>
    </r>
  </si>
  <si>
    <t>dutasteride+tamsulosin</t>
  </si>
  <si>
    <t>serenoa repens lipidosterolic ext.</t>
  </si>
  <si>
    <t>쏘메토</t>
  </si>
  <si>
    <t>fesoterodine fumarate</t>
  </si>
  <si>
    <t>토비애즈</t>
  </si>
  <si>
    <t>Antimuscarinics</t>
  </si>
  <si>
    <t>fesoterodine</t>
  </si>
  <si>
    <t>Imidafenacin</t>
  </si>
  <si>
    <t>유리토스</t>
  </si>
  <si>
    <t>mirabegron</t>
  </si>
  <si>
    <t>라블론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</si>
  <si>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</si>
  <si>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지타미가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</si>
  <si>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</si>
  <si>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미라론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</si>
  <si>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</si>
  <si>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베타믹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</si>
  <si>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</si>
  <si>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베미그론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</si>
  <si>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</si>
  <si>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미라베가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</si>
  <si>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</si>
  <si>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베타유론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</si>
  <si>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</si>
  <si>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미라 엠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</si>
  <si>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</si>
  <si>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미라베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</si>
  <si>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</si>
  <si>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보령 미라베그론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</si>
  <si>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</si>
  <si>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뉴미가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</si>
  <si>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</si>
  <si>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베타미가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</si>
  <si>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</si>
  <si>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미가론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</si>
  <si>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</si>
  <si>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에이미가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</si>
  <si>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</si>
  <si>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하이베로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</si>
  <si>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</si>
  <si>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베타그론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</si>
  <si>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</si>
  <si>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셀레베타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</si>
  <si>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</si>
  <si>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미라큐론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</si>
  <si>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</si>
  <si>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미라벡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</si>
  <si>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</si>
  <si>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베미가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</si>
  <si>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</si>
  <si>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휴베그론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</si>
  <si>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</si>
  <si>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베타미라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</si>
  <si>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</si>
  <si>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타미가</t>
  </si>
  <si>
    <r>
      <rPr>
        <rFont val="Calibri"/>
        <color theme="1"/>
        <sz val="10.0"/>
      </rPr>
      <t>β</t>
    </r>
    <r>
      <rPr>
        <rFont val="Calibri"/>
        <color theme="1"/>
        <sz val="10.0"/>
      </rPr>
      <t xml:space="preserve">3 agonist </t>
    </r>
  </si>
  <si>
    <t>oxybutynin chloride</t>
  </si>
  <si>
    <t>동화 디트로판</t>
  </si>
  <si>
    <t xml:space="preserve">oxybutynin </t>
  </si>
  <si>
    <t>propiverine HCl</t>
  </si>
  <si>
    <t>대웅바이오 프로피베린</t>
  </si>
  <si>
    <t>propiverine</t>
  </si>
  <si>
    <t>베아베린</t>
  </si>
  <si>
    <t>프롭</t>
  </si>
  <si>
    <t>유로프로</t>
  </si>
  <si>
    <t>유베린</t>
  </si>
  <si>
    <t>유피베린</t>
  </si>
  <si>
    <t>유로나</t>
  </si>
  <si>
    <t>유로콘</t>
  </si>
  <si>
    <t>유로베린</t>
  </si>
  <si>
    <t>프로시톨</t>
  </si>
  <si>
    <t>유프베린</t>
  </si>
  <si>
    <t>프로베</t>
  </si>
  <si>
    <t>이연 프로피베린</t>
  </si>
  <si>
    <t>포베린</t>
  </si>
  <si>
    <t>유로픽스</t>
  </si>
  <si>
    <t>비유피-4</t>
  </si>
  <si>
    <t>프로빈</t>
  </si>
  <si>
    <t>글로베린</t>
  </si>
  <si>
    <t>비프로</t>
  </si>
  <si>
    <t>디트루베린</t>
  </si>
  <si>
    <t>휴피베린</t>
  </si>
  <si>
    <t>비유프로</t>
  </si>
  <si>
    <t>큐어베린</t>
  </si>
  <si>
    <t>solifenacin fumarate</t>
  </si>
  <si>
    <t>에이케어</t>
  </si>
  <si>
    <t>코아팜바이오</t>
  </si>
  <si>
    <t>solifenacin</t>
  </si>
  <si>
    <t>solifenacin succinate</t>
  </si>
  <si>
    <t>건일바이오팜 솔라신</t>
  </si>
  <si>
    <t>솔페신</t>
  </si>
  <si>
    <t>솔리스탑</t>
  </si>
  <si>
    <t>메디페나신</t>
  </si>
  <si>
    <t>넥스페나신</t>
  </si>
  <si>
    <t>올페나신</t>
  </si>
  <si>
    <t>베시솔</t>
  </si>
  <si>
    <t>솔리프로</t>
  </si>
  <si>
    <t>소울큐</t>
  </si>
  <si>
    <t>베시커버</t>
  </si>
  <si>
    <t>베시칼린</t>
  </si>
  <si>
    <t>유토케어</t>
  </si>
  <si>
    <t>솔베신</t>
  </si>
  <si>
    <t>솔리페노실</t>
  </si>
  <si>
    <t>유로테라</t>
  </si>
  <si>
    <t>솔리케어</t>
  </si>
  <si>
    <t>솔리콘</t>
  </si>
  <si>
    <t>베시 퀸</t>
  </si>
  <si>
    <t>솔레나신</t>
  </si>
  <si>
    <t>삼성 솔리페나신</t>
  </si>
  <si>
    <t>솔리테어</t>
  </si>
  <si>
    <t>셀페리나</t>
  </si>
  <si>
    <t>유로페나신</t>
  </si>
  <si>
    <t>씨엠케어</t>
  </si>
  <si>
    <t>베시케어</t>
  </si>
  <si>
    <t>솔신</t>
  </si>
  <si>
    <t>솔페락</t>
  </si>
  <si>
    <t>솔리시톨</t>
  </si>
  <si>
    <t>인페나신</t>
  </si>
  <si>
    <t>씨트케어</t>
  </si>
  <si>
    <t>베시스타</t>
  </si>
  <si>
    <t>메가 솔페나</t>
  </si>
  <si>
    <t>솔리페신</t>
  </si>
  <si>
    <t>솔리신</t>
  </si>
  <si>
    <t>유로케어</t>
  </si>
  <si>
    <t>요시케어</t>
  </si>
  <si>
    <t>솔토니신</t>
  </si>
  <si>
    <t>베시캄</t>
  </si>
  <si>
    <t>베시콜</t>
  </si>
  <si>
    <t>솔리나신</t>
  </si>
  <si>
    <t>유리페나</t>
  </si>
  <si>
    <t>오에이비</t>
  </si>
  <si>
    <t>솔페나신</t>
  </si>
  <si>
    <t>베시큐</t>
  </si>
  <si>
    <t>베시나</t>
  </si>
  <si>
    <t>솔베나</t>
  </si>
  <si>
    <t>웰유로</t>
  </si>
  <si>
    <t>큐어나신</t>
  </si>
  <si>
    <t>solifenacin tartate</t>
  </si>
  <si>
    <t>베시금</t>
  </si>
  <si>
    <t>tolterodine tartrate</t>
  </si>
  <si>
    <t>텔로딘</t>
  </si>
  <si>
    <t>tolterodine</t>
  </si>
  <si>
    <t>디트루시톨</t>
  </si>
  <si>
    <t>디트로딘</t>
  </si>
  <si>
    <t>유로큐</t>
  </si>
  <si>
    <t>trospium chloride</t>
  </si>
  <si>
    <t>스파스몰리트</t>
  </si>
  <si>
    <t>trospium</t>
  </si>
  <si>
    <r>
      <rPr>
        <rFont val="맑은 고딕"/>
        <b/>
        <color rgb="FF00B0F0"/>
        <sz val="14.0"/>
      </rPr>
      <t>뉴트로진</t>
    </r>
    <r>
      <rPr>
        <rFont val="Calibri"/>
        <b/>
        <color rgb="FF00B0F0"/>
        <sz val="14.0"/>
      </rPr>
      <t xml:space="preserve">, </t>
    </r>
    <r>
      <rPr>
        <rFont val="맑은 고딕"/>
        <b/>
        <color rgb="FF00B0F0"/>
        <sz val="14.0"/>
      </rPr>
      <t>모빌리아</t>
    </r>
    <r>
      <rPr>
        <rFont val="Calibri"/>
        <b/>
        <color rgb="FF00B0F0"/>
        <sz val="14.0"/>
      </rPr>
      <t xml:space="preserve"> </t>
    </r>
  </si>
  <si>
    <t>Generation</t>
  </si>
  <si>
    <t xml:space="preserve">TA </t>
  </si>
  <si>
    <t>Remark</t>
  </si>
  <si>
    <t>EFLAPEGRASTIM</t>
  </si>
  <si>
    <r>
      <rPr>
        <rFont val="맑은 고딕"/>
        <color theme="1"/>
        <sz val="10.0"/>
      </rPr>
      <t>한미약품</t>
    </r>
  </si>
  <si>
    <r>
      <rPr>
        <rFont val="맑은 고딕"/>
        <color theme="1"/>
        <sz val="10.0"/>
      </rPr>
      <t>롤론티스</t>
    </r>
  </si>
  <si>
    <t xml:space="preserve">G-CSF </t>
  </si>
  <si>
    <r>
      <rPr>
        <rFont val="Calibri"/>
        <color theme="1"/>
        <sz val="11.0"/>
      </rPr>
      <t>2</t>
    </r>
    <r>
      <rPr>
        <rFont val="맑은 고딕"/>
        <color theme="1"/>
        <sz val="11.0"/>
      </rPr>
      <t>세대</t>
    </r>
    <r>
      <rPr>
        <rFont val="Calibri"/>
        <color theme="1"/>
        <sz val="11.0"/>
      </rPr>
      <t xml:space="preserve"> </t>
    </r>
  </si>
  <si>
    <t xml:space="preserve">Neutropenia, Mobilization </t>
  </si>
  <si>
    <t>FILGRASTIM</t>
  </si>
  <si>
    <r>
      <rPr>
        <rFont val="맑은 고딕"/>
        <color theme="1"/>
        <sz val="10.0"/>
      </rPr>
      <t>동아에스티</t>
    </r>
  </si>
  <si>
    <r>
      <rPr>
        <rFont val="맑은 고딕"/>
        <color theme="1"/>
        <sz val="10.0"/>
      </rPr>
      <t>류코스팀</t>
    </r>
  </si>
  <si>
    <r>
      <rPr>
        <rFont val="Calibri"/>
        <color theme="1"/>
        <sz val="11.0"/>
      </rPr>
      <t>1</t>
    </r>
    <r>
      <rPr>
        <rFont val="맑은 고딕"/>
        <color theme="1"/>
        <sz val="11.0"/>
      </rPr>
      <t>세대</t>
    </r>
    <r>
      <rPr>
        <rFont val="Calibri"/>
        <color theme="1"/>
        <sz val="11.0"/>
      </rPr>
      <t xml:space="preserve"> </t>
    </r>
  </si>
  <si>
    <r>
      <rPr>
        <rFont val="맑은 고딕"/>
        <color theme="1"/>
        <sz val="10.0"/>
      </rPr>
      <t>한국쿄와하코기린</t>
    </r>
  </si>
  <si>
    <r>
      <rPr>
        <rFont val="맑은 고딕"/>
        <color theme="1"/>
        <sz val="10.0"/>
      </rPr>
      <t>그라신</t>
    </r>
  </si>
  <si>
    <r>
      <rPr>
        <rFont val="Calibri"/>
        <color theme="1"/>
        <sz val="11.0"/>
      </rPr>
      <t>1</t>
    </r>
    <r>
      <rPr>
        <rFont val="맑은 고딕"/>
        <color theme="1"/>
        <sz val="11.0"/>
      </rPr>
      <t>세대</t>
    </r>
    <r>
      <rPr>
        <rFont val="Calibri"/>
        <color theme="1"/>
        <sz val="11.0"/>
      </rPr>
      <t xml:space="preserve"> </t>
    </r>
  </si>
  <si>
    <t>LENOGRASTIM</t>
  </si>
  <si>
    <r>
      <rPr>
        <rFont val="맑은 고딕"/>
        <color theme="1"/>
        <sz val="10.0"/>
      </rPr>
      <t>제이더블유중외제약</t>
    </r>
  </si>
  <si>
    <r>
      <rPr>
        <rFont val="맑은 고딕"/>
        <color theme="1"/>
        <sz val="10.0"/>
      </rPr>
      <t>뉴트로진</t>
    </r>
  </si>
  <si>
    <r>
      <rPr>
        <rFont val="Calibri"/>
        <color theme="1"/>
        <sz val="11.0"/>
      </rPr>
      <t>1</t>
    </r>
    <r>
      <rPr>
        <rFont val="맑은 고딕"/>
        <color theme="1"/>
        <sz val="11.0"/>
      </rPr>
      <t>세대</t>
    </r>
    <r>
      <rPr>
        <rFont val="Calibri"/>
        <color theme="1"/>
        <sz val="11.0"/>
      </rPr>
      <t xml:space="preserve"> </t>
    </r>
  </si>
  <si>
    <t>LIPEGFILGRASTIM</t>
  </si>
  <si>
    <r>
      <rPr>
        <rFont val="맑은 고딕"/>
        <color theme="1"/>
        <sz val="10.0"/>
      </rPr>
      <t>한독테바</t>
    </r>
  </si>
  <si>
    <r>
      <rPr>
        <rFont val="맑은 고딕"/>
        <color theme="1"/>
        <sz val="10.0"/>
      </rPr>
      <t>롱퀵스</t>
    </r>
  </si>
  <si>
    <r>
      <rPr>
        <rFont val="Calibri"/>
        <color theme="1"/>
        <sz val="11.0"/>
      </rPr>
      <t>2</t>
    </r>
    <r>
      <rPr>
        <rFont val="맑은 고딕"/>
        <color theme="1"/>
        <sz val="11.0"/>
      </rPr>
      <t>세대</t>
    </r>
    <r>
      <rPr>
        <rFont val="Calibri"/>
        <color theme="1"/>
        <sz val="11.0"/>
      </rPr>
      <t xml:space="preserve"> </t>
    </r>
  </si>
  <si>
    <t>PEGFILGRASTIM</t>
  </si>
  <si>
    <r>
      <rPr>
        <rFont val="맑은 고딕"/>
        <color theme="1"/>
        <sz val="10.0"/>
      </rPr>
      <t>동아에스티</t>
    </r>
  </si>
  <si>
    <r>
      <rPr>
        <rFont val="맑은 고딕"/>
        <color theme="1"/>
        <sz val="10.0"/>
      </rPr>
      <t>듀라스틴</t>
    </r>
  </si>
  <si>
    <r>
      <rPr>
        <rFont val="Calibri"/>
        <color theme="1"/>
        <sz val="11.0"/>
      </rPr>
      <t>2</t>
    </r>
    <r>
      <rPr>
        <rFont val="맑은 고딕"/>
        <color theme="1"/>
        <sz val="11.0"/>
      </rPr>
      <t>세대</t>
    </r>
    <r>
      <rPr>
        <rFont val="Calibri"/>
        <color theme="1"/>
        <sz val="11.0"/>
      </rPr>
      <t xml:space="preserve"> </t>
    </r>
  </si>
  <si>
    <t>Tripegfilgrastim</t>
  </si>
  <si>
    <r>
      <rPr>
        <rFont val="맑은 고딕"/>
        <color theme="1"/>
        <sz val="10.0"/>
      </rPr>
      <t>한국쿄와하코기린</t>
    </r>
  </si>
  <si>
    <r>
      <rPr>
        <rFont val="맑은 고딕"/>
        <color theme="1"/>
        <sz val="10.0"/>
      </rPr>
      <t>뉴라스타</t>
    </r>
  </si>
  <si>
    <r>
      <rPr>
        <rFont val="Calibri"/>
        <color theme="1"/>
        <sz val="11.0"/>
      </rPr>
      <t>2</t>
    </r>
    <r>
      <rPr>
        <rFont val="맑은 고딕"/>
        <color theme="1"/>
        <sz val="11.0"/>
      </rPr>
      <t>세대</t>
    </r>
    <r>
      <rPr>
        <rFont val="Calibri"/>
        <color theme="1"/>
        <sz val="11.0"/>
      </rPr>
      <t xml:space="preserve"> </t>
    </r>
  </si>
  <si>
    <t>PEGTEOGRASTIM</t>
  </si>
  <si>
    <r>
      <rPr>
        <rFont val="맑은 고딕"/>
        <color theme="1"/>
        <sz val="10.0"/>
      </rPr>
      <t>지씨녹십자</t>
    </r>
  </si>
  <si>
    <r>
      <rPr>
        <rFont val="맑은 고딕"/>
        <color theme="1"/>
        <sz val="10.0"/>
      </rPr>
      <t>뉴라펙</t>
    </r>
  </si>
  <si>
    <r>
      <rPr>
        <rFont val="Calibri"/>
        <color theme="1"/>
        <sz val="11.0"/>
      </rPr>
      <t>2</t>
    </r>
    <r>
      <rPr>
        <rFont val="맑은 고딕"/>
        <color theme="1"/>
        <sz val="11.0"/>
      </rPr>
      <t>세대</t>
    </r>
    <r>
      <rPr>
        <rFont val="Calibri"/>
        <color theme="1"/>
        <sz val="11.0"/>
      </rPr>
      <t xml:space="preserve"> </t>
    </r>
  </si>
  <si>
    <t>PLERIXAFOR</t>
  </si>
  <si>
    <r>
      <rPr>
        <rFont val="맑은 고딕"/>
        <color theme="1"/>
        <sz val="10.0"/>
      </rPr>
      <t>사노피아벤티스</t>
    </r>
  </si>
  <si>
    <r>
      <rPr>
        <rFont val="맑은 고딕"/>
        <color theme="1"/>
        <sz val="10.0"/>
      </rPr>
      <t>모조빌</t>
    </r>
  </si>
  <si>
    <t>Selective CXCR4 antagonist</t>
  </si>
  <si>
    <t xml:space="preserve">Mobilization </t>
  </si>
  <si>
    <r>
      <rPr>
        <rFont val="맑은 고딕"/>
        <color theme="1"/>
        <sz val="10.0"/>
      </rPr>
      <t>제이더블유중외제약</t>
    </r>
  </si>
  <si>
    <r>
      <rPr>
        <rFont val="맑은 고딕"/>
        <color theme="1"/>
        <sz val="10.0"/>
      </rPr>
      <t>모빌리아</t>
    </r>
  </si>
  <si>
    <t xml:space="preserve">악템라 </t>
  </si>
  <si>
    <t>Class Recode 1</t>
  </si>
  <si>
    <t>Class Recode 2</t>
  </si>
  <si>
    <t>Ox/Gx(바이오시밀러)</t>
  </si>
  <si>
    <t>L04B0</t>
  </si>
  <si>
    <t>ANTI-TNF PRODUCTS</t>
  </si>
  <si>
    <t>ADALIMUMAB</t>
  </si>
  <si>
    <t>휴미라</t>
  </si>
  <si>
    <t>한국애브비</t>
  </si>
  <si>
    <t xml:space="preserve">Biologics </t>
  </si>
  <si>
    <t xml:space="preserve">TNF-a </t>
  </si>
  <si>
    <t>Ox</t>
  </si>
  <si>
    <t>아달로체</t>
  </si>
  <si>
    <t>삼성바이오에피스</t>
  </si>
  <si>
    <t xml:space="preserve">Biosimilar </t>
  </si>
  <si>
    <t>유플라이마</t>
  </si>
  <si>
    <t>젤렌카</t>
  </si>
  <si>
    <t>엘지화학</t>
  </si>
  <si>
    <t>ETANERCEPT</t>
  </si>
  <si>
    <t>엔브렐마이클릭</t>
  </si>
  <si>
    <t>한국화이자제약</t>
  </si>
  <si>
    <t xml:space="preserve">*엔브렐 하나의 브랜드로 </t>
  </si>
  <si>
    <t>엔브렐</t>
  </si>
  <si>
    <t>유셉트</t>
  </si>
  <si>
    <t>에톨로체</t>
  </si>
  <si>
    <t>GOLIMUMAB</t>
  </si>
  <si>
    <t>심퍼니</t>
  </si>
  <si>
    <t>한국얀센</t>
  </si>
  <si>
    <t>INFLIXIMAB</t>
  </si>
  <si>
    <t>레미케이드</t>
  </si>
  <si>
    <t>램시마</t>
  </si>
  <si>
    <t>레마로체</t>
  </si>
  <si>
    <t>L04D0</t>
  </si>
  <si>
    <t>JAK INHIBITORS</t>
  </si>
  <si>
    <t>BARICITINIB</t>
  </si>
  <si>
    <t>올루미언트</t>
  </si>
  <si>
    <t>한국릴리</t>
  </si>
  <si>
    <t>JAKi</t>
  </si>
  <si>
    <t>FILGOTINIB</t>
  </si>
  <si>
    <t>지셀레카</t>
  </si>
  <si>
    <t>한국에자이</t>
  </si>
  <si>
    <t>UPADACITINIB</t>
  </si>
  <si>
    <t>린버크</t>
  </si>
  <si>
    <t>L01G1</t>
  </si>
  <si>
    <t>MAB A-NEOPLASTIC CD20</t>
  </si>
  <si>
    <t>RITUXIMAB</t>
  </si>
  <si>
    <t>맙테라</t>
  </si>
  <si>
    <t>한국로슈</t>
  </si>
  <si>
    <t>CD20</t>
  </si>
  <si>
    <t>트룩시마</t>
  </si>
  <si>
    <t>ABATACEPT</t>
  </si>
  <si>
    <t>오렌시아</t>
  </si>
  <si>
    <t>한국비엠에스제약</t>
  </si>
  <si>
    <t>T-cell</t>
  </si>
  <si>
    <t xml:space="preserve">*오렌시아 하나의 브랜드로 </t>
  </si>
  <si>
    <t>오렌시아서브큐</t>
  </si>
  <si>
    <t>TOCILIZUMAB</t>
  </si>
  <si>
    <t>IL-6</t>
  </si>
  <si>
    <t>앱토즈마</t>
  </si>
  <si>
    <t>TOFACITINIB</t>
  </si>
  <si>
    <t>젤잔즈</t>
  </si>
  <si>
    <t xml:space="preserve">*젤잔즈 하나의 브랜드로 </t>
  </si>
  <si>
    <t>젤잔즈엑스알</t>
  </si>
  <si>
    <t>토마토</t>
  </si>
  <si>
    <t>한국피엠지제약</t>
  </si>
  <si>
    <t>Gx</t>
  </si>
  <si>
    <t>토파시티닙 에이치엘비</t>
  </si>
  <si>
    <t>자크문</t>
  </si>
  <si>
    <r>
      <rPr>
        <rFont val="맑은 고딕"/>
        <b/>
        <color rgb="FF00B0F0"/>
        <sz val="14.0"/>
      </rPr>
      <t>페린젝트</t>
    </r>
    <r>
      <rPr>
        <rFont val="Calibri"/>
        <b/>
        <color rgb="FF00B0F0"/>
        <sz val="14.0"/>
      </rPr>
      <t xml:space="preserve">, </t>
    </r>
    <r>
      <rPr>
        <rFont val="맑은 고딕"/>
        <b/>
        <color rgb="FF00B0F0"/>
        <sz val="14.0"/>
      </rPr>
      <t>베노훼럼</t>
    </r>
    <r>
      <rPr>
        <rFont val="Calibri"/>
        <b/>
        <color rgb="FF00B0F0"/>
        <sz val="14.0"/>
      </rPr>
      <t xml:space="preserve"> </t>
    </r>
  </si>
  <si>
    <t>Dosage Form</t>
  </si>
  <si>
    <r>
      <rPr>
        <rFont val="Calibri"/>
        <color theme="1"/>
        <sz val="11.0"/>
      </rPr>
      <t xml:space="preserve">1ml </t>
    </r>
    <r>
      <rPr>
        <rFont val="Arial Unicode MS"/>
        <color theme="1"/>
        <sz val="11.0"/>
      </rPr>
      <t xml:space="preserve">당 </t>
    </r>
    <r>
      <rPr>
        <rFont val="Calibri"/>
        <color theme="1"/>
        <sz val="11.0"/>
      </rPr>
      <t xml:space="preserve">Fe </t>
    </r>
    <r>
      <rPr>
        <rFont val="돋움"/>
        <color theme="1"/>
        <sz val="11.0"/>
      </rPr>
      <t>함량</t>
    </r>
    <r>
      <rPr>
        <rFont val="Calibri"/>
        <color theme="1"/>
        <sz val="11.0"/>
      </rPr>
      <t xml:space="preserve"> (mg/ml as iron)</t>
    </r>
  </si>
  <si>
    <t>STRENGTH</t>
  </si>
  <si>
    <t>성분 Recording</t>
  </si>
  <si>
    <t>경구/주사 Recording</t>
  </si>
  <si>
    <t xml:space="preserve">Fe 함량 (mg/ml as iron) </t>
  </si>
  <si>
    <t>IRON FERRIC</t>
  </si>
  <si>
    <r>
      <rPr>
        <rFont val="맑은 고딕"/>
        <color theme="1"/>
        <sz val="11.0"/>
      </rPr>
      <t>동국제약</t>
    </r>
  </si>
  <si>
    <r>
      <rPr>
        <rFont val="맑은 고딕"/>
        <color theme="1"/>
        <sz val="11.0"/>
      </rPr>
      <t>베노스틴</t>
    </r>
  </si>
  <si>
    <t>A.IV 540MG/ML 5ML</t>
  </si>
  <si>
    <t xml:space="preserve">IV Iron </t>
  </si>
  <si>
    <t xml:space="preserve">Iron scurose </t>
  </si>
  <si>
    <t>베노스틴</t>
  </si>
  <si>
    <t>540MG</t>
  </si>
  <si>
    <t>주사철분제</t>
  </si>
  <si>
    <r>
      <rPr>
        <rFont val="맑은 고딕"/>
        <color theme="1"/>
        <sz val="11.0"/>
      </rPr>
      <t>마더스제약</t>
    </r>
  </si>
  <si>
    <r>
      <rPr>
        <rFont val="맑은 고딕"/>
        <color theme="1"/>
        <sz val="11.0"/>
      </rPr>
      <t>훼렉스</t>
    </r>
  </si>
  <si>
    <t>A.IV 5400MG 10ML 5</t>
  </si>
  <si>
    <r>
      <rPr>
        <rFont val="맑은 고딕"/>
        <color theme="1"/>
        <sz val="11.0"/>
      </rPr>
      <t>명문제약</t>
    </r>
  </si>
  <si>
    <r>
      <rPr>
        <rFont val="맑은 고딕"/>
        <color theme="1"/>
        <sz val="11.0"/>
      </rPr>
      <t>훼모럼</t>
    </r>
  </si>
  <si>
    <t>A.IV 540MG/ML 5ML 5</t>
  </si>
  <si>
    <t>아네럼</t>
  </si>
  <si>
    <t>100MG</t>
  </si>
  <si>
    <r>
      <rPr>
        <rFont val="맑은 고딕"/>
        <b/>
        <color theme="1"/>
        <sz val="11.0"/>
      </rPr>
      <t>제이더블유중외제약</t>
    </r>
  </si>
  <si>
    <r>
      <rPr>
        <rFont val="맑은 고딕"/>
        <b/>
        <color theme="1"/>
        <sz val="11.0"/>
      </rPr>
      <t>페린젝트</t>
    </r>
  </si>
  <si>
    <t>V.IV 50MG/ML 10ML</t>
  </si>
  <si>
    <t>Ferric carboxymaltose</t>
  </si>
  <si>
    <t>훼렉스</t>
  </si>
  <si>
    <t>5400MG</t>
  </si>
  <si>
    <r>
      <rPr>
        <rFont val="맑은 고딕"/>
        <b/>
        <color theme="1"/>
        <sz val="11.0"/>
      </rPr>
      <t>제이더블유중외제약</t>
    </r>
  </si>
  <si>
    <r>
      <rPr>
        <rFont val="맑은 고딕"/>
        <b/>
        <color theme="1"/>
        <sz val="11.0"/>
      </rPr>
      <t>페린젝트</t>
    </r>
  </si>
  <si>
    <t>V.IV 50MG/ML 20ML</t>
  </si>
  <si>
    <t>훼모럼</t>
  </si>
  <si>
    <r>
      <rPr>
        <rFont val="맑은 고딕"/>
        <b/>
        <color theme="1"/>
        <sz val="11.0"/>
      </rPr>
      <t>제이더블유중외제약</t>
    </r>
  </si>
  <si>
    <r>
      <rPr>
        <rFont val="맑은 고딕"/>
        <b/>
        <color theme="1"/>
        <sz val="11.0"/>
      </rPr>
      <t>페린젝트</t>
    </r>
  </si>
  <si>
    <t>V.IV 50MG/ML 2ML</t>
  </si>
  <si>
    <t>모노퍼</t>
  </si>
  <si>
    <t>417MG</t>
  </si>
  <si>
    <t>Iron isomaltoside</t>
  </si>
  <si>
    <r>
      <rPr>
        <rFont val="맑은 고딕"/>
        <b/>
        <color theme="1"/>
        <sz val="11.0"/>
      </rPr>
      <t>제이더블유중외제약</t>
    </r>
  </si>
  <si>
    <r>
      <rPr>
        <rFont val="맑은 고딕"/>
        <b/>
        <color theme="1"/>
        <sz val="11.0"/>
      </rPr>
      <t>베노훼럼</t>
    </r>
  </si>
  <si>
    <t>50MG</t>
  </si>
  <si>
    <r>
      <rPr>
        <rFont val="맑은 고딕"/>
        <color theme="1"/>
        <sz val="11.0"/>
      </rPr>
      <t>한국비엠아이</t>
    </r>
  </si>
  <si>
    <r>
      <rPr>
        <rFont val="맑은 고딕"/>
        <color theme="1"/>
        <sz val="11.0"/>
      </rPr>
      <t>아네럼</t>
    </r>
  </si>
  <si>
    <t>A.IV 100MG 5ML 5</t>
  </si>
  <si>
    <t>훼로웰</t>
  </si>
  <si>
    <r>
      <rPr>
        <rFont val="맑은 고딕"/>
        <color theme="1"/>
        <sz val="11.0"/>
      </rPr>
      <t>국제약품</t>
    </r>
  </si>
  <si>
    <r>
      <rPr>
        <rFont val="맑은 고딕"/>
        <color theme="1"/>
        <sz val="11.0"/>
      </rPr>
      <t>페로빈</t>
    </r>
  </si>
  <si>
    <t>200MG</t>
  </si>
  <si>
    <r>
      <rPr>
        <rFont val="맑은 고딕"/>
        <color theme="1"/>
        <sz val="11.0"/>
      </rPr>
      <t>동국제약</t>
    </r>
  </si>
  <si>
    <r>
      <rPr>
        <rFont val="맑은 고딕"/>
        <color theme="1"/>
        <sz val="11.0"/>
      </rPr>
      <t>베노스틴</t>
    </r>
  </si>
  <si>
    <t>A.IV 540MG/ML 10ML</t>
  </si>
  <si>
    <t>트리페릭</t>
  </si>
  <si>
    <t>6.75MG</t>
  </si>
  <si>
    <t xml:space="preserve">Ferric Pyrophosphate </t>
  </si>
  <si>
    <r>
      <rPr>
        <rFont val="맑은 고딕"/>
        <color theme="1"/>
        <sz val="11.0"/>
      </rPr>
      <t>마더스제약</t>
    </r>
  </si>
  <si>
    <r>
      <rPr>
        <rFont val="맑은 고딕"/>
        <color theme="1"/>
        <sz val="11.0"/>
      </rPr>
      <t>훼렉스</t>
    </r>
  </si>
  <si>
    <t>A.IV 2700MG 5ML 5</t>
  </si>
  <si>
    <t>페로빈</t>
  </si>
  <si>
    <r>
      <rPr>
        <rFont val="맑은 고딕"/>
        <color theme="1"/>
        <sz val="11.0"/>
      </rPr>
      <t>제일약품</t>
    </r>
  </si>
  <si>
    <r>
      <rPr>
        <rFont val="맑은 고딕"/>
        <color theme="1"/>
        <sz val="11.0"/>
      </rPr>
      <t>트리페릭</t>
    </r>
  </si>
  <si>
    <t>A.IV 6.75MG 4.5ML</t>
  </si>
  <si>
    <t>2700MG</t>
  </si>
  <si>
    <r>
      <rPr>
        <rFont val="맑은 고딕"/>
        <color theme="1"/>
        <sz val="11.0"/>
      </rPr>
      <t>한국팜비오</t>
    </r>
  </si>
  <si>
    <r>
      <rPr>
        <rFont val="맑은 고딕"/>
        <color theme="1"/>
        <sz val="11.0"/>
      </rPr>
      <t>모노퍼</t>
    </r>
  </si>
  <si>
    <t>A.IV 417MG/ML 2ML</t>
  </si>
  <si>
    <t>볼그레</t>
  </si>
  <si>
    <t>40MG</t>
  </si>
  <si>
    <t>IRON ACETYL TRANSFERRIN</t>
  </si>
  <si>
    <t>3가철</t>
  </si>
  <si>
    <t xml:space="preserve">경구철분제 </t>
  </si>
  <si>
    <r>
      <rPr>
        <rFont val="Calibri"/>
        <color theme="1"/>
        <sz val="11.0"/>
      </rPr>
      <t>*Oral 1/2</t>
    </r>
    <r>
      <rPr>
        <rFont val="Arial Unicode MS"/>
        <color theme="1"/>
        <sz val="11.0"/>
      </rPr>
      <t xml:space="preserve">위 품목 </t>
    </r>
  </si>
  <si>
    <r>
      <rPr>
        <rFont val="맑은 고딕"/>
        <color theme="1"/>
        <sz val="11.0"/>
      </rPr>
      <t>한국팜비오</t>
    </r>
  </si>
  <si>
    <r>
      <rPr>
        <rFont val="맑은 고딕"/>
        <color theme="1"/>
        <sz val="11.0"/>
      </rPr>
      <t>모노퍼</t>
    </r>
  </si>
  <si>
    <t>A.IV 417MG/ML 5ML</t>
  </si>
  <si>
    <t>훼로바유</t>
  </si>
  <si>
    <t>256MG</t>
  </si>
  <si>
    <t>IRON FERROUS</t>
  </si>
  <si>
    <t xml:space="preserve">2가철 </t>
  </si>
  <si>
    <r>
      <rPr>
        <rFont val="Calibri"/>
        <color theme="1"/>
        <sz val="11.0"/>
      </rPr>
      <t>*Oral 1/2</t>
    </r>
    <r>
      <rPr>
        <rFont val="Arial Unicode MS"/>
        <color theme="1"/>
        <sz val="11.0"/>
      </rPr>
      <t xml:space="preserve">위 품목 </t>
    </r>
  </si>
  <si>
    <r>
      <rPr>
        <rFont val="맑은 고딕"/>
        <color theme="1"/>
        <sz val="11.0"/>
      </rPr>
      <t>한화제약</t>
    </r>
  </si>
  <si>
    <r>
      <rPr>
        <rFont val="맑은 고딕"/>
        <color theme="1"/>
        <sz val="11.0"/>
      </rPr>
      <t>훼로웰</t>
    </r>
  </si>
  <si>
    <r>
      <rPr>
        <rFont val="맑은 고딕"/>
        <color theme="1"/>
        <sz val="11.0"/>
      </rPr>
      <t>한화제약</t>
    </r>
  </si>
  <si>
    <r>
      <rPr>
        <rFont val="맑은 고딕"/>
        <color theme="1"/>
        <sz val="11.0"/>
      </rPr>
      <t>훼로웰</t>
    </r>
  </si>
  <si>
    <t>A.IV 200MG 10ML 5</t>
  </si>
  <si>
    <t>FERRITIN</t>
  </si>
  <si>
    <r>
      <rPr>
        <rFont val="맑은 고딕"/>
        <color theme="1"/>
        <sz val="11.0"/>
      </rPr>
      <t>보령</t>
    </r>
  </si>
  <si>
    <r>
      <rPr>
        <rFont val="맑은 고딕"/>
        <color theme="1"/>
        <sz val="11.0"/>
      </rPr>
      <t>훼로모아</t>
    </r>
  </si>
  <si>
    <t>VIAL ORAL 0.4% 10ML 30</t>
  </si>
  <si>
    <r>
      <rPr>
        <rFont val="맑은 고딕"/>
        <color theme="1"/>
        <sz val="11.0"/>
      </rPr>
      <t>조아제약</t>
    </r>
  </si>
  <si>
    <r>
      <rPr>
        <rFont val="맑은 고딕"/>
        <color theme="1"/>
        <sz val="11.0"/>
      </rPr>
      <t>훼마틴에이</t>
    </r>
  </si>
  <si>
    <t>AMP ORAL 40MG 10ML</t>
  </si>
  <si>
    <r>
      <rPr>
        <rFont val="맑은 고딕"/>
        <color theme="1"/>
        <sz val="11.0"/>
      </rPr>
      <t>조아제약</t>
    </r>
  </si>
  <si>
    <r>
      <rPr>
        <rFont val="맑은 고딕"/>
        <color theme="1"/>
        <sz val="11.0"/>
      </rPr>
      <t>훼마틴에이</t>
    </r>
  </si>
  <si>
    <t>AMP ORAL 40MG 10ML 30</t>
  </si>
  <si>
    <r>
      <rPr>
        <rFont val="맑은 고딕"/>
        <color theme="1"/>
        <sz val="11.0"/>
      </rPr>
      <t>조아제약</t>
    </r>
  </si>
  <si>
    <r>
      <rPr>
        <rFont val="맑은 고딕"/>
        <color theme="1"/>
        <sz val="11.0"/>
      </rPr>
      <t>훼마틴에이</t>
    </r>
  </si>
  <si>
    <t>SYR SACHET 40MG 10ML 30</t>
  </si>
  <si>
    <r>
      <rPr>
        <rFont val="맑은 고딕"/>
        <color theme="1"/>
        <sz val="11.0"/>
      </rPr>
      <t>종근당</t>
    </r>
  </si>
  <si>
    <r>
      <rPr>
        <rFont val="맑은 고딕"/>
        <color theme="1"/>
        <sz val="11.0"/>
      </rPr>
      <t>볼그레</t>
    </r>
  </si>
  <si>
    <t>CAPS 200MG 30</t>
  </si>
  <si>
    <r>
      <rPr>
        <rFont val="맑은 고딕"/>
        <color theme="1"/>
        <sz val="11.0"/>
      </rPr>
      <t>종근당</t>
    </r>
  </si>
  <si>
    <r>
      <rPr>
        <rFont val="맑은 고딕"/>
        <color theme="1"/>
        <sz val="11.0"/>
      </rPr>
      <t>볼그레</t>
    </r>
  </si>
  <si>
    <t>CAPS 200MG 60</t>
  </si>
  <si>
    <r>
      <rPr>
        <rFont val="맑은 고딕"/>
        <color theme="1"/>
        <sz val="11.0"/>
      </rPr>
      <t>종근당</t>
    </r>
  </si>
  <si>
    <r>
      <rPr>
        <rFont val="맑은 고딕"/>
        <color theme="1"/>
        <sz val="11.0"/>
      </rPr>
      <t>볼그레</t>
    </r>
  </si>
  <si>
    <t>LIQ SACHET 40MG 10ML 30</t>
  </si>
  <si>
    <r>
      <rPr>
        <rFont val="맑은 고딕"/>
        <color theme="1"/>
        <sz val="11.0"/>
      </rPr>
      <t>한림제약</t>
    </r>
  </si>
  <si>
    <r>
      <rPr>
        <rFont val="맑은 고딕"/>
        <color theme="1"/>
        <sz val="11.0"/>
      </rPr>
      <t>알부맥스</t>
    </r>
  </si>
  <si>
    <r>
      <rPr>
        <rFont val="맑은 고딕"/>
        <color theme="1"/>
        <sz val="11.0"/>
      </rPr>
      <t>한림제약</t>
    </r>
  </si>
  <si>
    <r>
      <rPr>
        <rFont val="맑은 고딕"/>
        <color theme="1"/>
        <sz val="11.0"/>
      </rPr>
      <t>알부맥스</t>
    </r>
  </si>
  <si>
    <r>
      <rPr>
        <rFont val="맑은 고딕"/>
        <color theme="1"/>
        <sz val="11.0"/>
      </rPr>
      <t>동구바이오</t>
    </r>
  </si>
  <si>
    <r>
      <rPr>
        <rFont val="맑은 고딕"/>
        <color theme="1"/>
        <sz val="11.0"/>
      </rPr>
      <t>헤모니아</t>
    </r>
  </si>
  <si>
    <t>CAPS 326MG 30</t>
  </si>
  <si>
    <r>
      <rPr>
        <rFont val="맑은 고딕"/>
        <color theme="1"/>
        <sz val="11.0"/>
      </rPr>
      <t>동구바이오</t>
    </r>
  </si>
  <si>
    <r>
      <rPr>
        <rFont val="맑은 고딕"/>
        <color theme="1"/>
        <sz val="11.0"/>
      </rPr>
      <t>헤모니아</t>
    </r>
  </si>
  <si>
    <t>CAPS 326MG 500</t>
  </si>
  <si>
    <r>
      <rPr>
        <rFont val="맑은 고딕"/>
        <color theme="1"/>
        <sz val="11.0"/>
      </rPr>
      <t>시어스제약</t>
    </r>
  </si>
  <si>
    <r>
      <rPr>
        <rFont val="맑은 고딕"/>
        <color theme="1"/>
        <sz val="11.0"/>
      </rPr>
      <t>헤모데이</t>
    </r>
  </si>
  <si>
    <r>
      <rPr>
        <rFont val="맑은 고딕"/>
        <color theme="1"/>
        <sz val="11.0"/>
      </rPr>
      <t>일동제약</t>
    </r>
  </si>
  <si>
    <r>
      <rPr>
        <rFont val="맑은 고딕"/>
        <color theme="1"/>
        <sz val="11.0"/>
      </rPr>
      <t>훼리탑</t>
    </r>
  </si>
  <si>
    <t>CAPS 178MG 30</t>
  </si>
  <si>
    <r>
      <rPr>
        <rFont val="맑은 고딕"/>
        <color theme="1"/>
        <sz val="11.0"/>
      </rPr>
      <t>한미약품</t>
    </r>
  </si>
  <si>
    <r>
      <rPr>
        <rFont val="맑은 고딕"/>
        <color theme="1"/>
        <sz val="11.0"/>
      </rPr>
      <t>훼로맥스</t>
    </r>
  </si>
  <si>
    <t>LIQ SACHET 357MG 5ML 30</t>
  </si>
  <si>
    <r>
      <rPr>
        <rFont val="맑은 고딕"/>
        <color theme="1"/>
        <sz val="11.0"/>
      </rPr>
      <t>동구바이오</t>
    </r>
  </si>
  <si>
    <r>
      <rPr>
        <rFont val="맑은 고딕"/>
        <color theme="1"/>
        <sz val="11.0"/>
      </rPr>
      <t>헤모니아에프</t>
    </r>
  </si>
  <si>
    <t>VIAL ORAL 217MG 5ML 60</t>
  </si>
  <si>
    <r>
      <rPr>
        <rFont val="맑은 고딕"/>
        <color theme="1"/>
        <sz val="11.0"/>
      </rPr>
      <t>유한양행</t>
    </r>
  </si>
  <si>
    <r>
      <rPr>
        <rFont val="맑은 고딕"/>
        <color theme="1"/>
        <sz val="11.0"/>
      </rPr>
      <t>모아훼린</t>
    </r>
  </si>
  <si>
    <t>CAPS 326MG 100</t>
  </si>
  <si>
    <r>
      <rPr>
        <rFont val="맑은 고딕"/>
        <color theme="1"/>
        <sz val="11.0"/>
      </rPr>
      <t>일양약품</t>
    </r>
  </si>
  <si>
    <r>
      <rPr>
        <rFont val="맑은 고딕"/>
        <color theme="1"/>
        <sz val="11.0"/>
      </rPr>
      <t>헤모콤</t>
    </r>
  </si>
  <si>
    <t>LIQ ORAL 357MG 15ML 30</t>
  </si>
  <si>
    <r>
      <rPr>
        <rFont val="맑은 고딕"/>
        <color theme="1"/>
        <sz val="11.0"/>
      </rPr>
      <t>제이더블유중외제약</t>
    </r>
  </si>
  <si>
    <r>
      <rPr>
        <rFont val="맑은 고딕"/>
        <color theme="1"/>
        <sz val="11.0"/>
      </rPr>
      <t>훼럼키드</t>
    </r>
  </si>
  <si>
    <t>LIQ ORAL 45ML</t>
  </si>
  <si>
    <r>
      <rPr>
        <rFont val="맑은 고딕"/>
        <color theme="1"/>
        <sz val="11.0"/>
      </rPr>
      <t>제이더블유중외제약</t>
    </r>
  </si>
  <si>
    <r>
      <rPr>
        <rFont val="맑은 고딕"/>
        <color theme="1"/>
        <sz val="11.0"/>
      </rPr>
      <t>훼럼키드</t>
    </r>
  </si>
  <si>
    <t>LIQ ORAL 60ML</t>
  </si>
  <si>
    <r>
      <rPr>
        <rFont val="맑은 고딕"/>
        <color theme="1"/>
        <sz val="11.0"/>
      </rPr>
      <t>한림제약</t>
    </r>
  </si>
  <si>
    <r>
      <rPr>
        <rFont val="맑은 고딕"/>
        <color theme="1"/>
        <sz val="11.0"/>
      </rPr>
      <t>알부론</t>
    </r>
  </si>
  <si>
    <t>LIQ ORAL 357MG 5ML 60</t>
  </si>
  <si>
    <r>
      <rPr>
        <rFont val="맑은 고딕"/>
        <color theme="1"/>
        <sz val="11.0"/>
      </rPr>
      <t>한미약품</t>
    </r>
  </si>
  <si>
    <r>
      <rPr>
        <rFont val="맑은 고딕"/>
        <color theme="1"/>
        <sz val="11.0"/>
      </rPr>
      <t>훼로맥스</t>
    </r>
  </si>
  <si>
    <t>LIQ ORAL 357MG 5ML 32</t>
  </si>
  <si>
    <r>
      <rPr>
        <rFont val="맑은 고딕"/>
        <color theme="1"/>
        <sz val="11.0"/>
      </rPr>
      <t>부광약품</t>
    </r>
  </si>
  <si>
    <r>
      <rPr>
        <rFont val="맑은 고딕"/>
        <color theme="1"/>
        <sz val="11.0"/>
      </rPr>
      <t>훼로바유</t>
    </r>
  </si>
  <si>
    <t>DRG L.A 256MG 200</t>
  </si>
  <si>
    <r>
      <rPr>
        <rFont val="맑은 고딕"/>
        <color theme="1"/>
        <sz val="11.0"/>
      </rPr>
      <t>부광약품</t>
    </r>
  </si>
  <si>
    <r>
      <rPr>
        <rFont val="맑은 고딕"/>
        <color theme="1"/>
        <sz val="11.0"/>
      </rPr>
      <t>훼로바유</t>
    </r>
  </si>
  <si>
    <t>DRG L.A 256MG 30</t>
  </si>
  <si>
    <r>
      <rPr>
        <rFont val="맑은 고딕"/>
        <color theme="1"/>
        <sz val="11.0"/>
      </rPr>
      <t>부광약품</t>
    </r>
  </si>
  <si>
    <r>
      <rPr>
        <rFont val="맑은 고딕"/>
        <color theme="1"/>
        <sz val="11.0"/>
      </rPr>
      <t>훼로바유</t>
    </r>
  </si>
  <si>
    <t>DRG L.A 256MG 500</t>
  </si>
  <si>
    <r>
      <rPr>
        <rFont val="맑은 고딕"/>
        <color theme="1"/>
        <sz val="11.0"/>
      </rPr>
      <t>한국팜비오</t>
    </r>
  </si>
  <si>
    <r>
      <rPr>
        <rFont val="맑은 고딕"/>
        <color theme="1"/>
        <sz val="11.0"/>
      </rPr>
      <t>노페로</t>
    </r>
  </si>
  <si>
    <t>CAP ENT GRAN 100MG 100</t>
  </si>
  <si>
    <r>
      <rPr>
        <rFont val="맑은 고딕"/>
        <color theme="1"/>
        <sz val="11.0"/>
      </rPr>
      <t>한국팜비오</t>
    </r>
  </si>
  <si>
    <r>
      <rPr>
        <rFont val="맑은 고딕"/>
        <color theme="1"/>
        <sz val="11.0"/>
      </rPr>
      <t>노페로</t>
    </r>
  </si>
  <si>
    <t>CAP ENT GRAN 100MG 30</t>
  </si>
  <si>
    <t>ASCORBIC ACID+COPPER+CYANOCOBALAMIN+FOLIC ACID+IRON FERROUS+MANGANESE</t>
  </si>
  <si>
    <r>
      <rPr>
        <rFont val="맑은 고딕"/>
        <color theme="1"/>
        <sz val="11.0"/>
      </rPr>
      <t>유한양행</t>
    </r>
  </si>
  <si>
    <r>
      <rPr>
        <rFont val="맑은 고딕"/>
        <color theme="1"/>
        <sz val="11.0"/>
      </rPr>
      <t>헤모렌</t>
    </r>
  </si>
  <si>
    <t>CAPS 120</t>
  </si>
  <si>
    <t>ASCORBIC ACID+CYANOCOBALAMIN+FOLIC ACID+IRON FERROUS</t>
  </si>
  <si>
    <r>
      <rPr>
        <rFont val="맑은 고딕"/>
        <color theme="1"/>
        <sz val="11.0"/>
      </rPr>
      <t>유한양행</t>
    </r>
  </si>
  <si>
    <r>
      <rPr>
        <rFont val="맑은 고딕"/>
        <color theme="1"/>
        <sz val="11.0"/>
      </rPr>
      <t>푸마훼린</t>
    </r>
  </si>
  <si>
    <t>CAPS SF 120</t>
  </si>
  <si>
    <t>ASCORBIC ACID+CYANOCOBALAMIN+FOLIC ACID+IRON FERROUS+NICOTINAMIDE+OROTIC ACID+PYRIDOXINE</t>
  </si>
  <si>
    <r>
      <rPr>
        <rFont val="맑은 고딕"/>
        <color theme="1"/>
        <sz val="11.0"/>
      </rPr>
      <t>광동제약</t>
    </r>
  </si>
  <si>
    <r>
      <rPr>
        <rFont val="맑은 고딕"/>
        <color theme="1"/>
        <sz val="11.0"/>
      </rPr>
      <t>헤모글루탑</t>
    </r>
  </si>
  <si>
    <t>ASCORBIC ACID+CYANOCOBALAMIN+FOLIC ACID+IRON FERROUS+NICOTINAMIDE+PYRIDOXINE</t>
  </si>
  <si>
    <r>
      <rPr>
        <rFont val="맑은 고딕"/>
        <color theme="1"/>
        <sz val="11.0"/>
      </rPr>
      <t>지씨녹십자</t>
    </r>
  </si>
  <si>
    <r>
      <rPr>
        <rFont val="맑은 고딕"/>
        <color theme="1"/>
        <sz val="11.0"/>
      </rPr>
      <t>헤모퀸탑</t>
    </r>
  </si>
  <si>
    <t>CALCIUM FOLINATE+IRON FERRIC</t>
  </si>
  <si>
    <r>
      <rPr>
        <rFont val="맑은 고딕"/>
        <color theme="1"/>
        <sz val="11.0"/>
      </rPr>
      <t>고려제약</t>
    </r>
  </si>
  <si>
    <r>
      <rPr>
        <rFont val="맑은 고딕"/>
        <color theme="1"/>
        <sz val="11.0"/>
      </rPr>
      <t>산타몬플러스</t>
    </r>
  </si>
  <si>
    <t>LIQ ORAL 8ML 60</t>
  </si>
  <si>
    <t>CYANOCOBALAMIN+FERRIMANNITOL OVALBUMIN+FOLIC ACID</t>
  </si>
  <si>
    <r>
      <rPr>
        <rFont val="맑은 고딕"/>
        <color theme="1"/>
        <sz val="11.0"/>
      </rPr>
      <t>지씨녹십자</t>
    </r>
  </si>
  <si>
    <r>
      <rPr>
        <rFont val="맑은 고딕"/>
        <color theme="1"/>
        <sz val="11.0"/>
      </rPr>
      <t>훼리너프</t>
    </r>
  </si>
  <si>
    <r>
      <rPr>
        <rFont val="맑은 고딕"/>
        <color theme="1"/>
        <sz val="11.0"/>
      </rPr>
      <t>지씨녹십자</t>
    </r>
  </si>
  <si>
    <r>
      <rPr>
        <rFont val="맑은 고딕"/>
        <color theme="1"/>
        <sz val="11.0"/>
      </rPr>
      <t>훼리너프</t>
    </r>
  </si>
  <si>
    <t>CAPS 60</t>
  </si>
  <si>
    <t>CYANOCOBALAMIN+FERRITIN+FOLIC ACID</t>
  </si>
  <si>
    <r>
      <rPr>
        <rFont val="맑은 고딕"/>
        <color theme="1"/>
        <sz val="11.0"/>
      </rPr>
      <t>광동제약</t>
    </r>
  </si>
  <si>
    <r>
      <rPr>
        <rFont val="맑은 고딕"/>
        <color theme="1"/>
        <sz val="11.0"/>
      </rPr>
      <t>페리비타</t>
    </r>
  </si>
  <si>
    <r>
      <rPr>
        <rFont val="맑은 고딕"/>
        <color theme="1"/>
        <sz val="11.0"/>
      </rPr>
      <t>구주제약</t>
    </r>
  </si>
  <si>
    <r>
      <rPr>
        <rFont val="맑은 고딕"/>
        <color theme="1"/>
        <sz val="11.0"/>
      </rPr>
      <t>헤모테인</t>
    </r>
  </si>
  <si>
    <r>
      <rPr>
        <rFont val="맑은 고딕"/>
        <color theme="1"/>
        <sz val="11.0"/>
      </rPr>
      <t>구주제약</t>
    </r>
  </si>
  <si>
    <r>
      <rPr>
        <rFont val="맑은 고딕"/>
        <color theme="1"/>
        <sz val="11.0"/>
      </rPr>
      <t>헤모테인</t>
    </r>
  </si>
  <si>
    <t>CAPS SF 30</t>
  </si>
  <si>
    <r>
      <rPr>
        <rFont val="맑은 고딕"/>
        <color theme="1"/>
        <sz val="11.0"/>
      </rPr>
      <t>구주제약</t>
    </r>
  </si>
  <si>
    <r>
      <rPr>
        <rFont val="맑은 고딕"/>
        <color theme="1"/>
        <sz val="11.0"/>
      </rPr>
      <t>헤모테인</t>
    </r>
  </si>
  <si>
    <t>CAPS SF 60</t>
  </si>
  <si>
    <r>
      <rPr>
        <rFont val="맑은 고딕"/>
        <color theme="1"/>
        <sz val="11.0"/>
      </rPr>
      <t>동화약품</t>
    </r>
  </si>
  <si>
    <r>
      <rPr>
        <rFont val="맑은 고딕"/>
        <color theme="1"/>
        <sz val="11.0"/>
      </rPr>
      <t>페리닥터</t>
    </r>
  </si>
  <si>
    <r>
      <rPr>
        <rFont val="맑은 고딕"/>
        <color theme="1"/>
        <sz val="11.0"/>
      </rPr>
      <t>마더스제약</t>
    </r>
  </si>
  <si>
    <r>
      <rPr>
        <rFont val="맑은 고딕"/>
        <color theme="1"/>
        <sz val="11.0"/>
      </rPr>
      <t>헤모드림</t>
    </r>
  </si>
  <si>
    <r>
      <rPr>
        <rFont val="맑은 고딕"/>
        <color theme="1"/>
        <sz val="11.0"/>
      </rPr>
      <t>마더스제약</t>
    </r>
  </si>
  <si>
    <r>
      <rPr>
        <rFont val="맑은 고딕"/>
        <color theme="1"/>
        <sz val="11.0"/>
      </rPr>
      <t>헤모드림</t>
    </r>
  </si>
  <si>
    <r>
      <rPr>
        <rFont val="맑은 고딕"/>
        <color theme="1"/>
        <sz val="11.0"/>
      </rPr>
      <t>보령</t>
    </r>
  </si>
  <si>
    <r>
      <rPr>
        <rFont val="맑은 고딕"/>
        <color theme="1"/>
        <sz val="11.0"/>
      </rPr>
      <t>훼로모아</t>
    </r>
  </si>
  <si>
    <r>
      <rPr>
        <rFont val="맑은 고딕"/>
        <color theme="1"/>
        <sz val="11.0"/>
      </rPr>
      <t>부광약품</t>
    </r>
  </si>
  <si>
    <r>
      <rPr>
        <rFont val="맑은 고딕"/>
        <color theme="1"/>
        <sz val="11.0"/>
      </rPr>
      <t>훼로바프리미엄</t>
    </r>
  </si>
  <si>
    <r>
      <rPr>
        <rFont val="맑은 고딕"/>
        <color theme="1"/>
        <sz val="11.0"/>
      </rPr>
      <t>삼진제약</t>
    </r>
  </si>
  <si>
    <r>
      <rPr>
        <rFont val="맑은 고딕"/>
        <color theme="1"/>
        <sz val="11.0"/>
      </rPr>
      <t>레디페린에프</t>
    </r>
  </si>
  <si>
    <r>
      <rPr>
        <rFont val="맑은 고딕"/>
        <color theme="1"/>
        <sz val="11.0"/>
      </rPr>
      <t>유유</t>
    </r>
  </si>
  <si>
    <r>
      <rPr>
        <rFont val="맑은 고딕"/>
        <color theme="1"/>
        <sz val="11.0"/>
      </rPr>
      <t>헤모로빈</t>
    </r>
  </si>
  <si>
    <r>
      <rPr>
        <rFont val="맑은 고딕"/>
        <color theme="1"/>
        <sz val="11.0"/>
      </rPr>
      <t>일동제약</t>
    </r>
  </si>
  <si>
    <r>
      <rPr>
        <rFont val="맑은 고딕"/>
        <color theme="1"/>
        <sz val="11.0"/>
      </rPr>
      <t>훼르친</t>
    </r>
  </si>
  <si>
    <r>
      <rPr>
        <rFont val="맑은 고딕"/>
        <color theme="1"/>
        <sz val="11.0"/>
      </rPr>
      <t>조아제약</t>
    </r>
  </si>
  <si>
    <r>
      <rPr>
        <rFont val="맑은 고딕"/>
        <color theme="1"/>
        <sz val="11.0"/>
      </rPr>
      <t>훼마틴</t>
    </r>
  </si>
  <si>
    <t>CYANOCOBALAMIN+FOLIC ACID+IRON FERRIC</t>
  </si>
  <si>
    <r>
      <rPr>
        <rFont val="맑은 고딕"/>
        <color theme="1"/>
        <sz val="11.0"/>
      </rPr>
      <t>대웅제약</t>
    </r>
  </si>
  <si>
    <r>
      <rPr>
        <rFont val="맑은 고딕"/>
        <color theme="1"/>
        <sz val="11.0"/>
      </rPr>
      <t>헤모큐플러스</t>
    </r>
  </si>
  <si>
    <r>
      <rPr>
        <rFont val="맑은 고딕"/>
        <color theme="1"/>
        <sz val="11.0"/>
      </rPr>
      <t>에이프로젠</t>
    </r>
  </si>
  <si>
    <r>
      <rPr>
        <rFont val="맑은 고딕"/>
        <color theme="1"/>
        <sz val="11.0"/>
      </rPr>
      <t>훼리큐</t>
    </r>
  </si>
  <si>
    <t>CYANOCOBALAMIN+FOLIC ACID+IRON FERRIC+PANTOTHENIC ACID+PYRIDOXINE</t>
  </si>
  <si>
    <r>
      <rPr>
        <rFont val="맑은 고딕"/>
        <color theme="1"/>
        <sz val="11.0"/>
      </rPr>
      <t>신일제약</t>
    </r>
  </si>
  <si>
    <r>
      <rPr>
        <rFont val="맑은 고딕"/>
        <color theme="1"/>
        <sz val="11.0"/>
      </rPr>
      <t>마미센스</t>
    </r>
  </si>
  <si>
    <t>C.TAB FILM 120</t>
  </si>
  <si>
    <t>CYANOCOBALAMIN+FOLIC ACID+IRON FERRIC+PYRIDOXINE</t>
  </si>
  <si>
    <r>
      <rPr>
        <rFont val="맑은 고딕"/>
        <color theme="1"/>
        <sz val="11.0"/>
      </rPr>
      <t>고려제약</t>
    </r>
  </si>
  <si>
    <r>
      <rPr>
        <rFont val="맑은 고딕"/>
        <color theme="1"/>
        <sz val="11.0"/>
      </rPr>
      <t>산타몬플러스</t>
    </r>
  </si>
  <si>
    <t>CYANOCOBALAMIN+FOLIC ACID+IRON FERROUS</t>
  </si>
  <si>
    <r>
      <rPr>
        <rFont val="맑은 고딕"/>
        <color theme="1"/>
        <sz val="11.0"/>
      </rPr>
      <t>경남제약</t>
    </r>
  </si>
  <si>
    <r>
      <rPr>
        <rFont val="맑은 고딕"/>
        <color theme="1"/>
        <sz val="11.0"/>
      </rPr>
      <t>헤모퀸골드</t>
    </r>
  </si>
  <si>
    <r>
      <rPr>
        <rFont val="맑은 고딕"/>
        <color theme="1"/>
        <sz val="11.0"/>
      </rPr>
      <t>동구바이오</t>
    </r>
  </si>
  <si>
    <r>
      <rPr>
        <rFont val="맑은 고딕"/>
        <color theme="1"/>
        <sz val="11.0"/>
      </rPr>
      <t>헤모포민큐</t>
    </r>
  </si>
  <si>
    <r>
      <rPr>
        <rFont val="맑은 고딕"/>
        <color theme="1"/>
        <sz val="11.0"/>
      </rPr>
      <t>에스케이케미칼</t>
    </r>
  </si>
  <si>
    <r>
      <rPr>
        <rFont val="맑은 고딕"/>
        <color theme="1"/>
        <sz val="11.0"/>
      </rPr>
      <t>헤모원</t>
    </r>
  </si>
  <si>
    <r>
      <rPr>
        <rFont val="맑은 고딕"/>
        <color theme="1"/>
        <sz val="11.0"/>
      </rPr>
      <t>일동제약</t>
    </r>
  </si>
  <si>
    <r>
      <rPr>
        <rFont val="맑은 고딕"/>
        <color theme="1"/>
        <sz val="11.0"/>
      </rPr>
      <t>훼리탑에프</t>
    </r>
  </si>
  <si>
    <r>
      <rPr>
        <rFont val="맑은 고딕"/>
        <color theme="1"/>
        <sz val="11.0"/>
      </rPr>
      <t>일동제약</t>
    </r>
  </si>
  <si>
    <r>
      <rPr>
        <rFont val="맑은 고딕"/>
        <color theme="1"/>
        <sz val="11.0"/>
      </rPr>
      <t>훼리탑에프</t>
    </r>
  </si>
  <si>
    <r>
      <rPr>
        <rFont val="맑은 고딕"/>
        <color theme="1"/>
        <sz val="11.0"/>
      </rPr>
      <t>태극제약</t>
    </r>
  </si>
  <si>
    <r>
      <rPr>
        <rFont val="맑은 고딕"/>
        <color theme="1"/>
        <sz val="11.0"/>
      </rPr>
      <t>헤몰빈큐플러스</t>
    </r>
  </si>
  <si>
    <t>FOLIC ACID+IRON FERRIC</t>
  </si>
  <si>
    <r>
      <rPr>
        <rFont val="맑은 고딕"/>
        <color theme="1"/>
        <sz val="11.0"/>
      </rPr>
      <t>일양약품</t>
    </r>
  </si>
  <si>
    <r>
      <rPr>
        <rFont val="맑은 고딕"/>
        <color theme="1"/>
        <sz val="11.0"/>
      </rPr>
      <t>헤모콤플러스</t>
    </r>
  </si>
  <si>
    <r>
      <rPr>
        <rFont val="맑은 고딕"/>
        <color theme="1"/>
        <sz val="11.0"/>
      </rPr>
      <t>제이더블유중외제약</t>
    </r>
  </si>
  <si>
    <r>
      <rPr>
        <rFont val="맑은 고딕"/>
        <color theme="1"/>
        <sz val="11.0"/>
      </rPr>
      <t>훼럼포유</t>
    </r>
  </si>
  <si>
    <t>FOLIC ACID+IRON FERRIC+PANTOTHENIC ACID</t>
  </si>
  <si>
    <r>
      <rPr>
        <rFont val="맑은 고딕"/>
        <color theme="1"/>
        <sz val="11.0"/>
      </rPr>
      <t>동구바이오</t>
    </r>
  </si>
  <si>
    <r>
      <rPr>
        <rFont val="맑은 고딕"/>
        <color theme="1"/>
        <sz val="11.0"/>
      </rPr>
      <t>헤모포민에스</t>
    </r>
    <r>
      <rPr>
        <rFont val="Calibri"/>
        <color theme="1"/>
        <sz val="11.0"/>
      </rPr>
      <t>35</t>
    </r>
  </si>
  <si>
    <t>C.TAB FILM 35</t>
  </si>
  <si>
    <t>==&gt; 총 철함량 외에도 특정 용량으로 환산해서 시장을 산출해 보는데, 수식 어떻게 적용할 지 논의하면 좋겠습니다</t>
  </si>
  <si>
    <t xml:space="preserve">헴리브라 </t>
  </si>
  <si>
    <t>Class</t>
  </si>
  <si>
    <t>BEROCTOCOG ALFA</t>
  </si>
  <si>
    <t>지씨녹십자</t>
  </si>
  <si>
    <t>그린진에프</t>
  </si>
  <si>
    <t>Factor (SHL)</t>
  </si>
  <si>
    <t>DAMOCTOCOG ALFA PEGOL</t>
  </si>
  <si>
    <t>바이엘코리아</t>
  </si>
  <si>
    <t>지비</t>
  </si>
  <si>
    <t>Factor (EHL)</t>
  </si>
  <si>
    <t>EFMOROCTOCOG ALFA</t>
  </si>
  <si>
    <t>사노피아벤티스</t>
  </si>
  <si>
    <t>엘록테이트</t>
  </si>
  <si>
    <t>EMICIZUMAB</t>
  </si>
  <si>
    <t xml:space="preserve">Non-Factor </t>
  </si>
  <si>
    <t>FACTOR VIII</t>
  </si>
  <si>
    <t>그린모노</t>
  </si>
  <si>
    <t>FACTOR VIII+FACTOR VON WILLEBRAND</t>
  </si>
  <si>
    <t>다케다 코리아</t>
  </si>
  <si>
    <t>이뮤네이트</t>
  </si>
  <si>
    <t>LONOCTOCOG ALFA</t>
  </si>
  <si>
    <t>CSL 베링</t>
  </si>
  <si>
    <t>앱스틸라</t>
  </si>
  <si>
    <t>MOROCTOCOG ALFA</t>
  </si>
  <si>
    <t>진타솔로퓨즈</t>
  </si>
  <si>
    <t>OCTOCOG ALFA</t>
  </si>
  <si>
    <t>애드베이트</t>
  </si>
  <si>
    <t>코지네이트에프에스</t>
  </si>
  <si>
    <t>RURIOCTOCOG ALFA PEGOL</t>
  </si>
  <si>
    <t>애디노베이트</t>
  </si>
  <si>
    <t>SUSOCTOCOG ALFA</t>
  </si>
  <si>
    <t>오비주르</t>
  </si>
  <si>
    <t>B02D3</t>
  </si>
  <si>
    <t>HAEMOPHILIA ANTI-INH PRD</t>
  </si>
  <si>
    <t>EPTACOG ALFA (ACTIVATED)</t>
  </si>
  <si>
    <t>노보노디스크제약</t>
  </si>
  <si>
    <t>노보세븐알티</t>
  </si>
  <si>
    <t xml:space="preserve">Bypassing Agent </t>
  </si>
  <si>
    <t>FACTOR VIII INHIBITOR BYPASSING FRACTION</t>
  </si>
  <si>
    <t>훼이바</t>
  </si>
  <si>
    <t xml:space="preserve">엔커버 </t>
  </si>
  <si>
    <t>GENERAL NUTRIENTS</t>
  </si>
  <si>
    <t>하모닐란</t>
  </si>
  <si>
    <t>LIQ ORAL 200ML</t>
  </si>
  <si>
    <t>LIQ ORAL 500ML</t>
  </si>
  <si>
    <t>LIQ ORAL 400ML</t>
  </si>
  <si>
    <t>위너프 / 위너프A+</t>
  </si>
  <si>
    <t>PRODUCT NAME KORPACK DESC</t>
  </si>
  <si>
    <t>Strength</t>
  </si>
  <si>
    <t>Strength2</t>
  </si>
  <si>
    <t xml:space="preserve">Fish oil 여부 </t>
  </si>
  <si>
    <t xml:space="preserve">투여 경로 </t>
  </si>
  <si>
    <t xml:space="preserve">규격 Recode </t>
  </si>
  <si>
    <t>ACETIC ACID+ALANINE+ARGININE+CALCIUM+DOCONEXENT+GLUCOSE+GLYCEROPHOSPHORIC ACID+GLYCINE+GLYCINE MAX+ICOSAPENT</t>
  </si>
  <si>
    <t>HK이노엔</t>
  </si>
  <si>
    <t>오마프원</t>
  </si>
  <si>
    <t>INFU.BAG 1477ML</t>
  </si>
  <si>
    <t>오마프원INFU.BAG 1477ML</t>
  </si>
  <si>
    <t xml:space="preserve"> 1477ML</t>
  </si>
  <si>
    <t>3CB</t>
  </si>
  <si>
    <t>fish</t>
  </si>
  <si>
    <t>central</t>
  </si>
  <si>
    <t xml:space="preserve">1100~1500ml 미만 </t>
  </si>
  <si>
    <r>
      <rPr>
        <rFont val="Arial"/>
        <color rgb="FF000000"/>
        <sz val="10.0"/>
      </rPr>
      <t xml:space="preserve">500ml </t>
    </r>
    <r>
      <rPr>
        <rFont val="맑은 고딕"/>
        <color rgb="FF000000"/>
        <sz val="10.0"/>
      </rPr>
      <t>미만</t>
    </r>
  </si>
  <si>
    <t>오마프원INFU.BA</t>
  </si>
  <si>
    <t>L</t>
  </si>
  <si>
    <t>INFU.BAG 1970ML</t>
  </si>
  <si>
    <t>오마프원INFU.BAG 1970ML</t>
  </si>
  <si>
    <t xml:space="preserve"> 1970ML</t>
  </si>
  <si>
    <t>1500ml 이상</t>
  </si>
  <si>
    <r>
      <rPr>
        <rFont val="Arial"/>
        <color rgb="FF000000"/>
        <sz val="10.0"/>
      </rPr>
      <t xml:space="preserve">500ml ~ 900ml </t>
    </r>
    <r>
      <rPr>
        <rFont val="맑은 고딕"/>
        <color rgb="FF000000"/>
        <sz val="10.0"/>
      </rPr>
      <t>미만</t>
    </r>
    <r>
      <rPr>
        <rFont val="Arial"/>
        <color rgb="FF000000"/>
        <sz val="10.0"/>
      </rPr>
      <t xml:space="preserve"> </t>
    </r>
  </si>
  <si>
    <t>INFU.BAG 986ML</t>
  </si>
  <si>
    <t>오마프원INFU.BAG 986ML</t>
  </si>
  <si>
    <t xml:space="preserve"> 986ML</t>
  </si>
  <si>
    <t xml:space="preserve">900 ~ 1100ml 미만 </t>
  </si>
  <si>
    <r>
      <rPr>
        <rFont val="Arial"/>
        <color rgb="FF000000"/>
        <sz val="10.0"/>
      </rPr>
      <t xml:space="preserve">900ml ~ 1100ml </t>
    </r>
    <r>
      <rPr>
        <rFont val="맑은 고딕"/>
        <color rgb="FF000000"/>
        <sz val="10.0"/>
      </rPr>
      <t>미만</t>
    </r>
    <r>
      <rPr>
        <rFont val="Arial"/>
        <color rgb="FF000000"/>
        <sz val="10.0"/>
      </rPr>
      <t xml:space="preserve"> </t>
    </r>
  </si>
  <si>
    <t>ACETIC ACID+ALANINE+ARGININE+CALCIUM+DOCONEXENT+GLUCOSE+GLYCINE+GLYCINE MAX+HISTIDINE+ICOSAPENT</t>
  </si>
  <si>
    <t>INFU.BAG 1089ML</t>
  </si>
  <si>
    <t>위너프에이플러스페리INFU.BAG 1089ML</t>
  </si>
  <si>
    <t xml:space="preserve"> 1089ML</t>
  </si>
  <si>
    <t>peri</t>
  </si>
  <si>
    <r>
      <rPr>
        <rFont val="Arial"/>
        <color rgb="FF000000"/>
        <sz val="10.0"/>
      </rPr>
      <t xml:space="preserve">1100ml ~ 1500ml </t>
    </r>
    <r>
      <rPr>
        <rFont val="맑은 고딕"/>
        <color rgb="FF000000"/>
        <sz val="10.0"/>
      </rPr>
      <t>미만</t>
    </r>
  </si>
  <si>
    <t>위너프에이플러스페리INFU.BA</t>
  </si>
  <si>
    <t>INFU.BAG 1452ML</t>
  </si>
  <si>
    <t>위너프에이플러스페리INFU.BAG 1452ML</t>
  </si>
  <si>
    <t xml:space="preserve"> 1452ML</t>
  </si>
  <si>
    <r>
      <rPr>
        <rFont val="Arial"/>
        <color rgb="FF000000"/>
        <sz val="10.0"/>
      </rPr>
      <t xml:space="preserve">1500ml </t>
    </r>
    <r>
      <rPr>
        <rFont val="맑은 고딕"/>
        <color rgb="FF000000"/>
        <sz val="10.0"/>
      </rPr>
      <t>이상</t>
    </r>
    <r>
      <rPr>
        <rFont val="Arial"/>
        <color rgb="FF000000"/>
        <sz val="10.0"/>
      </rPr>
      <t xml:space="preserve"> </t>
    </r>
  </si>
  <si>
    <t>INFU.BAG 733ML</t>
  </si>
  <si>
    <t>위너프에이플러스페리INFU.BAG 733ML</t>
  </si>
  <si>
    <t xml:space="preserve"> 733ML</t>
  </si>
  <si>
    <t>500~900ml 미만</t>
  </si>
  <si>
    <t>INFU.BAG 1090ML</t>
  </si>
  <si>
    <t>위너프에이플러스INFU.BAG 1090ML</t>
  </si>
  <si>
    <t xml:space="preserve"> 1090ML</t>
  </si>
  <si>
    <t>위너프에이플러스INFU.BA</t>
  </si>
  <si>
    <t>INFU.BAG 1438ML</t>
  </si>
  <si>
    <t>위너프에이플러스INFU.BAG 1438ML</t>
  </si>
  <si>
    <t xml:space="preserve"> 1438ML</t>
  </si>
  <si>
    <t>ACETIC ACID+ALANINE+ARGININE+CALCIUM+DOCONEXENT+GLUCOSE+GLYCINE+GLYCINE MAX+HISTIDINE+ISOLEUCINE</t>
  </si>
  <si>
    <t>오마프플러스원페리</t>
  </si>
  <si>
    <t>INFU.BAG 1448ML</t>
  </si>
  <si>
    <t>오마프플러스원페리INFU.BAG 1448ML</t>
  </si>
  <si>
    <t xml:space="preserve"> 1448ML</t>
  </si>
  <si>
    <t>오마프플러스원페리INFU.BA</t>
  </si>
  <si>
    <t>INFU.BAG 1904ML</t>
  </si>
  <si>
    <t>오마프플러스원페리INFU.BAG 1904ML</t>
  </si>
  <si>
    <t xml:space="preserve"> 1904ML</t>
  </si>
  <si>
    <t>INFU.BAG 500ML</t>
  </si>
  <si>
    <t>오마프플러스원페리INFU.BAG 500ML</t>
  </si>
  <si>
    <t xml:space="preserve"> 500ML</t>
  </si>
  <si>
    <t>INFU.BAG 724ML</t>
  </si>
  <si>
    <t>오마프플러스원페리INFU.BAG 724ML</t>
  </si>
  <si>
    <t xml:space="preserve"> 724ML</t>
  </si>
  <si>
    <t>INFU.BAG 952ML</t>
  </si>
  <si>
    <t>오마프플러스원페리INFU.BAG 952ML</t>
  </si>
  <si>
    <t xml:space="preserve"> 952ML</t>
  </si>
  <si>
    <t>오마프플러스원</t>
  </si>
  <si>
    <t>오마프플러스원INFU.BAG 1477ML</t>
  </si>
  <si>
    <t>오마프플러스원INFU.BA</t>
  </si>
  <si>
    <t>오마프플러스원INFU.BAG 1970ML</t>
  </si>
  <si>
    <t>오마프플러스원INFU.BAG 986ML</t>
  </si>
  <si>
    <t>ACETIC ACID+ALANINE+ARGININE+CALCIUM+FISH+GLUCOSE+GLYCEROPHOSPHORIC ACID+GLYCINE+GLYCINE MAX+HISTIDINE</t>
  </si>
  <si>
    <t>프레지니우스카비 코리아</t>
  </si>
  <si>
    <t>로오스모페리</t>
  </si>
  <si>
    <t>INFU.BAG 1400ML</t>
  </si>
  <si>
    <t>로오스모페리INFU.BAG 1400ML</t>
  </si>
  <si>
    <t xml:space="preserve"> 1400ML</t>
  </si>
  <si>
    <t>로오스모페리INFU.BA</t>
  </si>
  <si>
    <t>ACETIC ACID+ALANINE+ARGININE+CALCIUM+FISH+GLUCOSE+GLYCINE+GLYCINE MAX+HISTIDINE+ISOLEUCINE</t>
  </si>
  <si>
    <t>INFU.BAG 850ML</t>
  </si>
  <si>
    <t>로오스모페리INFU.BAG 850ML</t>
  </si>
  <si>
    <t xml:space="preserve"> 850ML</t>
  </si>
  <si>
    <t>ACETIC ACID+ALANINE+ARGININE+CALCIUM+GLUCOSE+GLYCINE+HISTIDINE+ISOLEUCINE+METHIONINE+PHENYLALANINE</t>
  </si>
  <si>
    <t>엔텐스</t>
  </si>
  <si>
    <t>INFU.BAG 1012ML</t>
  </si>
  <si>
    <t>엔텐스INFU.BAG 1012ML</t>
  </si>
  <si>
    <t xml:space="preserve"> 1012ML</t>
  </si>
  <si>
    <t>엔텐스INFU.BA</t>
  </si>
  <si>
    <t>INFU.BAG 1518ML</t>
  </si>
  <si>
    <t>엔텐스INFU.BAG 1518ML</t>
  </si>
  <si>
    <t xml:space="preserve"> 1518ML</t>
  </si>
  <si>
    <t>INFU.BAG 2025ML</t>
  </si>
  <si>
    <t>엔텐스INFU.BAG 2025ML</t>
  </si>
  <si>
    <t xml:space="preserve"> 2025ML</t>
  </si>
  <si>
    <t>INFU.BAG 506ML</t>
  </si>
  <si>
    <t>엔텐스INFU.BAG 506ML</t>
  </si>
  <si>
    <t xml:space="preserve"> 506ML</t>
  </si>
  <si>
    <t>ACETIC ACID+ALANINE+ARGININE+GLUCOSE+GLYCINE+GLYCINE MAX+ISOLEUCINE+LEUCINE+LYSINE+PHENYLALANINE</t>
  </si>
  <si>
    <t>INFU.BAG 1440ML</t>
  </si>
  <si>
    <t>콤비플렉스리피드페리INFU.BAG 1440ML</t>
  </si>
  <si>
    <t xml:space="preserve"> 1440ML</t>
  </si>
  <si>
    <t>non-fish</t>
  </si>
  <si>
    <t>콤비플렉스리피드페리INFU.BA</t>
  </si>
  <si>
    <t>INFU.BAG 1920ML</t>
  </si>
  <si>
    <t>콤비플렉스리피드페리INFU.BAG 1920ML</t>
  </si>
  <si>
    <t xml:space="preserve"> 1920ML</t>
  </si>
  <si>
    <t>INFU.BAG 384ML</t>
  </si>
  <si>
    <t>콤비플렉스리피드페리INFU.BAG 384ML</t>
  </si>
  <si>
    <t xml:space="preserve"> 384ML</t>
  </si>
  <si>
    <t xml:space="preserve">500ml 미만 </t>
  </si>
  <si>
    <t>ACETIC ACID+ALANINE+ARGININE+GLUCOSE+GLYCINE+GLYCINE MAX+LEUCINE+LYSINE+PHENYLALANINE+SERINE</t>
  </si>
  <si>
    <t>카비벤페리페랄</t>
  </si>
  <si>
    <t>카비벤페리페랄INFU.BAG 1440ML</t>
  </si>
  <si>
    <t>카비벤페리페랄INFU.BA</t>
  </si>
  <si>
    <t>ACETIC ACID+ALANINE+ARGININE+GLUCOSE+GLYCINE+GLYCINE MAX+LEUCINE+LYSINE+PHENYLALANINE+VALINE</t>
  </si>
  <si>
    <t>엠지</t>
  </si>
  <si>
    <t>와이즈티엔에이페리</t>
  </si>
  <si>
    <t>INFU.BAG 960ML</t>
  </si>
  <si>
    <t>와이즈티엔에이페리INFU.BAG 960ML</t>
  </si>
  <si>
    <t xml:space="preserve"> 960ML</t>
  </si>
  <si>
    <t>와이즈티엔에이페리INFU.BA</t>
  </si>
  <si>
    <t>티엔에이</t>
  </si>
  <si>
    <t>INFU.BAG 1026ML</t>
  </si>
  <si>
    <t>티엔에이INFU.BAG 1026ML</t>
  </si>
  <si>
    <t xml:space="preserve"> 1026ML</t>
  </si>
  <si>
    <t>티엔에이INFU.BA</t>
  </si>
  <si>
    <t>INFU.BAG 360ML</t>
  </si>
  <si>
    <t>와이즈티엔에이페리INFU.BAG 360ML</t>
  </si>
  <si>
    <t xml:space="preserve"> 360ML</t>
  </si>
  <si>
    <t>INFU.BAG 480ML</t>
  </si>
  <si>
    <t>와이즈티엔에이페리INFU.BAG 480ML</t>
  </si>
  <si>
    <t xml:space="preserve"> 480ML</t>
  </si>
  <si>
    <t>INFU.BAG 560ML</t>
  </si>
  <si>
    <t>와이즈티엔에이페리INFU.BAG 560ML</t>
  </si>
  <si>
    <t xml:space="preserve"> 560ML</t>
  </si>
  <si>
    <t>티엔에이페리</t>
  </si>
  <si>
    <t>INFU.BAG 1680ML</t>
  </si>
  <si>
    <t>티엔에이페리INFU.BAG 1680ML</t>
  </si>
  <si>
    <t xml:space="preserve"> 1680ML</t>
  </si>
  <si>
    <t>티엔에이페리INFU.BA</t>
  </si>
  <si>
    <t>ALANINE+ARGININE+ASPARTIC ACID+GLUCOSE+GLYCINE+LEUCINE+LYSINE+OLEA EUROPEA+PHENYLALANINE+VALINE</t>
  </si>
  <si>
    <t>한국박스터</t>
  </si>
  <si>
    <t>올리멜엔12이</t>
  </si>
  <si>
    <t>INFU.BAG 1000ML</t>
  </si>
  <si>
    <t>올리멜엔12이INFU.BAG 1000ML</t>
  </si>
  <si>
    <t xml:space="preserve"> 1000ML</t>
  </si>
  <si>
    <t>올리멜엔12이INFU.BA</t>
  </si>
  <si>
    <t>INFU.BAG 1500ML</t>
  </si>
  <si>
    <t>올리멜엔12이INFU.BAG 1500ML</t>
  </si>
  <si>
    <t xml:space="preserve"> 1500ML</t>
  </si>
  <si>
    <t>INFU.BAG 2000ML</t>
  </si>
  <si>
    <t>올리멜엔12이INFU.BAG 2000ML</t>
  </si>
  <si>
    <t xml:space="preserve"> 2000ML</t>
  </si>
  <si>
    <t>INFU.BAG 650ML</t>
  </si>
  <si>
    <t>올리멜엔12이INFU.BAG 650ML</t>
  </si>
  <si>
    <t xml:space="preserve"> 650ML</t>
  </si>
  <si>
    <t>ALANINE+ARGININE+CALCIUM+GLUCOSE+GLUTAMIC ACID+GLYCINE+GLYCINE MAX+HISTIDINE+ISOLEUCINE+LEUCINE</t>
  </si>
  <si>
    <t>비브라운코리아</t>
  </si>
  <si>
    <t>뉴트리플렉스오메가스페셜</t>
  </si>
  <si>
    <t>INFU.BAG 1250ML</t>
  </si>
  <si>
    <t>뉴트리플렉스오메가스페셜INFU.BAG 1250ML</t>
  </si>
  <si>
    <t xml:space="preserve"> 1250ML</t>
  </si>
  <si>
    <t>뉴트리플렉스오메가스페셜INFU.BA</t>
  </si>
  <si>
    <t>ALANINE+ARGININE+FISH+GLUCOSE+GLYCINE+GLYCINE MAX+HISTIDINE+ISOLEUCINE+LEUCINE+LYSINE</t>
  </si>
  <si>
    <t>엔텐스이에프</t>
  </si>
  <si>
    <t>엔텐스이에프INFU.BAG 1012ML</t>
  </si>
  <si>
    <t>엔텐스이에프INFU.BA</t>
  </si>
  <si>
    <t>엔텐스이에프INFU.BAG 506ML</t>
  </si>
  <si>
    <t>ALANINE+ARGININE+GLUCOSE+GLUTAMIC ACID+GLYCEROPHOSPHORIC ACID+ISOLEUCINE+LEUCINE+LYSINE+POTASSIUM+VALINE</t>
  </si>
  <si>
    <t>뉴메타지13이</t>
  </si>
  <si>
    <t>INFU.BAG 300ML</t>
  </si>
  <si>
    <t>뉴메타지13이INFU.BAG 300ML</t>
  </si>
  <si>
    <t xml:space="preserve"> 300ML</t>
  </si>
  <si>
    <t>뉴메타지13이INFU.BA</t>
  </si>
  <si>
    <t>ALANINE+ARGININE+GLUCOSE+GLUTAMIC ACID+GLYCINE MAX+LEUCINE+PHENYLALANINE+POTASSIUM+PROLINE+SERINE</t>
  </si>
  <si>
    <t>뉴트리플렉스오메가플러스</t>
  </si>
  <si>
    <t>INFU.BAG 1875ML</t>
  </si>
  <si>
    <t>뉴트리플렉스오메가플러스INFU.BAG 1875ML</t>
  </si>
  <si>
    <t xml:space="preserve"> 1875ML</t>
  </si>
  <si>
    <t>뉴트리플렉스오메가플러스INFU.BA</t>
  </si>
  <si>
    <t>ALANINE+ARGININE+GLUCOSE+GLUTAMIC ACID+GLYCINE MAX+LEUCINE+PHENYLALANINE+PROLINE+SERINE+TRIGLYCERIDES</t>
  </si>
  <si>
    <t>콤비플렉스엠시티페리INFU.BAG 1250ML</t>
  </si>
  <si>
    <t>콤비플렉스엠시티페리INFU.BA</t>
  </si>
  <si>
    <t>INFU.BAG 375ML</t>
  </si>
  <si>
    <t>콤비플렉스엠시티페리INFU.BAG 375ML</t>
  </si>
  <si>
    <t xml:space="preserve"> 375ML</t>
  </si>
  <si>
    <t>ALANINE+ARGININE+GLUCOSE+GLYCEROPHOSPHORIC ACID+GLYCINE+GLYCINE MAX+LEUCINE+LYSINE+OLEA EUROPEA+PHENYLALANINE</t>
  </si>
  <si>
    <t>페리올리멜엔4이</t>
  </si>
  <si>
    <t>페리올리멜엔4이INFU.BAG 1000ML</t>
  </si>
  <si>
    <t>페리올리멜엔4이INFU.BA</t>
  </si>
  <si>
    <t>페리올리멜엔4이INFU.BAG 1500ML</t>
  </si>
  <si>
    <t>페리올리멜엔4이INFU.BAG 2000ML</t>
  </si>
  <si>
    <t>ALANINE+ARGININE+GLUCOSE+GLYCEROPHOSPHORIC ACID+GLYCINE+GLYCINE MAX+LEUCINE+LYSINE+PHENYLALANINE+VALINE</t>
  </si>
  <si>
    <t>올리멜엔9이</t>
  </si>
  <si>
    <t>올리멜엔9이INFU.BAG 1000ML</t>
  </si>
  <si>
    <t>올리멜엔9이INFU.BA</t>
  </si>
  <si>
    <t>올리멜엔9이INFU.BAG 1500ML</t>
  </si>
  <si>
    <t>올리멜엔9이INFU.BAG 2000ML</t>
  </si>
  <si>
    <t>ALANINE+ARGININE+GLUCOSE+GLYCINE+GLYCINE MAX+LEUCINE+LYSINE+MEDIUM CHAIN TRIGLYCERIDES (UNSPECIFIED)+OLEA EUROPEA+PROLINE</t>
  </si>
  <si>
    <t>INFU.BAG 1085ML</t>
  </si>
  <si>
    <t>위너프페리INFU.BAG 1085ML</t>
  </si>
  <si>
    <t xml:space="preserve"> 1085ML</t>
  </si>
  <si>
    <t>위너프페리INFU.BA</t>
  </si>
  <si>
    <t>INFU.BAG 1450ML</t>
  </si>
  <si>
    <t>위너프페리INFU.BAG 1450ML</t>
  </si>
  <si>
    <t xml:space="preserve"> 1450ML</t>
  </si>
  <si>
    <t>INFU.BAG 2020ML</t>
  </si>
  <si>
    <t>위너프페리INFU.BAG 2020ML</t>
  </si>
  <si>
    <t xml:space="preserve"> 2020ML</t>
  </si>
  <si>
    <t>INFU.BAG 241ML</t>
  </si>
  <si>
    <t>위너프페리INFU.BAG 241ML</t>
  </si>
  <si>
    <t xml:space="preserve"> 241ML</t>
  </si>
  <si>
    <t>INFU.BAG 654ML</t>
  </si>
  <si>
    <t>위너프페리INFU.BAG 654ML</t>
  </si>
  <si>
    <t xml:space="preserve"> 654ML</t>
  </si>
  <si>
    <t>INFU.BAG 217ML</t>
  </si>
  <si>
    <t>위너프페리INFU.BAG 217ML</t>
  </si>
  <si>
    <t xml:space="preserve"> 217ML</t>
  </si>
  <si>
    <t>INFU.BAG 362ML</t>
  </si>
  <si>
    <t>위너프페리INFU.BAG 362ML</t>
  </si>
  <si>
    <t xml:space="preserve"> 362ML</t>
  </si>
  <si>
    <t>INFU.BAG 502ML</t>
  </si>
  <si>
    <t>위너프페리INFU.BAG 502ML</t>
  </si>
  <si>
    <t xml:space="preserve"> 502ML</t>
  </si>
  <si>
    <t>ALANINE+ARGININE+GLUCOSE+GLYCINE+GLYCINE MAX+LEUCINE+LYSINE+OLEA EUROPEA+PROLINE+TRIGLYCERIDES</t>
  </si>
  <si>
    <t>오마프원페리</t>
  </si>
  <si>
    <t>오마프원페리INFU.BAG 1448ML</t>
  </si>
  <si>
    <t>오마프원페리INFU.BA</t>
  </si>
  <si>
    <t>오마프원페리INFU.BAG 1904ML</t>
  </si>
  <si>
    <t>오마프원페리INFU.BAG 500ML</t>
  </si>
  <si>
    <t>오마프원페리INFU.BAG 724ML</t>
  </si>
  <si>
    <t>오마프원페리INFU.BAG 952ML</t>
  </si>
  <si>
    <t>쓰리챔버폼스페리 유한</t>
  </si>
  <si>
    <t>INFU.BAG 1206ML</t>
  </si>
  <si>
    <t>쓰리챔버폼스페리 유한INFU.BAG 1206ML</t>
  </si>
  <si>
    <t xml:space="preserve"> 1206ML</t>
  </si>
  <si>
    <t>쓰리챔버폼스페리 유한INFU.BA</t>
  </si>
  <si>
    <t>쓰리챔버폼스페리 유한INFU.BAG 1448ML</t>
  </si>
  <si>
    <t>쓰리챔버폼스페리 유한INFU.BAG 952ML</t>
  </si>
  <si>
    <t>폼스티엔에이</t>
  </si>
  <si>
    <t>폼스티엔에이INFU.BAG 1477ML</t>
  </si>
  <si>
    <t>폼스티엔에이INFU.BA</t>
  </si>
  <si>
    <t>폼스티엔에이INFU.BAG 986ML</t>
  </si>
  <si>
    <t>위너프INFU.BAG 1085ML</t>
  </si>
  <si>
    <t>위너프INFU.BA</t>
  </si>
  <si>
    <t>INFU.BAG 1435ML</t>
  </si>
  <si>
    <t>위너프INFU.BAG 1435ML</t>
  </si>
  <si>
    <t xml:space="preserve"> 1435ML</t>
  </si>
  <si>
    <t>INFU.BAG 1820ML</t>
  </si>
  <si>
    <t>위너프INFU.BAG 1820ML</t>
  </si>
  <si>
    <t xml:space="preserve"> 1820ML</t>
  </si>
  <si>
    <t>INFU.BAG 736ML</t>
  </si>
  <si>
    <t>위너프INFU.BAG 736ML</t>
  </si>
  <si>
    <t xml:space="preserve"> 736ML</t>
  </si>
  <si>
    <t>스모프카비벤페리페랄</t>
  </si>
  <si>
    <t>스모프카비벤페리페랄INFU.BAG 1206ML</t>
  </si>
  <si>
    <t>스모프카비벤페리페랄INFU.BA</t>
  </si>
  <si>
    <t>스모프카비벤페리페랄INFU.BAG 1448ML</t>
  </si>
  <si>
    <t>스모프카비벤페리페랄INFU.BAG 1904ML</t>
  </si>
  <si>
    <t>스모프카비벤</t>
  </si>
  <si>
    <t>스모프카비벤INFU.BAG 1477ML</t>
  </si>
  <si>
    <t>스모프카비벤INFU.BA</t>
  </si>
  <si>
    <t>스모프카비벤INFU.BAG 1970ML</t>
  </si>
  <si>
    <t>스모프카비벤INFU.BAG 986ML</t>
  </si>
  <si>
    <t>오마프원페리INFU.BAG 362ML</t>
  </si>
  <si>
    <t>INFU.BAG 660ML</t>
  </si>
  <si>
    <t>오마프원페리INFU.BAG 660ML</t>
  </si>
  <si>
    <t xml:space="preserve"> 660ML</t>
  </si>
  <si>
    <t>쓰리챔버폼스페리 유한INFU.BAG 362ML</t>
  </si>
  <si>
    <t>INFU.BAG 493ML</t>
  </si>
  <si>
    <t>스모프카비벤INFU.BAG 493ML</t>
  </si>
  <si>
    <t xml:space="preserve"> 493ML</t>
  </si>
  <si>
    <t>ALANINE+GLUCOSE+GLUTAMIC ACID+GLYCINE MAX+LEUCINE+PHENYLALANINE+PROLINE+SERINE+TRIGLYCERIDES+ZINC</t>
  </si>
  <si>
    <t>뉴트리플렉스리피드스페셜</t>
  </si>
  <si>
    <t>PLASTI.BAGAB 1250ML</t>
  </si>
  <si>
    <t>뉴트리플렉스리피드스페셜PLASTI.BAGAB 1250ML</t>
  </si>
  <si>
    <t>AB 1250ML</t>
  </si>
  <si>
    <t>AB 1250</t>
  </si>
  <si>
    <t>뉴트리플렉스리피드스페셜PLASTI.BA</t>
  </si>
  <si>
    <t>뉴트리플렉스리피드페리</t>
  </si>
  <si>
    <t>뉴트리플렉스리피드페리PLASTI.BAGAB 1250ML</t>
  </si>
  <si>
    <t>뉴트리플렉스리피드페리PLASTI.BA</t>
  </si>
  <si>
    <t>PLASTI.BAGAB 1875ML</t>
  </si>
  <si>
    <t>뉴트리플렉스리피드페리PLASTI.BAGAB 1875ML</t>
  </si>
  <si>
    <t>AB 1875ML</t>
  </si>
  <si>
    <t>AB 1875</t>
  </si>
  <si>
    <t>뉴트리플렉스리피드플러스</t>
  </si>
  <si>
    <t>뉴트리플렉스리피드플러스PLASTI.BAGAB 1875ML</t>
  </si>
  <si>
    <t>뉴트리플렉스리피드플러스PLASTI.BA</t>
  </si>
  <si>
    <t>ACETIC ACID+ALANINE+ARGININE+ASPARAGINE+CALCIUM+CYSTEINE+GLUCOSE+GLUTAMIC ACID+GLYCINE+HISTIDINE</t>
  </si>
  <si>
    <t>콤비플렉스INFU.BAG 500ML</t>
  </si>
  <si>
    <t>2CB</t>
  </si>
  <si>
    <t>콤비플렉스INFU.BA</t>
  </si>
  <si>
    <t>ACETIC ACID+ALANINE+ARGININE+GLUCOSE+GLUTAMIC ACID+GLYCINE+LEUCINE+LYSINE+PHENYLALANINE+THREONINE</t>
  </si>
  <si>
    <t>콤비플렉스INFU.BAG 1000ML</t>
  </si>
  <si>
    <t>한올바이오파마</t>
  </si>
  <si>
    <t>피엔믹스2호</t>
  </si>
  <si>
    <t>피엔믹스2호INFU.BAG 1000ML</t>
  </si>
  <si>
    <t>피엔믹스2호INFU.BA</t>
  </si>
  <si>
    <t>ACETIC ACID+ALANINE+ARGININE+GLUCOSE+GLYCINE+ISOLEUCINE+LEUCINE+LYSINE+PHOSPHORIC ACID+PROLINE</t>
  </si>
  <si>
    <t>피엔믹스페리2호</t>
  </si>
  <si>
    <t>피엔믹스페리2호INFU.BAG 1000ML</t>
  </si>
  <si>
    <t>피엔믹스페리2호INFU.BA</t>
  </si>
  <si>
    <t>피엔믹스페리2호INFU.BAG 500ML</t>
  </si>
  <si>
    <t>ACETIC ACID+ALANINE+ARGININE+GLUCOSE+GLYCINE+ISOLEUCINE+LEUCINE+LYSINE+POTASSIUM+PROLINE</t>
  </si>
  <si>
    <t>카비트윈페리주1호</t>
  </si>
  <si>
    <t>카비트윈페리주1호INFU.BAG 1000ML</t>
  </si>
  <si>
    <t>카비트윈페리주1호INFU.BA</t>
  </si>
  <si>
    <t>ACETIC ACID+ALANINE+ARGININE+GLUCOSE+GLYCINE+ISOLEUCINE+LEUCINE+LYSINE+PROLINE+VALINE</t>
  </si>
  <si>
    <t>카비트윈1호</t>
  </si>
  <si>
    <t>카비트윈1호INFU.BAG 1000ML</t>
  </si>
  <si>
    <t>카비트윈1호INFU.BA</t>
  </si>
  <si>
    <t>콤비1호 엠지</t>
  </si>
  <si>
    <t>콤비1호 엠지INFU.BAG 1000ML</t>
  </si>
  <si>
    <t>콤비1호 엠지INFU.BA</t>
  </si>
  <si>
    <t>콤비주페리1호 엠지</t>
  </si>
  <si>
    <t>INFU.BAG 1100ML</t>
  </si>
  <si>
    <t>콤비주페리1호 엠지INFU.BAG 1100ML</t>
  </si>
  <si>
    <t xml:space="preserve"> 1100ML</t>
  </si>
  <si>
    <t>콤비주페리1호 엠지INFU.BA</t>
  </si>
  <si>
    <t>ACETIC ACID+ALANINE+ARGININE+GLYCINE+ISOLEUCINE+LEUCINE+LYSINE+PHENYLALANINE+PROLINE+VALINE</t>
  </si>
  <si>
    <t>리파믹스</t>
  </si>
  <si>
    <t>INFU 250ML</t>
  </si>
  <si>
    <t>리파믹스INFU 250ML</t>
  </si>
  <si>
    <t>AA</t>
  </si>
  <si>
    <t>ACETIC ACID+ALANINE+ARGININE+GLYCINE+ISOLEUCINE+LEUCINE+LYSINE+POTASSIUM+PROLINE+VALINE</t>
  </si>
  <si>
    <t>대한약품</t>
  </si>
  <si>
    <t>멀티플렉스페리</t>
  </si>
  <si>
    <t>멀티플렉스페리INFU.BAG 1100ML</t>
  </si>
  <si>
    <t>멀티플렉스페리INFU.BA</t>
  </si>
  <si>
    <t>INFU.BAG 550ML</t>
  </si>
  <si>
    <t>멀티플렉스페리INFU.BAG 550ML</t>
  </si>
  <si>
    <t xml:space="preserve"> 550ML</t>
  </si>
  <si>
    <t>ACETIC ACID+ALANINE+ARGININE+HISTIDINE+LEUCINE+LYSINE+METHIONINE+PHENYLALANINE+PROLINE+SORBITOL</t>
  </si>
  <si>
    <t>푸라솔 중단</t>
  </si>
  <si>
    <t>푸라솔 중단INFU.BAG 500ML</t>
  </si>
  <si>
    <t>기타(제외)</t>
  </si>
  <si>
    <t>푸라솔 중단INFU.BA</t>
  </si>
  <si>
    <t>ACETIC ACID+ALANINE+ARGININE+ISOLEUCINE+LEUCINE+LYSINE+PHENYLALANINE+PROLINE+SERINE+VALINE</t>
  </si>
  <si>
    <t>아노솔</t>
  </si>
  <si>
    <t>INFU 100ML</t>
  </si>
  <si>
    <t>아노솔INFU 100ML</t>
  </si>
  <si>
    <t>아노솔INFU 250ML</t>
  </si>
  <si>
    <t>INFU 500ML</t>
  </si>
  <si>
    <t>아노솔INFU 500ML</t>
  </si>
  <si>
    <t>바이오솔</t>
  </si>
  <si>
    <t>INFU 8.5% 250ML</t>
  </si>
  <si>
    <t>바이오솔INFU 8.5% 250ML</t>
  </si>
  <si>
    <t>ACETYLCYSTEINE+ALANINE+ARGININE+GLUTAMIC ACID+GLYCINE+HISTIDINE+ISOLEUCINE+LEUCINE+N-ACETYL-L-TYROSIN</t>
  </si>
  <si>
    <t>텐프라민</t>
  </si>
  <si>
    <t>텐프라민INFU 250ML</t>
  </si>
  <si>
    <t>ACETYLCYSTEINE+ALANINE+ARGININE+ISOLEUCINE+LEUCINE+LYSINE+PROLINE+SERINE+TYROSINE+VALINE</t>
  </si>
  <si>
    <t>진보민</t>
  </si>
  <si>
    <t>INFU 6% 250ML</t>
  </si>
  <si>
    <t>진보민INFU 6% 250ML</t>
  </si>
  <si>
    <t>ACETYLLYSINE+ALANINE+ARGININE+GLYCINE+HISTIDINE+LEUCINE+PHENYLALANINE+PROLINE+THREONINE+VALINE</t>
  </si>
  <si>
    <t>INFU 10% 250ML</t>
  </si>
  <si>
    <t>뉴바솔INFU 10% 250ML</t>
  </si>
  <si>
    <t>ALANINE+ARGININE+ASPARAGINE+CITRIC ACID+FLAVIN MONONUCLEOTIDE+GLYCINE+HISTIDINE+ISOLEUCINE+LEUCINE+LYSINE</t>
  </si>
  <si>
    <t>모아비타 한올바이오파마</t>
  </si>
  <si>
    <t>INFU.BAG 250ML</t>
  </si>
  <si>
    <t>모아비타 한올바이오파마INFU.BAG 250ML</t>
  </si>
  <si>
    <t xml:space="preserve"> 250ML</t>
  </si>
  <si>
    <t>모아비타 한올바이오파마INFU.BA</t>
  </si>
  <si>
    <t>ALANINE+ARGININE+ASPARAGINE+HISTIDINE+ISOLEUCINE+LEUCINE+LYSINE+PHENYLALANINE+THREONINE+VALINE</t>
  </si>
  <si>
    <t>알파민</t>
  </si>
  <si>
    <t>INFU 10% 500ML</t>
  </si>
  <si>
    <t>알파민INFU 10% 500ML</t>
  </si>
  <si>
    <t>ALANINE+ARGININE+ASPARTIC ACID+GLUTAMIC ACID+ISOLEUCINE+LEUCINE+LYSINE+PROLINE+SODIUM+VALINE</t>
  </si>
  <si>
    <t>아미노플라즈마 E</t>
  </si>
  <si>
    <t>아미노플라즈마 EINFU 10% 250ML</t>
  </si>
  <si>
    <t>INFU 5% 250ML</t>
  </si>
  <si>
    <t>아미노플라즈마 EINFU 5% 250ML</t>
  </si>
  <si>
    <t>ALANINE+ARGININE+CYSTEINE+GLYCINE+HISTIDINE+ISOLEUCINE+LEUCINE+LYSINE+METHIONINE+PHENYLALANINE</t>
  </si>
  <si>
    <t>지씨웰빙아미노플렉스</t>
  </si>
  <si>
    <t>지씨웰빙아미노플렉스INFU.BAG 250ML</t>
  </si>
  <si>
    <t>지씨웰빙아미노플렉스INFU.BA</t>
  </si>
  <si>
    <t>ALANINE+ARGININE+GLUCOSE+ISOLEUCINE+LEUCINE+LYSINE+PHENYLALANINE+PROLINE+SERINE+VALINE</t>
  </si>
  <si>
    <t>뉴트리플렉스페리40</t>
  </si>
  <si>
    <t>PLASTI.BAGAB 1000ML</t>
  </si>
  <si>
    <t>뉴트리플렉스페리40PLASTI.BAGAB 1000ML</t>
  </si>
  <si>
    <t>AB 1000ML</t>
  </si>
  <si>
    <t>뉴트리플렉스페리40PLASTI.BA</t>
  </si>
  <si>
    <t>AB 1000</t>
  </si>
  <si>
    <t>ALANINE+ARGININE+GLUCOSE+ISOLEUCINE+LEUCINE+PHENYLALANINE+PROLINE+SERINE+SODIUM+VALINE</t>
  </si>
  <si>
    <t>뉴트리플렉스48</t>
  </si>
  <si>
    <t>뉴트리플렉스48PLASTI.BAGAB 1000ML</t>
  </si>
  <si>
    <t>뉴트리플렉스48PLASTI.BA</t>
  </si>
  <si>
    <t>ALANINE+ARGININE+GLUTAMIC ACID+GLUTAMINE+HISTIDINE+LEUCINE+LYSINE+PHENYLALANINE+PROLINE+VALINE</t>
  </si>
  <si>
    <t>아미노글루</t>
  </si>
  <si>
    <t>아미노글루INFU.BAG 500ML</t>
  </si>
  <si>
    <t>아미노글루INFU.BA</t>
  </si>
  <si>
    <t>아미노풀</t>
  </si>
  <si>
    <t>아미노풀INFU.BAG 500ML</t>
  </si>
  <si>
    <t>아미노풀INFU.BA</t>
  </si>
  <si>
    <t>ALANINE+ARGININE+GLUTAMIC ACID+GLYCINE+HISTIDINE+ISOLEUCINE+LEUCINE+LYSINE+PHENYLALANINE+THREONINE</t>
  </si>
  <si>
    <t>크레타민INFU.BAG 500ML</t>
  </si>
  <si>
    <t>크레타민INFU.BA</t>
  </si>
  <si>
    <t>푸로아민</t>
  </si>
  <si>
    <t>INFU 200ML</t>
  </si>
  <si>
    <t>푸로아민INFU 200ML</t>
  </si>
  <si>
    <t>푸로아민INFU 500ML</t>
  </si>
  <si>
    <t>푸로아민INFU 250ML</t>
  </si>
  <si>
    <t>ALANINE+ARGININE+GLUTAMIC ACID+GLYCINE+ISOLEUCINE+LEUCINE+LYSINE+PHENYLALANINE+PROLINE+THREONINE</t>
  </si>
  <si>
    <t>도데아민</t>
  </si>
  <si>
    <t>INFU 12.5% 250ML</t>
  </si>
  <si>
    <t>도데아민INFU 12.5% 250ML</t>
  </si>
  <si>
    <t>ALANINE+ARGININE+GLUTAMIC ACID+GLYCYL-L-GLUTAMATE+HISTIDINE+LEUCINE+LYSINE+PHENYLALANINE+PROLINE+VALINE</t>
  </si>
  <si>
    <t>글라민</t>
  </si>
  <si>
    <t>글라민INFU 250ML</t>
  </si>
  <si>
    <t>글라민INFU 500ML</t>
  </si>
  <si>
    <t>ALANINE+ARGININE+GLUTAMIC ACID+HISTIDINE+ISOLEUCINE+LEUCINE+LYSINE+PHENYLALANINE+THREONINE+TYROSINE</t>
  </si>
  <si>
    <t>토파뉴솔</t>
  </si>
  <si>
    <t>토파뉴솔INFU 10% 500ML</t>
  </si>
  <si>
    <t>ALANINE+ARGININE+GLYCINE+HISTIDINE+ISOLEUCINE+LEUCINE+LYSINE+METHIONINE+PHENYLALANINE+PROLINE</t>
  </si>
  <si>
    <t>바이오솔에프</t>
  </si>
  <si>
    <t>바이오솔에프INFU 250ML</t>
  </si>
  <si>
    <t>ALANINE+ARGININE+GLYCINE+HISTIDINE+ISOLEUCINE+LEUCINE+LYSINE+PHENYLALANINE+PROLINE+SERINE</t>
  </si>
  <si>
    <t>후라바솔</t>
  </si>
  <si>
    <t>INFU.BAG 8.5% 250ML</t>
  </si>
  <si>
    <t>후라바솔INFU.BAG 8.5% 250ML</t>
  </si>
  <si>
    <t xml:space="preserve"> 8.5% 250ML</t>
  </si>
  <si>
    <t>후라바솔INFU.BA</t>
  </si>
  <si>
    <t xml:space="preserve"> 8.5% 250</t>
  </si>
  <si>
    <t>INFU.BAG 8.5% 500ML</t>
  </si>
  <si>
    <t>후라바솔INFU.BAG 8.5% 500ML</t>
  </si>
  <si>
    <t xml:space="preserve"> 8.5% 500ML</t>
  </si>
  <si>
    <t xml:space="preserve"> 8.5% 500</t>
  </si>
  <si>
    <t>ALANINE+ARGININE+GLYCINE+HISTIDINE+ISOLEUCINE+LEUCINE+LYSINE+PHENYLALANINE+PROLINE+VALINE</t>
  </si>
  <si>
    <t>INFU.BAG 10% 250ML</t>
  </si>
  <si>
    <t>후라바솔INFU.BAG 10% 250ML</t>
  </si>
  <si>
    <t xml:space="preserve"> 10% 250ML</t>
  </si>
  <si>
    <t xml:space="preserve"> 10% 250</t>
  </si>
  <si>
    <t>INFU.BAG 10% 500ML</t>
  </si>
  <si>
    <t>후라바솔INFU.BAG 10% 500ML</t>
  </si>
  <si>
    <t xml:space="preserve"> 10% 500ML</t>
  </si>
  <si>
    <t xml:space="preserve"> 10% 500</t>
  </si>
  <si>
    <t>ALANINE+ARGININE+GLYCINE+HISTIDINE+ISOLEUCINE+LEUCINE+LYSINE+PHENYLALANINE+THREONINE+VALINE</t>
  </si>
  <si>
    <t>젤라솔</t>
  </si>
  <si>
    <t>젤라솔INFU 200ML</t>
  </si>
  <si>
    <t>젠타라민</t>
  </si>
  <si>
    <t>젠타라민INFU 250ML</t>
  </si>
  <si>
    <t>에스케이케미칼</t>
  </si>
  <si>
    <t>브레노솔</t>
  </si>
  <si>
    <t>브레노솔INFU 10% 250ML</t>
  </si>
  <si>
    <t>아미닉플러스</t>
  </si>
  <si>
    <t>아미닉플러스INFU.BAG 250ML</t>
  </si>
  <si>
    <t>아미닉플러스INFU.BA</t>
  </si>
  <si>
    <t>ALANINE+ARGININE+GLYCINE+HISTIDINE+ISOLEUCINE+LEUCINE+LYSINE+POTASSIUM</t>
  </si>
  <si>
    <t>콤비플렉스페리INFU.BAG 1100ML</t>
  </si>
  <si>
    <t>콤비플렉스페리INFU.BA</t>
  </si>
  <si>
    <t>콤비플렉스페리INFU.BAG 550ML</t>
  </si>
  <si>
    <t>ALANINE+ARGININE+GLYCINE+HISTIDINE+ISOLEUCINE+LEUCINE+LYSINE+PROLINE+THREONINE+VALINE</t>
  </si>
  <si>
    <t>INFU.BAG 100ML</t>
  </si>
  <si>
    <t>닥터라민INFU.BAG 100ML</t>
  </si>
  <si>
    <t xml:space="preserve"> 100ML</t>
  </si>
  <si>
    <t>닥터라민INFU.BA</t>
  </si>
  <si>
    <t>닥터라민INFU.BAG 250ML</t>
  </si>
  <si>
    <t>ALANINE+ARGININE+GLYCINE+HISTIDINE+LEUCINE+LYSINE+METHIONINE+PHENYLALANINE+PROLINE+SORBITOL</t>
  </si>
  <si>
    <t>바이나민</t>
  </si>
  <si>
    <t>바이나민INFU 200ML</t>
  </si>
  <si>
    <t>INFU 400ML</t>
  </si>
  <si>
    <t>바이나민INFU 400ML</t>
  </si>
  <si>
    <t>바이나민INFU.BAG 100ML</t>
  </si>
  <si>
    <t>바이나민INFU.BA</t>
  </si>
  <si>
    <t>ALANINE+ARGININE+GLYCINE+HISTIDINE+LEUCINE+METHIONINE+PHENYLALANINE+SERINE+THREONINE+VALINE</t>
  </si>
  <si>
    <t>브레노솔INFU.BAG 250ML</t>
  </si>
  <si>
    <t>브레노솔INFU.BA</t>
  </si>
  <si>
    <t>ALANINE+ARGININE+GLYCINE+ISOLEUCINE+LEUCINE+L-METHIONINE+LYSINE+PROLINE+SERINE+VALINE</t>
  </si>
  <si>
    <t>포테민 중단</t>
  </si>
  <si>
    <t>포테민 중단INFU.BAG 10% 250ML</t>
  </si>
  <si>
    <t>포테민 중단INFU.BA</t>
  </si>
  <si>
    <t>ALANINE+ARGININE+GLYCINE+ISOLEUCINE+LEUCINE+LYSINE+METHIONINE+PHENYLALANINE+PROLINE+VALINE</t>
  </si>
  <si>
    <t>써포타민</t>
  </si>
  <si>
    <t>써포타민INFU 250ML</t>
  </si>
  <si>
    <t>써포타민INFU.BAG 250ML</t>
  </si>
  <si>
    <t>써포타민INFU.BA</t>
  </si>
  <si>
    <t>ALANINE+ARGININE+GLYCINE+ISOLEUCINE+LEUCINE+LYSINE+PHENYLALANINE+PROLINE+SERINE+VALINE</t>
  </si>
  <si>
    <t>후리아민INFU.BAG 10% 250ML</t>
  </si>
  <si>
    <t>후리아민INFU.BA</t>
  </si>
  <si>
    <t>후리아민INFU.BAG 10% 500ML</t>
  </si>
  <si>
    <t>후리아민INFU.BAG 8.5% 250ML</t>
  </si>
  <si>
    <t>후리아민INFU.BAG 8.5% 500ML</t>
  </si>
  <si>
    <t>마리나솔</t>
  </si>
  <si>
    <t>마리나솔INFU 8.5% 250ML</t>
  </si>
  <si>
    <t>INFU 8.5% 500ML</t>
  </si>
  <si>
    <t>마리나솔INFU 8.5% 500ML</t>
  </si>
  <si>
    <t>아르믹스</t>
  </si>
  <si>
    <t>아르믹스INFU 100ML</t>
  </si>
  <si>
    <t>INFU 180ML</t>
  </si>
  <si>
    <t>아르믹스INFU 180ML</t>
  </si>
  <si>
    <t>아르믹스INFU 200ML</t>
  </si>
  <si>
    <t>아르믹스INFU 8.5% 250ML</t>
  </si>
  <si>
    <t>아르믹스INFU.BAG 100ML</t>
  </si>
  <si>
    <t>아르믹스INFU.BA</t>
  </si>
  <si>
    <t>아르믹스INFU.BAG 8.5% 250ML</t>
  </si>
  <si>
    <t>임펙타솔</t>
  </si>
  <si>
    <t>임펙타솔INFU 250ML</t>
  </si>
  <si>
    <t>누트리푸신</t>
  </si>
  <si>
    <t>누트리푸신INFU 8.5% 250ML</t>
  </si>
  <si>
    <t>후리아민에이취비씨INFU.BAG 100ML</t>
  </si>
  <si>
    <t>후리아민에이취비씨INFU.BA</t>
  </si>
  <si>
    <t>라보솔INFU 250ML</t>
  </si>
  <si>
    <t>에버라민INFU.BAG 100ML</t>
  </si>
  <si>
    <t>에버라민INFU.BA</t>
  </si>
  <si>
    <t>에버라민INFU.BAG 250ML</t>
  </si>
  <si>
    <t>큐어솔</t>
  </si>
  <si>
    <t>큐어솔INFU.BAG 250ML</t>
  </si>
  <si>
    <t>큐어솔INFU.BA</t>
  </si>
  <si>
    <t>ALANINE+ARGININE+GLYCINE+ISOLEUCINE+LEUCINE+LYSINE+PHENYLALANINE+PROLINE+THREONINE+VALINE</t>
  </si>
  <si>
    <t>케어아민</t>
  </si>
  <si>
    <t>케어아민INFU 250ML</t>
  </si>
  <si>
    <t>ALANINE+ARGININE+GLYCINE+ISOLEUCINE+LEUCINE+LYSINE+PROLINE+SERINE+SODIUM+VALINE</t>
  </si>
  <si>
    <t>바이오솔INFU 10% 250ML</t>
  </si>
  <si>
    <t>ALANINE+ARGININE+GLYCINE+ISOLEUCINE+LEUCINE+LYSINE+PROLINE+SERINE+THREONINE+VALINE</t>
  </si>
  <si>
    <t>유바솔INFU.BAG 250ML</t>
  </si>
  <si>
    <t>유바솔INFU.BA</t>
  </si>
  <si>
    <t>ALANINE+ARGININE+GLYCINE+LEUCINE+LYSINE+METHIONINE+ORNITHINE+PHENYLALANINE+PROLINE+SORBITOL</t>
  </si>
  <si>
    <t>아미노헥스</t>
  </si>
  <si>
    <t>아미노헥스INFU 200ML</t>
  </si>
  <si>
    <t>ALANINE+ARGININE+GLYCINE+LEUCINE+LYSINE+METHIONINE+PHENYLALANINE+PROLINE+VALINE+XYLITOL</t>
  </si>
  <si>
    <t>바이타솔INFU.BAG 250ML</t>
  </si>
  <si>
    <t>바이타솔INFU.BA</t>
  </si>
  <si>
    <t>바이타솔INFU.BAG 500ML</t>
  </si>
  <si>
    <t>ALANINE+ARGININE+GLYCINE+LEUCINE+LYSINE+PHENYLALANINE+PROLINE+SORBITOL+VALINE+XYLITOL</t>
  </si>
  <si>
    <t>뉴트리헥스</t>
  </si>
  <si>
    <t>뉴트리헥스INFU 100ML</t>
  </si>
  <si>
    <t>뉴트리헥스INFU 250ML</t>
  </si>
  <si>
    <t>뉴트리헥스INFU.BAG 100ML</t>
  </si>
  <si>
    <t>뉴트리헥스INFU.BA</t>
  </si>
  <si>
    <t>뉴트리헥스INFU.BAG 250ML</t>
  </si>
  <si>
    <t>ALANINE+ARGININE+HISTIDINE+ISOLEUCINE+LEUCINE+LYSINE+PHENYLALANINE+PROLINE+THREONINE+VALINE</t>
  </si>
  <si>
    <t>아미닉</t>
  </si>
  <si>
    <t>아미닉INFU 200ML</t>
  </si>
  <si>
    <t>아미닉INFU 250ML</t>
  </si>
  <si>
    <t>ALANINE+ARGININE+ISOLEUCINE+LEUCINE+L-METHIONINE+LYSINE+PHENYLALANINE+PROLINE+SERINE+VALINE</t>
  </si>
  <si>
    <t>퓨라민</t>
  </si>
  <si>
    <t>퓨라민INFU 8.5% 250ML</t>
  </si>
  <si>
    <t>AMINOACIDS</t>
  </si>
  <si>
    <t>오케이솔</t>
  </si>
  <si>
    <t>오케이솔INFU 250ML</t>
  </si>
  <si>
    <t>아미콤푸렉스</t>
  </si>
  <si>
    <t>아미콤푸렉스INFU 250ML</t>
  </si>
  <si>
    <t>데카민 대한</t>
  </si>
  <si>
    <t>데카민 대한INFU 250ML</t>
  </si>
  <si>
    <t>슈프라민</t>
  </si>
  <si>
    <t>슈프라민INFU 250ML</t>
  </si>
  <si>
    <t>AMINOACIDS+ELECTROLYTE SOLUTIONS+SORBITOL+XYLITOL</t>
  </si>
  <si>
    <t>아미랄</t>
  </si>
  <si>
    <t>아미랄INFU.BAG 500ML</t>
  </si>
  <si>
    <t>아미랄INFU.BA</t>
  </si>
  <si>
    <t>ARGININE+ASPARTIC ACID+GLYCINE+HISTIDINE+ISOLEUCINE+LEUCINE+LYSINE+PHENYLALANINE+THREONINE+VALINE</t>
  </si>
  <si>
    <t>에이프로젠</t>
  </si>
  <si>
    <t>에버나솔</t>
  </si>
  <si>
    <t>에버나솔INFU 250ML</t>
  </si>
  <si>
    <t>ARGININE+BETA-ALANINE+GLUTAMIC ACID+GLYCINE+LEUCINE+LYSINE+METHIONINE+PROLINE+SERINE+THREONINE</t>
  </si>
  <si>
    <t>인트라푸신</t>
  </si>
  <si>
    <t>인트라푸신INFU 10% 250ML</t>
  </si>
  <si>
    <t>인트라푸신INFU 10% 500ML</t>
  </si>
  <si>
    <t>ARGININE+BETA-ALANINE+GLYCINE+ISOLEUCINE+LEUCINE+L-METHIONINE+LYSINE+PHENYLALANINE+PROLINE+VALINE</t>
  </si>
  <si>
    <t>포텐아민</t>
  </si>
  <si>
    <t>INFU 12.8% 250ML</t>
  </si>
  <si>
    <t>포텐아민INFU 12.8% 250ML</t>
  </si>
  <si>
    <t>INFU 12.8% 500ML</t>
  </si>
  <si>
    <t>포텐아민INFU 12.8% 500ML</t>
  </si>
  <si>
    <t>ARGININE+BETA-ALANINE+GLYCINE+ISOLEUCINE+LEUCINE+LYSINE+PHENYLALANINE+PROLINE+SERINE+VALINE</t>
  </si>
  <si>
    <t>카프솔</t>
  </si>
  <si>
    <t>카프솔INFU 10% 250ML</t>
  </si>
  <si>
    <t>카프솔INFU 10% 500ML</t>
  </si>
  <si>
    <t>ARGININE+BETA-ALANINE+GLYCINE+ISOLEUCINE+LEUCINE+LYSINE+PROLINE+SERINE+THREONINE+VALINE</t>
  </si>
  <si>
    <t>리보푸렉스</t>
  </si>
  <si>
    <t>리보푸렉스INFU 250ML</t>
  </si>
  <si>
    <t>ARGININE+GLYCINE+ISOLEUCINE+LEUCINE+LYSINE+METHIONINE+PHENYLALANINE+PROLINE+SERINE+VALINE</t>
  </si>
  <si>
    <t>클로바민</t>
  </si>
  <si>
    <t>클로바민INFU 250ML</t>
  </si>
  <si>
    <t>ARGININE+HISTIDINE+ISOLEUCINE+LEUCINE+LYSINE+METHIONINE+PHENYLALANINE+PROLINE+SORBITOL+VALINE</t>
  </si>
  <si>
    <t>케어민</t>
  </si>
  <si>
    <t>케어민INFU 250ML</t>
  </si>
  <si>
    <t>진카로솔</t>
  </si>
  <si>
    <t>진카로솔INFU 250ML</t>
  </si>
  <si>
    <t>진카로솔INFU.BAG 250ML</t>
  </si>
  <si>
    <t>진카로솔INFU.BA</t>
  </si>
  <si>
    <t>ACETIC ACID+ALANINE+ARGININE+GLYCINE+ISOLEUCINE+LEUCINE+LYSINE+PROLINE+THREONINE+VALINE</t>
  </si>
  <si>
    <t>헤파비아</t>
  </si>
  <si>
    <t>INFU 8% 250ML</t>
  </si>
  <si>
    <t>헤파비아INFU 8% 250ML</t>
  </si>
  <si>
    <t>INFU 8% 500ML</t>
  </si>
  <si>
    <t>헤파비아INFU 8% 500ML</t>
  </si>
  <si>
    <t>INFU.BAG 8% 250ML</t>
  </si>
  <si>
    <t>헤파비아INFU.BAG 8% 250ML</t>
  </si>
  <si>
    <t xml:space="preserve"> 8% 250ML</t>
  </si>
  <si>
    <t>헤파비아INFU.BA</t>
  </si>
  <si>
    <t xml:space="preserve"> 8% 250</t>
  </si>
  <si>
    <t>INFU.BAG 8% 500ML</t>
  </si>
  <si>
    <t>헤파비아INFU.BAG 8% 500ML</t>
  </si>
  <si>
    <t xml:space="preserve"> 8% 500ML</t>
  </si>
  <si>
    <t xml:space="preserve"> 8% 500</t>
  </si>
  <si>
    <t>아미노스테릴엔헤파</t>
  </si>
  <si>
    <t>INFU.VIAL 8% 250ML</t>
  </si>
  <si>
    <t>아미노스테릴엔헤파INFU.VIAL 8% 250ML</t>
  </si>
  <si>
    <t>ACETIC ACID+ALANINE+ARGININE+HISTIDINE+ISOLEUCINE+LEUCINE+LYSINE+PROLINE+THREONINE+VALINE</t>
  </si>
  <si>
    <t>가네파솔</t>
  </si>
  <si>
    <t>가네파솔INFU 8% 250ML</t>
  </si>
  <si>
    <t>INFU.BAG 5% 500ML</t>
  </si>
  <si>
    <t>가네파솔INFU.BAG 5% 500ML</t>
  </si>
  <si>
    <t xml:space="preserve"> 5% 500ML</t>
  </si>
  <si>
    <t>가네파솔INFU.BA</t>
  </si>
  <si>
    <t xml:space="preserve"> 5% 500</t>
  </si>
  <si>
    <t>ACETIC ACID+ALANINE+ARGININE+ISOLEUCINE+LEUCINE+LYSINE+PROLINE+SERINE+SODIUM+VALINE</t>
  </si>
  <si>
    <t>헤파타민INFU.BAG 8% 250ML</t>
  </si>
  <si>
    <t>헤파타민INFU.BA</t>
  </si>
  <si>
    <t>헤파타민INFU.BAG 8% 500ML</t>
  </si>
  <si>
    <t>ACETYLCYSTEINE+ALANINE+ARGININE+ASPARTIC ACID+GLUTAMIC ACID+HISTIDINE+ISOLEUCINE+LEUCINE+LYSINE+METHIONINE</t>
  </si>
  <si>
    <t>헤리아푸신</t>
  </si>
  <si>
    <t>헤리아푸신INFU 250ML</t>
  </si>
  <si>
    <t>ALANINE+ARGININE+ASPARTIC ACID+ISOLEUCINE+LEUCINE+LYSINE+SERINE+SORBITOL+VALINE+XYLITOL</t>
  </si>
  <si>
    <t>솔루헤파</t>
  </si>
  <si>
    <t>솔루헤파INFU 5% 250ML</t>
  </si>
  <si>
    <t>포타솔 신풍</t>
  </si>
  <si>
    <t>포타솔 신풍INFU 250ML</t>
  </si>
  <si>
    <t>에코파민</t>
  </si>
  <si>
    <t>에코파민INFU 10% 250ML</t>
  </si>
  <si>
    <t>에코파민INFU.BAG 10% 250ML</t>
  </si>
  <si>
    <t>에코파민INFU.BA</t>
  </si>
  <si>
    <t>에코파민INFU.BAG 10% 500ML</t>
  </si>
  <si>
    <t>ALANINE+ARGININE+GLYCINE+HISTIDINE+ISOLEUCINE+LEUCINE+LYSINE+PROLINE+SERINE+VALINE</t>
  </si>
  <si>
    <t>모리헤파민</t>
  </si>
  <si>
    <t>모리헤파민INFU 200ML</t>
  </si>
  <si>
    <t>모리헤파민INFU 500ML</t>
  </si>
  <si>
    <t>프리솔</t>
  </si>
  <si>
    <t>프리솔INFU 250ML</t>
  </si>
  <si>
    <t>파렌타민</t>
  </si>
  <si>
    <t>파렌타민INFU 250ML</t>
  </si>
  <si>
    <t>모아렉스</t>
  </si>
  <si>
    <t>모아렉스INFU 250ML</t>
  </si>
  <si>
    <t>게라민</t>
  </si>
  <si>
    <t>INFU 7.5% 200ML</t>
  </si>
  <si>
    <t>게라민INFU 7.5% 200ML</t>
  </si>
  <si>
    <t>INFU 7.5% 250ML</t>
  </si>
  <si>
    <t>게라민INFU 7.5% 250ML</t>
  </si>
  <si>
    <t>네오팜</t>
  </si>
  <si>
    <t>INFU 70% 250ML</t>
  </si>
  <si>
    <t>네오팜INFU 70% 250ML</t>
  </si>
  <si>
    <t>슈어로솔</t>
  </si>
  <si>
    <t>슈어로솔INFU.BAG 250ML</t>
  </si>
  <si>
    <t>슈어로솔INFU.BA</t>
  </si>
  <si>
    <t>헤라젠</t>
  </si>
  <si>
    <t>헤라젠INFU.BAG 100ML</t>
  </si>
  <si>
    <t>헤라젠INFU.BA</t>
  </si>
  <si>
    <t>헤라젠INFU.BAG 250ML</t>
  </si>
  <si>
    <t>써프라민</t>
  </si>
  <si>
    <t>INFU.BAG 7.5% 100ML</t>
  </si>
  <si>
    <t>써프라민INFU.BAG 7.5% 100ML</t>
  </si>
  <si>
    <t xml:space="preserve"> 7.5% 100ML</t>
  </si>
  <si>
    <t>써프라민INFU.BA</t>
  </si>
  <si>
    <t xml:space="preserve"> 7.5% 100</t>
  </si>
  <si>
    <t>INFU.BAG 7.5% 250ML</t>
  </si>
  <si>
    <t>써프라민INFU.BAG 7.5% 250ML</t>
  </si>
  <si>
    <t xml:space="preserve"> 7.5% 250ML</t>
  </si>
  <si>
    <t xml:space="preserve"> 7.5% 250</t>
  </si>
  <si>
    <t>뉴타민INFU.BAG 100ML</t>
  </si>
  <si>
    <t>뉴타민INFU.BA</t>
  </si>
  <si>
    <t>뉴타민INFU.BAG 250ML</t>
  </si>
  <si>
    <t>모리헤파민INFU 100ML</t>
  </si>
  <si>
    <t>모리헤파민INFU 250ML</t>
  </si>
  <si>
    <t>에가푸신</t>
  </si>
  <si>
    <t>에가푸신INFU 250ML</t>
  </si>
  <si>
    <t>에가푸신INFU 500ML</t>
  </si>
  <si>
    <t>아미파티</t>
  </si>
  <si>
    <t>아미파티INFU 100ML</t>
  </si>
  <si>
    <t>아미파티INFU 250ML</t>
  </si>
  <si>
    <t>아미파티백</t>
  </si>
  <si>
    <t>INFU.BAG 5% 100ML</t>
  </si>
  <si>
    <t>아미파티백INFU.BAG 5% 100ML</t>
  </si>
  <si>
    <t xml:space="preserve"> 5% 100ML</t>
  </si>
  <si>
    <t>아미파티백INFU.BA</t>
  </si>
  <si>
    <t xml:space="preserve"> 5% 100</t>
  </si>
  <si>
    <t>INFU.BAG 5% 250ML</t>
  </si>
  <si>
    <t>아미파티백INFU.BAG 5% 250ML</t>
  </si>
  <si>
    <t xml:space="preserve"> 5% 250ML</t>
  </si>
  <si>
    <t xml:space="preserve"> 5% 250</t>
  </si>
  <si>
    <t>에쎈타민</t>
  </si>
  <si>
    <t>에쎈타민INFU.BAG 5% 250ML</t>
  </si>
  <si>
    <t>에쎈타민INFU.BA</t>
  </si>
  <si>
    <t>새로나민</t>
  </si>
  <si>
    <t>새로나민INFU 250ML</t>
  </si>
  <si>
    <t>새로나민INFU.BAG 250ML</t>
  </si>
  <si>
    <t>새로나민INFU.BA</t>
  </si>
  <si>
    <t>멀티솔</t>
  </si>
  <si>
    <t>멀티솔INFU 250ML</t>
  </si>
  <si>
    <t>보령바이오파마</t>
  </si>
  <si>
    <t>뉴트라민</t>
  </si>
  <si>
    <t>뉴트라민INFU.BAG 250ML</t>
  </si>
  <si>
    <t>뉴트라민INFU.BA</t>
  </si>
  <si>
    <t>아미서플</t>
  </si>
  <si>
    <t>아미서플INFU 100ML</t>
  </si>
  <si>
    <t>아미서플INFU 250ML</t>
  </si>
  <si>
    <t>지씨웰빙아미노</t>
  </si>
  <si>
    <t>지씨웰빙아미노INFU 250ML</t>
  </si>
  <si>
    <t>아미노포스</t>
  </si>
  <si>
    <t>아미노포스INFU 250ML</t>
  </si>
  <si>
    <t>ALANINE+ARGININE+GLYCINE+HISTIDINE+ISOLEUCINE+LEUCINE+PROLINE+SERINE+THREONINE+VALINE</t>
  </si>
  <si>
    <t>리케어솔</t>
  </si>
  <si>
    <t>리케어솔INFU 250ML</t>
  </si>
  <si>
    <t>리케어솔INFU.BAG 100ML</t>
  </si>
  <si>
    <t>리케어솔INFU.BA</t>
  </si>
  <si>
    <t>리케어솔INFU.BAG 250ML</t>
  </si>
  <si>
    <t>에이나민</t>
  </si>
  <si>
    <t>에이나민INFU 250ML</t>
  </si>
  <si>
    <t>에이나민INFU 500ML</t>
  </si>
  <si>
    <t>파미솔</t>
  </si>
  <si>
    <t>파미솔INFU 250ML</t>
  </si>
  <si>
    <t>파미솔INFU 500ML</t>
  </si>
  <si>
    <t>후라바솔헤파</t>
  </si>
  <si>
    <t>INFU.BAG 6% 100ML</t>
  </si>
  <si>
    <t>후라바솔헤파INFU.BAG 6% 100ML</t>
  </si>
  <si>
    <t xml:space="preserve"> 6% 100ML</t>
  </si>
  <si>
    <t>후라바솔헤파INFU.BA</t>
  </si>
  <si>
    <t xml:space="preserve"> 6% 100</t>
  </si>
  <si>
    <t>INFU.BAG 6% 250ML</t>
  </si>
  <si>
    <t>후라바솔헤파INFU.BAG 6% 250ML</t>
  </si>
  <si>
    <t xml:space="preserve"> 6% 250ML</t>
  </si>
  <si>
    <t xml:space="preserve"> 6% 250</t>
  </si>
  <si>
    <t>리바후라민</t>
  </si>
  <si>
    <t>리바후라민INFU.BAG 8% 250ML</t>
  </si>
  <si>
    <t>리바후라민INFU.BA</t>
  </si>
  <si>
    <t>리바후라민INFU.BAG 8% 500ML</t>
  </si>
  <si>
    <t>울트라솔</t>
  </si>
  <si>
    <t>울트라솔INFU 6% 250ML</t>
  </si>
  <si>
    <t>레보타솔</t>
  </si>
  <si>
    <t>레보타솔INFU 100ML</t>
  </si>
  <si>
    <t>레보타솔INFU 250ML</t>
  </si>
  <si>
    <t>트로미솔</t>
  </si>
  <si>
    <t>트로미솔INFU 250ML</t>
  </si>
  <si>
    <t>리브솔</t>
  </si>
  <si>
    <t>리브솔INFU 250ML</t>
  </si>
  <si>
    <t>헬파워솔</t>
  </si>
  <si>
    <t>헬파워솔INFU 250ML</t>
  </si>
  <si>
    <t>헬파워솔INFU.BAG 100ML</t>
  </si>
  <si>
    <t>헬파워솔INFU.BA</t>
  </si>
  <si>
    <t>헬파워솔INFU.BAG 250ML</t>
  </si>
  <si>
    <t>헬스나민</t>
  </si>
  <si>
    <t>헬스나민INFU 100ML</t>
  </si>
  <si>
    <t>헬스나민INFU 200ML</t>
  </si>
  <si>
    <t>헬스나민INFU 250ML</t>
  </si>
  <si>
    <t>아미믹스</t>
  </si>
  <si>
    <t>아미믹스INFU 100ML</t>
  </si>
  <si>
    <t>아미믹스INFU 250ML</t>
  </si>
  <si>
    <t>파노라민</t>
  </si>
  <si>
    <t>파노라민INFU 250ML</t>
  </si>
  <si>
    <t>루치아솔</t>
  </si>
  <si>
    <t>루치아솔INFU 250ML</t>
  </si>
  <si>
    <t>지씨웰빙뉴라민</t>
  </si>
  <si>
    <t>지씨웰빙뉴라민INFU 100ML</t>
  </si>
  <si>
    <t>테라푸솔</t>
  </si>
  <si>
    <t>INFU 8% 100ML</t>
  </si>
  <si>
    <t>테라푸솔INFU 8% 100ML</t>
  </si>
  <si>
    <t>테라푸솔INFU 8% 250ML</t>
  </si>
  <si>
    <t>ALANINE+ARGININE+GLYCINE+ISOLEUCINE+LEUCINE+LYSINE+PROLINE+SODIUM+THREONINE+VALINE</t>
  </si>
  <si>
    <t>에셀민</t>
  </si>
  <si>
    <t>에셀민INFU 8% 250ML</t>
  </si>
  <si>
    <t>INFU 8% 200ML</t>
  </si>
  <si>
    <t>에셀민INFU 8% 200ML</t>
  </si>
  <si>
    <t>ALANINE+ARGININE+GLYCINE+ISOLEUCINE+LEUCINE+PHENYLALANINE</t>
  </si>
  <si>
    <t>리프타민</t>
  </si>
  <si>
    <t>리프타민INFU 250ML</t>
  </si>
  <si>
    <t>ALANINE+ARGININE+GLYCINE+METHIONINE+PHENYLALANINE+PROLINE+SERINE+THREONINE+TRYPTOPHAN+VALINE</t>
  </si>
  <si>
    <t>리브솔INFU 500ML</t>
  </si>
  <si>
    <t>ALANINE+ARGININE+HISTIDINE+ISOLEUCINE+LEUCINE+LYSINE+PROLINE+SERINE+THREONINE+VALINE</t>
  </si>
  <si>
    <t>토프라민</t>
  </si>
  <si>
    <t>토프라민INFU 250ML</t>
  </si>
  <si>
    <t>ALANINE+ARGININE+ISOLEUCINE+LEUCINE+LYSINE+ORNITHINE+SERINE+SORBITOL+VALINE+XYLITOL</t>
  </si>
  <si>
    <t>제이헤파민INFU.BAG 250ML</t>
  </si>
  <si>
    <t>제이헤파민INFU.BA</t>
  </si>
  <si>
    <t>ALANINE+HISTIDINE+ISOLEUCINE+LEUCINE+LYSINE+PROLINE+SERINE+TRYPTOPHAN+TYROSINE+VALINE</t>
  </si>
  <si>
    <t>트리푸신</t>
  </si>
  <si>
    <t>트리푸신INFU 250ML</t>
  </si>
  <si>
    <t>트리푸신INFU.BAG 250ML</t>
  </si>
  <si>
    <t>트리푸신INFU.BA</t>
  </si>
  <si>
    <t>안타솔</t>
  </si>
  <si>
    <t>안타솔INFU 250ML</t>
  </si>
  <si>
    <t>토비다솔</t>
  </si>
  <si>
    <t>토비다솔INFU 200ML</t>
  </si>
  <si>
    <t>토비다솔INFU 250ML</t>
  </si>
  <si>
    <t>ARGININE+BETA-ALANINE+GLYCINE+HISTIDINE+ISOLEUCINE+LEUCINE+PROLINE+SERINE+THREONINE+VALINE</t>
  </si>
  <si>
    <t>이소나민</t>
  </si>
  <si>
    <t>이소나민INFU 250ML</t>
  </si>
  <si>
    <t>ARGININE+GLYCINE+ISOLEUCINE+LEUCINE+MALIC ACID+POTASSIUM+PROLINE+SERINE+THREONINE+VALINE</t>
  </si>
  <si>
    <t>리바비솔</t>
  </si>
  <si>
    <t>리바비솔INFU 250ML</t>
  </si>
  <si>
    <t>리바비솔INFU 500ML</t>
  </si>
  <si>
    <t>ARGININE+ISOLEUCINE+LEUCINE+LYSINE+ORNITHINE+SERINE+SODIUM+SORBITOL+VALINE+XYLITOL</t>
  </si>
  <si>
    <t>토비다솔플러스</t>
  </si>
  <si>
    <t>토비다솔플러스INFU.BAG 250ML</t>
  </si>
  <si>
    <t>토비다솔플러스INFU.BA</t>
  </si>
  <si>
    <t>DOCONEXENT+GLYCEROL+ICOSAPENT+SOYA LECITHIN</t>
  </si>
  <si>
    <t>오메가벤</t>
  </si>
  <si>
    <t>INFU 5G 50ML</t>
  </si>
  <si>
    <t>오메가벤INFU 5G 50ML</t>
  </si>
  <si>
    <t xml:space="preserve"> 50ML</t>
  </si>
  <si>
    <t>Lipid</t>
  </si>
  <si>
    <t>오메가벤INFU 5</t>
  </si>
  <si>
    <t>DOCONEXENT+GLYCINE MAX+ICOSAPENT+OLEA EUROPEA+TRIGLYCERIDES</t>
  </si>
  <si>
    <t>스모프리피드</t>
  </si>
  <si>
    <t>INFU 20% 100ML</t>
  </si>
  <si>
    <t>스모프리피드INFU 20% 100ML</t>
  </si>
  <si>
    <t>lipid</t>
  </si>
  <si>
    <t>INFU 20% 250ML</t>
  </si>
  <si>
    <t>스모프리피드INFU 20% 250ML</t>
  </si>
  <si>
    <t>INFU 20% 500ML</t>
  </si>
  <si>
    <t>스모프리피드INFU 20% 500ML</t>
  </si>
  <si>
    <t>오마프원리피드</t>
  </si>
  <si>
    <t>오마프원리피드INFU.BAG 100ML</t>
  </si>
  <si>
    <t>오마프원리피드INFU.BA</t>
  </si>
  <si>
    <t>폼스리피드</t>
  </si>
  <si>
    <t>폼스리피드INFU.BAG 250ML</t>
  </si>
  <si>
    <t>폼스리피드INFU.BA</t>
  </si>
  <si>
    <t>INFU 20% 50ML</t>
  </si>
  <si>
    <t>스모프리피드INFU 20% 50ML</t>
  </si>
  <si>
    <t>DOCONEXENT+GLYCINE MAX+ICOSAPENT+TRIGLYCERIDES</t>
  </si>
  <si>
    <t>리피뎀</t>
  </si>
  <si>
    <t>리피뎀INFU 500ML</t>
  </si>
  <si>
    <t>리피뎀INFU 100ML</t>
  </si>
  <si>
    <t>리피뎀INFU 250ML</t>
  </si>
  <si>
    <t>FISH+GLYCINE MAX+OLEA EUROPEA+TRIGLYCERIDES</t>
  </si>
  <si>
    <t>오마프원리피드INFU.BAG 250ML</t>
  </si>
  <si>
    <t>폼스리피드INFU.BAG 500ML</t>
  </si>
  <si>
    <t>GLYCINE MAX</t>
  </si>
  <si>
    <t>리피션INFU.BAG 10% 500ML</t>
  </si>
  <si>
    <t>리피션INFU.BA</t>
  </si>
  <si>
    <t>INFU.BAG 20% 250ML</t>
  </si>
  <si>
    <t>리피션INFU.BAG 20% 250ML</t>
  </si>
  <si>
    <t xml:space="preserve"> 20% 250ML</t>
  </si>
  <si>
    <t xml:space="preserve"> 20% 250</t>
  </si>
  <si>
    <t>인트라리피드</t>
  </si>
  <si>
    <t>인트라리피드INFU.BAG 10% 500ML</t>
  </si>
  <si>
    <t>인트라리피드INFU.BA</t>
  </si>
  <si>
    <t>인트라리피드INFU.BAG 20% 250ML</t>
  </si>
  <si>
    <t>리피션INFU.BAG 10% 250ML</t>
  </si>
  <si>
    <t>GLYCINE MAX+OLEA EUROPEA</t>
  </si>
  <si>
    <t>클리노레익</t>
  </si>
  <si>
    <t>INFU.BAG 20% 100ML</t>
  </si>
  <si>
    <t>클리노레익INFU.BAG 20% 100ML</t>
  </si>
  <si>
    <t xml:space="preserve"> 20% 100ML</t>
  </si>
  <si>
    <t>클리노레익INFU.BA</t>
  </si>
  <si>
    <t xml:space="preserve"> 20% 100</t>
  </si>
  <si>
    <t>클리노레익INFU.BAG 20% 250ML</t>
  </si>
  <si>
    <t>INFU.BAG 20% 500ML</t>
  </si>
  <si>
    <t>클리노레익INFU.BAG 20% 500ML</t>
  </si>
  <si>
    <t xml:space="preserve"> 20% 500ML</t>
  </si>
  <si>
    <t xml:space="preserve"> 20% 500</t>
  </si>
  <si>
    <t>GLYCINE MAX+TRIGLYCERIDES</t>
  </si>
  <si>
    <t>리피션엠씨티INFU.BAG 20% 250ML</t>
  </si>
  <si>
    <t>리피션엠씨티INFU.BA</t>
  </si>
  <si>
    <t>리포푼딘엠씨티</t>
  </si>
  <si>
    <t>리포푼딘엠씨티INFU 20% 100ML</t>
  </si>
  <si>
    <t>리포푼딘엠씨티INFU 20% 250ML</t>
  </si>
  <si>
    <t>K01E9</t>
  </si>
  <si>
    <t>OTHER AMINO-ACID SOLUTION</t>
  </si>
  <si>
    <t>ALANYL-GLUTAMINE</t>
  </si>
  <si>
    <t>디펩티벤</t>
  </si>
  <si>
    <t>디펩티벤INFU 20% 100ML</t>
  </si>
  <si>
    <t>디펩티벤INFU 20% 50ML</t>
  </si>
  <si>
    <t>ARGININE</t>
  </si>
  <si>
    <t>엘아르기닌 광동</t>
  </si>
  <si>
    <t>INFU.BAG 10G 100ML</t>
  </si>
  <si>
    <t>엘아르기닌 광동INFU.BAG 10G 100ML</t>
  </si>
  <si>
    <t>엘아르기닌 광동INFU.BA</t>
  </si>
  <si>
    <t>엘아르기닌 대한약품</t>
  </si>
  <si>
    <t>INFU 10G 100ML</t>
  </si>
  <si>
    <t>엘아르기닌 대한약품INFU 10G 100ML</t>
  </si>
  <si>
    <t>엘아르기닌 대한약품INFU 10</t>
  </si>
  <si>
    <t>INFU 15G 150ML</t>
  </si>
  <si>
    <t>엘아르기닌 대한약품INFU 15G 150ML</t>
  </si>
  <si>
    <t xml:space="preserve"> 150ML</t>
  </si>
  <si>
    <t>엘아르기닌 대한약품INFU 15</t>
  </si>
  <si>
    <t>엘아르기닌 대한약품INFU.BAG 10G 100ML</t>
  </si>
  <si>
    <t>엘아르기닌 대한약품INFU.BA</t>
  </si>
  <si>
    <t>INFU.BAG 15G 150ML</t>
  </si>
  <si>
    <t>엘아르기닌 대한약품INFU.BAG 15G 150ML</t>
  </si>
  <si>
    <t>파워아르긴</t>
  </si>
  <si>
    <t>파워아르긴INFU.BAG 10G 100ML</t>
  </si>
  <si>
    <t>파워아르긴INFU.BA</t>
  </si>
  <si>
    <t>아르시스</t>
  </si>
  <si>
    <t>아르시스INFU.BAG 10G 100ML</t>
  </si>
  <si>
    <t>아르시스INFU.BA</t>
  </si>
  <si>
    <t>ALANINE+ARGININE+HISTIDINE+ISOLEUCINE+LEUCINE+LYSINE+METHIONINE+PHENYLALANINE+THREONINE+VALINE</t>
  </si>
  <si>
    <t>닥터라민골드INFU.BAG 250ML</t>
  </si>
  <si>
    <t>닥터라민골드INFU.BA</t>
  </si>
  <si>
    <t>네오아미유</t>
  </si>
  <si>
    <t>INFU 150ML</t>
  </si>
  <si>
    <t>네오아미유INFU 150ML</t>
  </si>
  <si>
    <t>네오아미유INFU 200ML</t>
  </si>
  <si>
    <t>네프로스테릴</t>
  </si>
  <si>
    <t>INFU 7% 250ML</t>
  </si>
  <si>
    <t>네프로스테릴INFU 7% 250ML</t>
  </si>
  <si>
    <t>CYSTEINE+HISTIDINE+ISOLEUCINE+LEUCINE+LYSINE+METHIONINE+PHENYLALANINE+THREONINE+TRYPTOPHAN+VALINE</t>
  </si>
  <si>
    <t>네프리솔</t>
  </si>
  <si>
    <t>INFU 5.5% 250ML</t>
  </si>
  <si>
    <t>네프리솔INFU 5.5% 250ML</t>
  </si>
  <si>
    <t>INFU.BAG 5.5% 250ML</t>
  </si>
  <si>
    <t>네프리솔INFU.BAG 5.5% 250ML</t>
  </si>
  <si>
    <t xml:space="preserve"> 5.5% 250ML</t>
  </si>
  <si>
    <t>네프리솔INFU.BA</t>
  </si>
  <si>
    <t xml:space="preserve"> 5.5% 250</t>
  </si>
  <si>
    <t>유로패스</t>
  </si>
  <si>
    <t>유로패스INFU 5.5% 250ML</t>
  </si>
  <si>
    <t>HISTIDINE+ISOLEUCINE+LEUCINE+LYSINE+METHIONINE+PHENYLALANINE+THREONINE+TRYPTOPHAN+VALINE</t>
  </si>
  <si>
    <t>네프솔</t>
  </si>
  <si>
    <t>네프솔INFU.BAG 250ML</t>
  </si>
  <si>
    <t>네프솔INFU.BA</t>
  </si>
  <si>
    <t>네프라민INFU.BAG 250ML</t>
  </si>
  <si>
    <t>네프라민INFU.BA</t>
  </si>
  <si>
    <t>네프라민INFU 5.5% 250ML</t>
  </si>
  <si>
    <t>ACETIC ACID+ALANINE+ARGININE+ASPARTIC ACID+GLUTAMIC ACID+HISTIDINE+ISOLEUCINE+LEUCINE+LYSINE+N-ACETYL-L-TYROSIN</t>
  </si>
  <si>
    <t>페디아민</t>
  </si>
  <si>
    <t>페디아민INFU.BAG 100ML</t>
  </si>
  <si>
    <t>페디아민INFU.BA</t>
  </si>
  <si>
    <t>ALANINE+ARGININE+GLUTAMIC ACID+HISTIDINE+ISOLEUCINE+LEUCINE+LYSINE+PHENYLALANINE+PROLINE+THREONINE</t>
  </si>
  <si>
    <t>INFU.BAG 6% PAED 100ML</t>
  </si>
  <si>
    <t>트로파민INFU.BAG 6% PAED 100ML</t>
  </si>
  <si>
    <t xml:space="preserve"> 6% PAED 100ML</t>
  </si>
  <si>
    <t>트로파민INFU.BA</t>
  </si>
  <si>
    <t xml:space="preserve"> 6% PAED 100</t>
  </si>
  <si>
    <t>INFU.BAG 6% PAED 200ML</t>
  </si>
  <si>
    <t>트로파민INFU.BAG 6% PAED 200ML</t>
  </si>
  <si>
    <t xml:space="preserve"> 6% PAED 200ML</t>
  </si>
  <si>
    <t xml:space="preserve"> 6% PAED 200</t>
  </si>
  <si>
    <t>INFU 6% PAED 100ML</t>
  </si>
  <si>
    <t>트로파민INFU 6% PAED 100ML</t>
  </si>
  <si>
    <t>ARGININE+ASPARTIC ACID+BETA-ALANINE+GLUTAMIC ACID+GLYCINE+ISOLEUCINE+LEUCINE+LYSINE+PHENYLALANINE+VALINE</t>
  </si>
  <si>
    <t>프라이멘</t>
  </si>
  <si>
    <t>INFU 10% 100ML</t>
  </si>
  <si>
    <t>프라이멘INFU 10% 100ML</t>
  </si>
  <si>
    <t>프라이멘INFU 10% 250ML</t>
  </si>
  <si>
    <t>K01E2</t>
  </si>
  <si>
    <t>MULTI-LITRE CONCEPT SOLUT</t>
  </si>
  <si>
    <t>ALANINE+ARGININE+GLUCOSE+GLYCINE+ISOLEUCINE+LEUCINE+PHENYLALANINE+PROLINE+SERINE+VALINE</t>
  </si>
  <si>
    <t>클리니믹스</t>
  </si>
  <si>
    <t>INFU.BAG 1L</t>
  </si>
  <si>
    <t>클리니믹스INFU.BAG 1L</t>
  </si>
  <si>
    <t xml:space="preserve"> 1L</t>
  </si>
  <si>
    <t>클리니믹스INFU.BA</t>
  </si>
  <si>
    <t>ACETIC ACID+CALCIUM+GLUCOSE+MAGNESIUM+SODIUM</t>
  </si>
  <si>
    <t xml:space="preserve">Acetated Balanced Crystalloid </t>
  </si>
  <si>
    <t>ACETIC ACID+MAGNESIUM+POTASSIUM+SODIUM</t>
  </si>
  <si>
    <t>플라스마솔루션에이</t>
  </si>
  <si>
    <t>DL-LACTIC ACID+GLUCOSE+SODIUM</t>
  </si>
  <si>
    <t>디에스엘 1:2:3 HK이노엔</t>
  </si>
  <si>
    <t>원투쓰리 대한</t>
  </si>
  <si>
    <t>GLUCOSE+POTASSIUM+SODIUM</t>
  </si>
  <si>
    <t>5%포도당나트륨칼륨2 HK이노엔</t>
  </si>
  <si>
    <t>5%포도당나트륨칼륨1 HK이노엔</t>
  </si>
  <si>
    <t>포도당가칼륨나트륨2 대한</t>
  </si>
  <si>
    <t>INFU.BAG 10% 1000ML</t>
  </si>
  <si>
    <t>INFU.BAG 5% 1000ML</t>
  </si>
  <si>
    <t>INFU 1000ML</t>
  </si>
  <si>
    <t>CALCIUM+DL-LACTIC ACID+GLUCOSE+POTASSIUM+SODIUM</t>
  </si>
  <si>
    <t>하트만-디</t>
  </si>
  <si>
    <t xml:space="preserve">Lactated Balanced Crystalloid w/ High Glucose </t>
  </si>
  <si>
    <t>하트만덱스 대한</t>
  </si>
  <si>
    <t>CALCIUM+DL-LACTIC ACID+POTASSIUM+SODIUM</t>
  </si>
  <si>
    <t>하트만 HK이노엔</t>
  </si>
  <si>
    <t>Lactated Balanced Crystalloid</t>
  </si>
  <si>
    <t>하트만 대한</t>
  </si>
  <si>
    <t>하트만 종근당</t>
  </si>
  <si>
    <t>플라스콘</t>
  </si>
  <si>
    <t>ACETIC ACID+GLUCONIC ACID+MAGNESIUM+POTASSIUM+SODIUM</t>
  </si>
  <si>
    <t>플라스마라이트148</t>
  </si>
  <si>
    <t>CALCIUM+FRUCTOSE+POTASSIUM+SODIUM</t>
  </si>
  <si>
    <t>POTASSIUM+SODIUM</t>
  </si>
  <si>
    <t>5%포도당나트륨칼륨3 HK이노엔</t>
  </si>
  <si>
    <t>포도당가칼륨나트륨3 대한</t>
  </si>
  <si>
    <t>INFU.BAG 0.9% 1000ML</t>
  </si>
  <si>
    <t>K01A5</t>
  </si>
  <si>
    <t>ADAPTING ELECTROLYTE SOLU</t>
  </si>
  <si>
    <t>ACETIC ACID</t>
  </si>
  <si>
    <t>우드워드</t>
  </si>
  <si>
    <t>초산나트륨 우드워드</t>
  </si>
  <si>
    <t>INFU.VIAL 16.4G 100ML</t>
  </si>
  <si>
    <t>INFU.VIAL 3.28G 20ML</t>
  </si>
  <si>
    <t>POTASSIUM</t>
  </si>
  <si>
    <t>INFU 15% 100ML</t>
  </si>
  <si>
    <t xml:space="preserve">* Balanced crystalloid 세대 구분 : 1세대 (Lactate 기반), 2세대 (Acetate 기반)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</si>
</sst>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_-* #,##0.0_-;\-* #,##0.0_-;_-* &quot;-&quot;_-;_-@"/>
  </numFmts>
  <fonts count="25">
    <font>
      <sz val="11.0"/>
      <color theme="1"/>
      <name val="Aptos Narrow"/>
      <scheme val="minor"/>
    </font>
    <font>
      <b/>
      <sz val="11.0"/>
      <color theme="1"/>
      <name val="Malgun Gothic"/>
    </font>
    <font>
      <sz val="11.0"/>
      <color theme="1"/>
      <name val="Malgun Gothic"/>
    </font>
    <font>
      <i/>
      <sz val="11.0"/>
      <color theme="1"/>
      <name val="Malgun Gothic"/>
    </font>
    <font>
      <sz val="10.0"/>
      <color theme="1"/>
      <name val="Calibri"/>
    </font>
    <font>
      <b/>
      <sz val="14.0"/>
      <color rgb="FF00B0F0"/>
      <name val="Malgun Gothic"/>
    </font>
    <font>
      <b/>
      <sz val="10.0"/>
      <color theme="1"/>
      <name val="Calibri"/>
    </font>
    <font>
      <b/>
      <sz val="10.0"/>
      <color theme="1"/>
      <name val="Arimo"/>
    </font>
    <font>
      <sz val="10.0"/>
      <color theme="1"/>
      <name val="Arimo"/>
    </font>
    <font>
      <b/>
      <sz val="10.0"/>
      <color theme="1"/>
      <name val="Malgun Gothic"/>
    </font>
    <font>
      <sz val="10.0"/>
      <color theme="1"/>
      <name val="Malgun Gothic"/>
    </font>
    <font>
      <sz val="11.0"/>
      <color theme="1"/>
      <name val="Calibri"/>
    </font>
    <font>
      <color theme="1"/>
      <name val="Aptos Narrow"/>
    </font>
    <font>
      <color theme="1"/>
      <name val="Arial"/>
    </font>
    <font>
      <b/>
      <i/>
      <sz val="11.0"/>
      <color rgb="FF0000FF"/>
      <name val="Malgun Gothic"/>
    </font>
    <font>
      <color rgb="FF000000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0.0"/>
      <color rgb="FFFF0000"/>
      <name val="Malgun Gothic"/>
    </font>
    <font>
      <b/>
      <sz val="10.0"/>
      <color rgb="FF00B0F0"/>
      <name val="Malgun Gothic"/>
    </font>
    <font>
      <i/>
      <sz val="10.0"/>
      <color theme="1"/>
      <name val="Malgun Gothic"/>
    </font>
    <font>
      <i/>
      <sz val="8.0"/>
      <color theme="1"/>
      <name val="Malgun Gothic"/>
    </font>
    <font>
      <b/>
      <sz val="10.0"/>
      <color rgb="FF00B0F0"/>
      <name val="Calibri"/>
    </font>
    <font>
      <b/>
      <sz val="14.0"/>
      <color rgb="FF00B0F0"/>
      <name val="Calibri"/>
    </font>
    <font>
      <sz val="10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theme="1"/>
        <bgColor theme="1"/>
      </patternFill>
    </fill>
    <fill>
      <patternFill patternType="solid">
        <fgColor rgb="FFCAEDFB"/>
        <bgColor rgb="FFCAEDFB"/>
      </patternFill>
    </fill>
    <fill>
      <patternFill patternType="solid">
        <fgColor rgb="FFE8E8E8"/>
        <bgColor rgb="FFE8E8E8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  <fill>
      <patternFill patternType="solid">
        <fgColor rgb="FFF1CEEE"/>
        <bgColor rgb="FFF1CEEE"/>
      </patternFill>
    </fill>
  </fills>
  <borders count="1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E9EAEB"/>
      </right>
      <bottom style="thin">
        <color rgb="FFE9EAEB"/>
      </bottom>
    </border>
    <border>
      <left style="thin">
        <color rgb="FF000000"/>
      </left>
      <right style="thin">
        <color rgb="FF000000"/>
      </right>
    </border>
    <border>
      <right style="thin">
        <color rgb="FFE9EAEB"/>
      </right>
    </border>
    <border>
      <left/>
      <right style="thin">
        <color rgb="FFE9EAEB"/>
      </right>
      <top/>
      <bottom style="thin">
        <color rgb="FFE9EAEB"/>
      </bottom>
    </border>
    <border>
      <left/>
      <right style="thin">
        <color rgb="FFE9EAEB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/>
      <bottom style="dotted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vertical="center"/>
    </xf>
    <xf borderId="1" fillId="2" fontId="1" numFmtId="164" xfId="0" applyAlignment="1" applyBorder="1" applyFill="1" applyFont="1" applyNumberFormat="1">
      <alignment vertical="center"/>
    </xf>
    <xf borderId="0" fillId="0" fontId="2" numFmtId="164" xfId="0" applyAlignment="1" applyFont="1" applyNumberFormat="1">
      <alignment vertical="center"/>
    </xf>
    <xf borderId="1" fillId="2" fontId="2" numFmtId="164" xfId="0" applyAlignment="1" applyBorder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1" fillId="3" fontId="4" numFmtId="0" xfId="0" applyAlignment="1" applyBorder="1" applyFill="1" applyFont="1">
      <alignment vertical="center"/>
    </xf>
    <xf borderId="1" fillId="3" fontId="5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" fillId="2" fontId="6" numFmtId="164" xfId="0" applyAlignment="1" applyBorder="1" applyFont="1" applyNumberFormat="1">
      <alignment vertical="center"/>
    </xf>
    <xf borderId="2" fillId="4" fontId="6" numFmtId="164" xfId="0" applyAlignment="1" applyBorder="1" applyFill="1" applyFont="1" applyNumberFormat="1">
      <alignment vertical="center"/>
    </xf>
    <xf borderId="2" fillId="4" fontId="7" numFmtId="164" xfId="0" applyAlignment="1" applyBorder="1" applyFont="1" applyNumberFormat="1">
      <alignment vertical="center"/>
    </xf>
    <xf borderId="2" fillId="5" fontId="6" numFmtId="164" xfId="0" applyAlignment="1" applyBorder="1" applyFill="1" applyFont="1" applyNumberFormat="1">
      <alignment vertical="center"/>
    </xf>
    <xf borderId="2" fillId="0" fontId="4" numFmtId="164" xfId="0" applyAlignment="1" applyBorder="1" applyFont="1" applyNumberFormat="1">
      <alignment vertical="center"/>
    </xf>
    <xf borderId="2" fillId="5" fontId="4" numFmtId="0" xfId="0" applyAlignment="1" applyBorder="1" applyFont="1">
      <alignment vertical="center"/>
    </xf>
    <xf borderId="2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1" fillId="5" fontId="9" numFmtId="0" xfId="0" applyAlignment="1" applyBorder="1" applyFont="1">
      <alignment vertical="center"/>
    </xf>
    <xf borderId="1" fillId="5" fontId="4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2" fillId="5" fontId="10" numFmtId="0" xfId="0" applyAlignment="1" applyBorder="1" applyFont="1">
      <alignment vertical="center"/>
    </xf>
    <xf borderId="2" fillId="0" fontId="10" numFmtId="0" xfId="0" applyAlignment="1" applyBorder="1" applyFont="1">
      <alignment vertical="center"/>
    </xf>
    <xf borderId="1" fillId="5" fontId="6" numFmtId="0" xfId="0" applyAlignment="1" applyBorder="1" applyFont="1">
      <alignment vertical="center"/>
    </xf>
    <xf borderId="3" fillId="0" fontId="11" numFmtId="0" xfId="0" applyAlignment="1" applyBorder="1" applyFont="1">
      <alignment shrinkToFit="0" vertical="bottom" wrapText="0"/>
    </xf>
    <xf borderId="0" fillId="0" fontId="10" numFmtId="164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2" numFmtId="0" xfId="0" applyAlignment="1" applyFont="1">
      <alignment vertical="center"/>
    </xf>
    <xf borderId="1" fillId="6" fontId="2" numFmtId="0" xfId="0" applyAlignment="1" applyBorder="1" applyFill="1" applyFont="1">
      <alignment vertical="center"/>
    </xf>
    <xf borderId="0" fillId="0" fontId="13" numFmtId="0" xfId="0" applyAlignment="1" applyFont="1">
      <alignment vertical="center"/>
    </xf>
    <xf borderId="1" fillId="6" fontId="10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" fillId="0" fontId="2" numFmtId="0" xfId="0" applyAlignment="1" applyBorder="1" applyFont="1">
      <alignment vertical="center"/>
    </xf>
    <xf borderId="2" fillId="6" fontId="2" numFmtId="0" xfId="0" applyAlignment="1" applyBorder="1" applyFont="1">
      <alignment vertical="center"/>
    </xf>
    <xf borderId="4" fillId="0" fontId="14" numFmtId="0" xfId="0" applyAlignment="1" applyBorder="1" applyFont="1">
      <alignment vertical="center"/>
    </xf>
    <xf borderId="3" fillId="7" fontId="11" numFmtId="0" xfId="0" applyAlignment="1" applyBorder="1" applyFill="1" applyFont="1">
      <alignment horizontal="center" shrinkToFit="0" vertical="center" wrapText="0"/>
    </xf>
    <xf borderId="3" fillId="8" fontId="11" numFmtId="0" xfId="0" applyAlignment="1" applyBorder="1" applyFill="1" applyFont="1">
      <alignment horizontal="center" shrinkToFit="0" vertical="center" wrapText="0"/>
    </xf>
    <xf borderId="3" fillId="0" fontId="11" numFmtId="3" xfId="0" applyAlignment="1" applyBorder="1" applyFont="1" applyNumberFormat="1">
      <alignment horizontal="right" shrinkToFit="0" vertical="bottom" wrapText="0"/>
    </xf>
    <xf borderId="0" fillId="0" fontId="15" numFmtId="0" xfId="0" applyAlignment="1" applyFont="1">
      <alignment vertical="center"/>
    </xf>
    <xf borderId="0" fillId="0" fontId="15" numFmtId="0" xfId="0" applyAlignment="1" applyFont="1">
      <alignment shrinkToFit="0" vertical="center" wrapText="0"/>
    </xf>
    <xf borderId="3" fillId="0" fontId="16" numFmtId="0" xfId="0" applyAlignment="1" applyBorder="1" applyFont="1">
      <alignment shrinkToFit="0" vertical="bottom" wrapText="0"/>
    </xf>
    <xf borderId="3" fillId="0" fontId="16" numFmtId="3" xfId="0" applyAlignment="1" applyBorder="1" applyFont="1" applyNumberFormat="1">
      <alignment horizontal="right" shrinkToFit="0" vertical="bottom" wrapText="0"/>
    </xf>
    <xf borderId="0" fillId="0" fontId="17" numFmtId="0" xfId="0" applyAlignment="1" applyFont="1">
      <alignment shrinkToFit="0" vertical="center" wrapText="0"/>
    </xf>
    <xf borderId="3" fillId="0" fontId="11" numFmtId="0" xfId="0" applyAlignment="1" applyBorder="1" applyFont="1">
      <alignment horizontal="right" shrinkToFit="0" vertical="bottom" wrapText="0"/>
    </xf>
    <xf borderId="5" fillId="0" fontId="11" numFmtId="0" xfId="0" applyAlignment="1" applyBorder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6" fillId="7" fontId="9" numFmtId="0" xfId="0" applyAlignment="1" applyBorder="1" applyFont="1">
      <alignment horizontal="center" vertical="center"/>
    </xf>
    <xf borderId="6" fillId="7" fontId="10" numFmtId="0" xfId="0" applyAlignment="1" applyBorder="1" applyFont="1">
      <alignment horizontal="center" vertical="center"/>
    </xf>
    <xf borderId="6" fillId="9" fontId="18" numFmtId="0" xfId="0" applyAlignment="1" applyBorder="1" applyFill="1" applyFont="1">
      <alignment horizontal="center" vertical="center"/>
    </xf>
    <xf borderId="6" fillId="7" fontId="10" numFmtId="0" xfId="0" applyAlignment="1" applyBorder="1" applyFont="1">
      <alignment vertical="bottom"/>
    </xf>
    <xf borderId="7" fillId="7" fontId="10" numFmtId="0" xfId="0" applyAlignment="1" applyBorder="1" applyFont="1">
      <alignment horizontal="center" vertical="center"/>
    </xf>
    <xf borderId="3" fillId="0" fontId="9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3" fillId="0" fontId="10" numFmtId="3" xfId="0" applyAlignment="1" applyBorder="1" applyFont="1" applyNumberFormat="1">
      <alignment vertical="bottom"/>
    </xf>
    <xf borderId="1" fillId="10" fontId="9" numFmtId="0" xfId="0" applyAlignment="1" applyBorder="1" applyFill="1" applyFont="1">
      <alignment vertical="center"/>
    </xf>
    <xf borderId="6" fillId="10" fontId="9" numFmtId="0" xfId="0" applyAlignment="1" applyBorder="1" applyFont="1">
      <alignment vertical="bottom"/>
    </xf>
    <xf borderId="6" fillId="10" fontId="9" numFmtId="3" xfId="0" applyAlignment="1" applyBorder="1" applyFont="1" applyNumberFormat="1">
      <alignment vertical="bottom"/>
    </xf>
    <xf borderId="0" fillId="0" fontId="11" numFmtId="0" xfId="0" applyAlignment="1" applyFont="1">
      <alignment vertical="center"/>
    </xf>
    <xf borderId="3" fillId="0" fontId="16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3" fillId="0" fontId="11" numFmtId="3" xfId="0" applyAlignment="1" applyBorder="1" applyFont="1" applyNumberFormat="1">
      <alignment vertical="bottom"/>
    </xf>
    <xf borderId="3" fillId="0" fontId="6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3" fillId="0" fontId="4" numFmtId="3" xfId="0" applyAlignment="1" applyBorder="1" applyFont="1" applyNumberFormat="1">
      <alignment vertical="bottom"/>
    </xf>
    <xf borderId="1" fillId="3" fontId="19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20" numFmtId="0" xfId="0" applyAlignment="1" applyFont="1">
      <alignment vertical="bottom"/>
    </xf>
    <xf borderId="2" fillId="10" fontId="4" numFmtId="0" xfId="0" applyAlignment="1" applyBorder="1" applyFont="1">
      <alignment vertical="bottom"/>
    </xf>
    <xf borderId="2" fillId="11" fontId="4" numFmtId="0" xfId="0" applyAlignment="1" applyBorder="1" applyFill="1" applyFont="1">
      <alignment vertical="bottom"/>
    </xf>
    <xf borderId="2" fillId="0" fontId="11" numFmtId="0" xfId="0" applyAlignment="1" applyBorder="1" applyFont="1">
      <alignment vertical="bottom"/>
    </xf>
    <xf borderId="8" fillId="10" fontId="4" numFmtId="0" xfId="0" applyAlignment="1" applyBorder="1" applyFont="1">
      <alignment vertical="bottom"/>
    </xf>
    <xf borderId="0" fillId="0" fontId="21" numFmtId="0" xfId="0" applyAlignment="1" applyFont="1">
      <alignment vertical="center"/>
    </xf>
    <xf borderId="1" fillId="10" fontId="1" numFmtId="0" xfId="0" applyAlignment="1" applyBorder="1" applyFont="1">
      <alignment vertical="center"/>
    </xf>
    <xf borderId="1" fillId="10" fontId="9" numFmtId="164" xfId="0" applyAlignment="1" applyBorder="1" applyFont="1" applyNumberFormat="1">
      <alignment vertical="center"/>
    </xf>
    <xf borderId="1" fillId="6" fontId="10" numFmtId="164" xfId="0" applyAlignment="1" applyBorder="1" applyFont="1" applyNumberFormat="1">
      <alignment vertical="center"/>
    </xf>
    <xf borderId="1" fillId="4" fontId="1" numFmtId="0" xfId="0" applyAlignment="1" applyBorder="1" applyFont="1">
      <alignment vertical="center"/>
    </xf>
    <xf borderId="1" fillId="4" fontId="9" numFmtId="164" xfId="0" applyAlignment="1" applyBorder="1" applyFont="1" applyNumberFormat="1">
      <alignment vertical="center"/>
    </xf>
    <xf borderId="1" fillId="3" fontId="22" numFmtId="0" xfId="0" applyAlignment="1" applyBorder="1" applyFont="1">
      <alignment vertical="center"/>
    </xf>
    <xf borderId="1" fillId="3" fontId="23" numFmtId="0" xfId="0" applyAlignment="1" applyBorder="1" applyFont="1">
      <alignment vertical="center"/>
    </xf>
    <xf borderId="2" fillId="5" fontId="11" numFmtId="0" xfId="0" applyAlignment="1" applyBorder="1" applyFont="1">
      <alignment vertical="center"/>
    </xf>
    <xf borderId="2" fillId="0" fontId="11" numFmtId="0" xfId="0" applyAlignment="1" applyBorder="1" applyFont="1">
      <alignment vertical="center"/>
    </xf>
    <xf borderId="2" fillId="10" fontId="4" numFmtId="0" xfId="0" applyAlignment="1" applyBorder="1" applyFont="1">
      <alignment vertical="center"/>
    </xf>
    <xf borderId="2" fillId="10" fontId="11" numFmtId="0" xfId="0" applyAlignment="1" applyBorder="1" applyFont="1">
      <alignment vertical="center"/>
    </xf>
    <xf borderId="2" fillId="0" fontId="11" numFmtId="164" xfId="0" applyAlignment="1" applyBorder="1" applyFont="1" applyNumberFormat="1">
      <alignment vertical="center"/>
    </xf>
    <xf borderId="1" fillId="10" fontId="16" numFmtId="0" xfId="0" applyAlignment="1" applyBorder="1" applyFont="1">
      <alignment vertical="center"/>
    </xf>
    <xf borderId="2" fillId="10" fontId="16" numFmtId="0" xfId="0" applyAlignment="1" applyBorder="1" applyFont="1">
      <alignment vertical="center"/>
    </xf>
    <xf borderId="2" fillId="10" fontId="16" numFmtId="164" xfId="0" applyAlignment="1" applyBorder="1" applyFont="1" applyNumberFormat="1">
      <alignment vertical="center"/>
    </xf>
    <xf borderId="2" fillId="10" fontId="9" numFmtId="0" xfId="0" applyAlignment="1" applyBorder="1" applyFont="1">
      <alignment vertical="center"/>
    </xf>
    <xf borderId="2" fillId="5" fontId="10" numFmtId="165" xfId="0" applyAlignment="1" applyBorder="1" applyFont="1" applyNumberFormat="1">
      <alignment horizontal="right" vertical="center"/>
    </xf>
    <xf borderId="2" fillId="0" fontId="11" numFmtId="165" xfId="0" applyAlignment="1" applyBorder="1" applyFont="1" applyNumberFormat="1">
      <alignment vertical="center"/>
    </xf>
    <xf borderId="2" fillId="5" fontId="2" numFmtId="0" xfId="0" applyAlignment="1" applyBorder="1" applyFont="1">
      <alignment vertical="center"/>
    </xf>
    <xf quotePrefix="1" borderId="0" fillId="0" fontId="14" numFmtId="0" xfId="0" applyAlignment="1" applyFont="1">
      <alignment vertical="center"/>
    </xf>
    <xf borderId="1" fillId="5" fontId="10" numFmtId="0" xfId="0" applyAlignment="1" applyBorder="1" applyFont="1">
      <alignment vertical="center"/>
    </xf>
    <xf borderId="1" fillId="10" fontId="10" numFmtId="0" xfId="0" applyAlignment="1" applyBorder="1" applyFont="1">
      <alignment vertical="center"/>
    </xf>
    <xf borderId="9" fillId="6" fontId="24" numFmtId="0" xfId="0" applyAlignment="1" applyBorder="1" applyFont="1">
      <alignment horizontal="left" vertical="center"/>
    </xf>
    <xf borderId="10" fillId="6" fontId="24" numFmtId="0" xfId="0" applyAlignment="1" applyBorder="1" applyFont="1">
      <alignment horizontal="left" vertical="center"/>
    </xf>
    <xf borderId="11" fillId="6" fontId="24" numFmtId="0" xfId="0" applyAlignment="1" applyBorder="1" applyFont="1">
      <alignment horizontal="left" vertical="center"/>
    </xf>
    <xf borderId="1" fillId="1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5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6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7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8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33.88"/>
    <col customWidth="1" min="3" max="10" width="17.38"/>
    <col customWidth="1" min="11" max="11" width="7.75"/>
    <col customWidth="1" min="12" max="26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3">
        <v>5.4631683568E10</v>
      </c>
      <c r="G2" s="3">
        <v>5.2829997109E10</v>
      </c>
      <c r="H2" s="3">
        <v>5.3919820125E10</v>
      </c>
      <c r="I2" s="3">
        <v>5.2585150452E10</v>
      </c>
      <c r="J2" s="3">
        <v>4.9928221289E10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3" t="s">
        <v>10</v>
      </c>
      <c r="B3" s="3" t="s">
        <v>11</v>
      </c>
      <c r="C3" s="3" t="s">
        <v>12</v>
      </c>
      <c r="D3" s="3" t="s">
        <v>15</v>
      </c>
      <c r="E3" s="4" t="s">
        <v>14</v>
      </c>
      <c r="F3" s="3">
        <v>2.0330058908E10</v>
      </c>
      <c r="G3" s="3">
        <v>1.8542805376E10</v>
      </c>
      <c r="H3" s="3">
        <v>1.808408092E10</v>
      </c>
      <c r="I3" s="3">
        <v>1.712305807E10</v>
      </c>
      <c r="J3" s="3">
        <v>1.5842724395E10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7.25" customHeight="1">
      <c r="A4" s="3" t="s">
        <v>10</v>
      </c>
      <c r="B4" s="3" t="s">
        <v>11</v>
      </c>
      <c r="C4" s="3" t="s">
        <v>12</v>
      </c>
      <c r="D4" s="3" t="s">
        <v>16</v>
      </c>
      <c r="E4" s="4" t="s">
        <v>14</v>
      </c>
      <c r="F4" s="3"/>
      <c r="G4" s="3"/>
      <c r="H4" s="3"/>
      <c r="I4" s="3">
        <v>4.472065502E9</v>
      </c>
      <c r="J4" s="3">
        <v>1.098442968E10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7.25" customHeight="1">
      <c r="A5" s="3" t="s">
        <v>10</v>
      </c>
      <c r="B5" s="3" t="s">
        <v>11</v>
      </c>
      <c r="C5" s="3" t="s">
        <v>12</v>
      </c>
      <c r="D5" s="3" t="s">
        <v>17</v>
      </c>
      <c r="E5" s="4" t="s">
        <v>14</v>
      </c>
      <c r="F5" s="3"/>
      <c r="G5" s="3"/>
      <c r="H5" s="3">
        <v>9957562.0</v>
      </c>
      <c r="I5" s="3">
        <v>8.70409123E8</v>
      </c>
      <c r="J5" s="3">
        <v>3.969374139E9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7.25" hidden="1" customHeight="1">
      <c r="A6" s="3" t="s">
        <v>10</v>
      </c>
      <c r="B6" s="3" t="s">
        <v>11</v>
      </c>
      <c r="C6" s="3" t="s">
        <v>12</v>
      </c>
      <c r="D6" s="3" t="s">
        <v>18</v>
      </c>
      <c r="E6" s="4"/>
      <c r="F6" s="3">
        <v>1.719140235E9</v>
      </c>
      <c r="G6" s="3">
        <v>1.434164251E9</v>
      </c>
      <c r="H6" s="3">
        <v>1.367535923E9</v>
      </c>
      <c r="I6" s="3">
        <v>1.296721793E9</v>
      </c>
      <c r="J6" s="3">
        <v>6.61936905E8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7.25" hidden="1" customHeight="1">
      <c r="A7" s="3" t="s">
        <v>10</v>
      </c>
      <c r="B7" s="3" t="s">
        <v>11</v>
      </c>
      <c r="C7" s="3" t="s">
        <v>12</v>
      </c>
      <c r="D7" s="3" t="s">
        <v>19</v>
      </c>
      <c r="E7" s="4"/>
      <c r="F7" s="3">
        <v>897858.0</v>
      </c>
      <c r="G7" s="3">
        <v>3780672.0</v>
      </c>
      <c r="H7" s="3">
        <v>1598016.0</v>
      </c>
      <c r="I7" s="3">
        <v>314735.0</v>
      </c>
      <c r="J7" s="3">
        <v>4323465.0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7.25" hidden="1" customHeight="1">
      <c r="A8" s="3" t="s">
        <v>10</v>
      </c>
      <c r="B8" s="3" t="s">
        <v>11</v>
      </c>
      <c r="C8" s="3" t="s">
        <v>20</v>
      </c>
      <c r="D8" s="3" t="s">
        <v>13</v>
      </c>
      <c r="E8" s="4"/>
      <c r="F8" s="3">
        <v>3.181668E9</v>
      </c>
      <c r="G8" s="3">
        <v>3.703996956E9</v>
      </c>
      <c r="H8" s="3">
        <v>6.9745266E9</v>
      </c>
      <c r="I8" s="3">
        <v>7.341914E9</v>
      </c>
      <c r="J8" s="3">
        <v>9.541802E9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7.25" hidden="1" customHeight="1">
      <c r="A9" s="3" t="s">
        <v>10</v>
      </c>
      <c r="B9" s="3" t="s">
        <v>11</v>
      </c>
      <c r="C9" s="3" t="s">
        <v>20</v>
      </c>
      <c r="D9" s="3" t="s">
        <v>19</v>
      </c>
      <c r="E9" s="4"/>
      <c r="F9" s="3">
        <v>3.69830736E9</v>
      </c>
      <c r="G9" s="3">
        <v>4.55018949E9</v>
      </c>
      <c r="H9" s="3">
        <v>3.65186085E9</v>
      </c>
      <c r="I9" s="3">
        <v>3.68383884E9</v>
      </c>
      <c r="J9" s="3">
        <v>3.37261677E9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7.25" hidden="1" customHeight="1">
      <c r="A10" s="3" t="s">
        <v>10</v>
      </c>
      <c r="B10" s="3" t="s">
        <v>11</v>
      </c>
      <c r="C10" s="3" t="s">
        <v>20</v>
      </c>
      <c r="D10" s="3" t="s">
        <v>18</v>
      </c>
      <c r="E10" s="4"/>
      <c r="F10" s="3">
        <v>4.369194E8</v>
      </c>
      <c r="G10" s="3">
        <v>1.59599912E8</v>
      </c>
      <c r="H10" s="3">
        <v>1.21944E8</v>
      </c>
      <c r="I10" s="3">
        <v>2.20344E8</v>
      </c>
      <c r="J10" s="3">
        <v>3.739E8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7.25" customHeight="1">
      <c r="A11" s="3" t="s">
        <v>21</v>
      </c>
      <c r="B11" s="3" t="s">
        <v>22</v>
      </c>
      <c r="C11" s="3" t="s">
        <v>12</v>
      </c>
      <c r="D11" s="3" t="s">
        <v>23</v>
      </c>
      <c r="E11" s="4" t="s">
        <v>24</v>
      </c>
      <c r="F11" s="3">
        <v>2.512145278E9</v>
      </c>
      <c r="G11" s="3">
        <v>2.4819810142E10</v>
      </c>
      <c r="H11" s="3">
        <v>4.8274428277E10</v>
      </c>
      <c r="I11" s="3">
        <v>5.7175227539E10</v>
      </c>
      <c r="J11" s="3">
        <v>7.2738109995E10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7.25" customHeight="1">
      <c r="A12" s="3" t="s">
        <v>25</v>
      </c>
      <c r="B12" s="3" t="s">
        <v>26</v>
      </c>
      <c r="C12" s="3" t="s">
        <v>12</v>
      </c>
      <c r="D12" s="3" t="s">
        <v>27</v>
      </c>
      <c r="E12" s="4" t="s">
        <v>24</v>
      </c>
      <c r="F12" s="3">
        <v>5.4031246775E10</v>
      </c>
      <c r="G12" s="3">
        <v>5.7686299838E10</v>
      </c>
      <c r="H12" s="3">
        <v>5.9529438027E10</v>
      </c>
      <c r="I12" s="3">
        <v>6.2179405214E10</v>
      </c>
      <c r="J12" s="3">
        <v>6.480258618E10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7.25" hidden="1" customHeight="1">
      <c r="A13" s="3" t="s">
        <v>28</v>
      </c>
      <c r="B13" s="3" t="s">
        <v>29</v>
      </c>
      <c r="C13" s="3" t="s">
        <v>12</v>
      </c>
      <c r="D13" s="3" t="s">
        <v>30</v>
      </c>
      <c r="E13" s="4"/>
      <c r="F13" s="3">
        <v>3.4962746568E10</v>
      </c>
      <c r="G13" s="3">
        <v>3.5803463248E10</v>
      </c>
      <c r="H13" s="3">
        <v>3.5147709017E10</v>
      </c>
      <c r="I13" s="3">
        <v>3.156074238E10</v>
      </c>
      <c r="J13" s="3">
        <v>3.4707709895E10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7.25" hidden="1" customHeight="1">
      <c r="A14" s="3" t="s">
        <v>28</v>
      </c>
      <c r="B14" s="3" t="s">
        <v>29</v>
      </c>
      <c r="C14" s="3" t="s">
        <v>12</v>
      </c>
      <c r="D14" s="3" t="s">
        <v>31</v>
      </c>
      <c r="E14" s="4"/>
      <c r="F14" s="3">
        <v>1.248688856E9</v>
      </c>
      <c r="G14" s="3">
        <v>1.256415388E9</v>
      </c>
      <c r="H14" s="3">
        <v>1.284539692E9</v>
      </c>
      <c r="I14" s="3">
        <v>1.073150736E9</v>
      </c>
      <c r="J14" s="3">
        <v>9.98060096E8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7.25" hidden="1" customHeight="1">
      <c r="A15" s="3" t="s">
        <v>28</v>
      </c>
      <c r="B15" s="3" t="s">
        <v>29</v>
      </c>
      <c r="C15" s="3" t="s">
        <v>12</v>
      </c>
      <c r="D15" s="3" t="s">
        <v>32</v>
      </c>
      <c r="E15" s="4"/>
      <c r="F15" s="3">
        <v>7898858.0</v>
      </c>
      <c r="G15" s="3">
        <v>7663292.0</v>
      </c>
      <c r="H15" s="3">
        <v>7986484.0</v>
      </c>
      <c r="I15" s="3">
        <v>7021460.0</v>
      </c>
      <c r="J15" s="3">
        <v>1.7306704E7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7.25" hidden="1" customHeight="1">
      <c r="A16" s="3" t="s">
        <v>28</v>
      </c>
      <c r="B16" s="3" t="s">
        <v>29</v>
      </c>
      <c r="C16" s="3" t="s">
        <v>20</v>
      </c>
      <c r="D16" s="3" t="s">
        <v>30</v>
      </c>
      <c r="E16" s="4"/>
      <c r="F16" s="3">
        <v>9.78571151E8</v>
      </c>
      <c r="G16" s="3">
        <v>8.37079228E8</v>
      </c>
      <c r="H16" s="3">
        <v>1.15225248E9</v>
      </c>
      <c r="I16" s="3">
        <v>1.368666624E9</v>
      </c>
      <c r="J16" s="3">
        <v>8.61967962E8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7.25" hidden="1" customHeight="1">
      <c r="A17" s="3" t="s">
        <v>28</v>
      </c>
      <c r="B17" s="3" t="s">
        <v>29</v>
      </c>
      <c r="C17" s="3" t="s">
        <v>20</v>
      </c>
      <c r="D17" s="3" t="s">
        <v>31</v>
      </c>
      <c r="E17" s="4"/>
      <c r="F17" s="3"/>
      <c r="G17" s="3">
        <v>262656.0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7.25" customHeight="1">
      <c r="A18" s="3" t="s">
        <v>33</v>
      </c>
      <c r="B18" s="3" t="s">
        <v>34</v>
      </c>
      <c r="C18" s="3" t="s">
        <v>12</v>
      </c>
      <c r="D18" s="3" t="s">
        <v>35</v>
      </c>
      <c r="E18" s="4" t="s">
        <v>36</v>
      </c>
      <c r="F18" s="3">
        <v>2.3060154633E10</v>
      </c>
      <c r="G18" s="3">
        <v>2.8856492468E10</v>
      </c>
      <c r="H18" s="3">
        <v>3.4965608452E10</v>
      </c>
      <c r="I18" s="3">
        <v>3.5598431471E10</v>
      </c>
      <c r="J18" s="3">
        <v>3.6545777666E10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7.25" customHeight="1">
      <c r="A19" s="3" t="s">
        <v>37</v>
      </c>
      <c r="B19" s="3" t="s">
        <v>38</v>
      </c>
      <c r="C19" s="3" t="s">
        <v>12</v>
      </c>
      <c r="D19" s="3" t="s">
        <v>39</v>
      </c>
      <c r="E19" s="4" t="s">
        <v>36</v>
      </c>
      <c r="F19" s="3">
        <v>7.24363638E9</v>
      </c>
      <c r="G19" s="3">
        <v>7.614545505E9</v>
      </c>
      <c r="H19" s="3">
        <v>1.9034181817E10</v>
      </c>
      <c r="I19" s="3">
        <v>2.7591272683E10</v>
      </c>
      <c r="J19" s="3">
        <v>3.5921781652E10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7.25" customHeight="1">
      <c r="A20" s="3" t="s">
        <v>40</v>
      </c>
      <c r="B20" s="3" t="s">
        <v>41</v>
      </c>
      <c r="C20" s="3" t="s">
        <v>12</v>
      </c>
      <c r="D20" s="3" t="s">
        <v>42</v>
      </c>
      <c r="E20" s="4" t="s">
        <v>24</v>
      </c>
      <c r="F20" s="3">
        <v>1.871128056E10</v>
      </c>
      <c r="G20" s="3">
        <v>2.2281150946E10</v>
      </c>
      <c r="H20" s="3">
        <v>2.1685362235E10</v>
      </c>
      <c r="I20" s="3">
        <v>1.9959490437E10</v>
      </c>
      <c r="J20" s="3">
        <v>2.0542466263E10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7.25" customHeight="1">
      <c r="A21" s="3" t="s">
        <v>43</v>
      </c>
      <c r="B21" s="3" t="s">
        <v>44</v>
      </c>
      <c r="C21" s="3" t="s">
        <v>12</v>
      </c>
      <c r="D21" s="3" t="s">
        <v>45</v>
      </c>
      <c r="E21" s="4" t="s">
        <v>36</v>
      </c>
      <c r="F21" s="3">
        <v>1.1490913578E10</v>
      </c>
      <c r="G21" s="3">
        <v>1.4571768296E10</v>
      </c>
      <c r="H21" s="3">
        <v>1.6276725139E10</v>
      </c>
      <c r="I21" s="3">
        <v>1.0687166484E10</v>
      </c>
      <c r="J21" s="3">
        <v>1.2064148863E10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7.25" customHeight="1">
      <c r="A22" s="3" t="s">
        <v>43</v>
      </c>
      <c r="B22" s="3" t="s">
        <v>44</v>
      </c>
      <c r="C22" s="3" t="s">
        <v>12</v>
      </c>
      <c r="D22" s="3" t="s">
        <v>46</v>
      </c>
      <c r="E22" s="4" t="s">
        <v>36</v>
      </c>
      <c r="F22" s="3">
        <v>2.878849024E9</v>
      </c>
      <c r="G22" s="3">
        <v>3.13381845E9</v>
      </c>
      <c r="H22" s="3">
        <v>3.2080158E9</v>
      </c>
      <c r="I22" s="3">
        <v>2.737331291E9</v>
      </c>
      <c r="J22" s="3">
        <v>2.675984507E9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.25" hidden="1" customHeight="1">
      <c r="A23" s="3" t="s">
        <v>43</v>
      </c>
      <c r="B23" s="3" t="s">
        <v>44</v>
      </c>
      <c r="C23" s="3" t="s">
        <v>20</v>
      </c>
      <c r="D23" s="3" t="s">
        <v>47</v>
      </c>
      <c r="E23" s="4"/>
      <c r="F23" s="3">
        <v>5.4574191E8</v>
      </c>
      <c r="G23" s="3">
        <v>4.18368652E8</v>
      </c>
      <c r="H23" s="3">
        <v>5.17224318E8</v>
      </c>
      <c r="I23" s="3">
        <v>4.9053E8</v>
      </c>
      <c r="J23" s="3">
        <v>5.0715E8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7.25" hidden="1" customHeight="1">
      <c r="A24" s="3" t="s">
        <v>48</v>
      </c>
      <c r="B24" s="3" t="s">
        <v>49</v>
      </c>
      <c r="C24" s="3" t="s">
        <v>12</v>
      </c>
      <c r="D24" s="3" t="s">
        <v>50</v>
      </c>
      <c r="E24" s="4"/>
      <c r="F24" s="3">
        <v>1.7222067784E10</v>
      </c>
      <c r="G24" s="3">
        <v>1.99716601E10</v>
      </c>
      <c r="H24" s="3">
        <v>2.0222318888E10</v>
      </c>
      <c r="I24" s="3">
        <v>1.5344903557E10</v>
      </c>
      <c r="J24" s="3">
        <v>1.0195249789E10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7.25" hidden="1" customHeight="1">
      <c r="A25" s="3" t="s">
        <v>48</v>
      </c>
      <c r="B25" s="3" t="s">
        <v>49</v>
      </c>
      <c r="C25" s="3" t="s">
        <v>12</v>
      </c>
      <c r="D25" s="3" t="s">
        <v>51</v>
      </c>
      <c r="E25" s="4"/>
      <c r="F25" s="3">
        <v>5.408584826E9</v>
      </c>
      <c r="G25" s="3">
        <v>5.597140591E9</v>
      </c>
      <c r="H25" s="3">
        <v>5.627166132E9</v>
      </c>
      <c r="I25" s="3">
        <v>3.844396545E9</v>
      </c>
      <c r="J25" s="3">
        <v>3.1785323E9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7.25" hidden="1" customHeight="1">
      <c r="A26" s="3" t="s">
        <v>48</v>
      </c>
      <c r="B26" s="3" t="s">
        <v>49</v>
      </c>
      <c r="C26" s="3" t="s">
        <v>12</v>
      </c>
      <c r="D26" s="3" t="s">
        <v>52</v>
      </c>
      <c r="E26" s="4"/>
      <c r="F26" s="3">
        <v>6.62878353E8</v>
      </c>
      <c r="G26" s="3">
        <v>6.51862581E8</v>
      </c>
      <c r="H26" s="3">
        <v>5.68158057E8</v>
      </c>
      <c r="I26" s="3">
        <v>3.03905649E8</v>
      </c>
      <c r="J26" s="3">
        <v>2.91130284E8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7.25" hidden="1" customHeight="1">
      <c r="A27" s="3" t="s">
        <v>48</v>
      </c>
      <c r="B27" s="3" t="s">
        <v>49</v>
      </c>
      <c r="C27" s="3" t="s">
        <v>12</v>
      </c>
      <c r="D27" s="3" t="s">
        <v>53</v>
      </c>
      <c r="E27" s="4"/>
      <c r="F27" s="3">
        <v>1.119927359E9</v>
      </c>
      <c r="G27" s="3">
        <v>9.51721855E8</v>
      </c>
      <c r="H27" s="3">
        <v>1.37336727E8</v>
      </c>
      <c r="I27" s="3">
        <v>1.0766889E8</v>
      </c>
      <c r="J27" s="3">
        <v>8.3229761E7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7.25" hidden="1" customHeight="1">
      <c r="A28" s="3" t="s">
        <v>48</v>
      </c>
      <c r="B28" s="3" t="s">
        <v>49</v>
      </c>
      <c r="C28" s="3" t="s">
        <v>20</v>
      </c>
      <c r="D28" s="3" t="s">
        <v>51</v>
      </c>
      <c r="E28" s="4"/>
      <c r="F28" s="3">
        <v>6087123.0</v>
      </c>
      <c r="G28" s="3">
        <v>599949.0</v>
      </c>
      <c r="H28" s="3">
        <v>87633.0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7.25" hidden="1" customHeight="1">
      <c r="A29" s="3" t="s">
        <v>48</v>
      </c>
      <c r="B29" s="3" t="s">
        <v>49</v>
      </c>
      <c r="C29" s="3" t="s">
        <v>20</v>
      </c>
      <c r="D29" s="3" t="s">
        <v>50</v>
      </c>
      <c r="E29" s="4"/>
      <c r="F29" s="3">
        <v>1527680.0</v>
      </c>
      <c r="G29" s="3">
        <v>1673504.0</v>
      </c>
      <c r="H29" s="3">
        <v>1284640.0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7.25" hidden="1" customHeight="1">
      <c r="A30" s="3" t="s">
        <v>54</v>
      </c>
      <c r="B30" s="3" t="s">
        <v>55</v>
      </c>
      <c r="C30" s="3" t="s">
        <v>12</v>
      </c>
      <c r="D30" s="3" t="s">
        <v>56</v>
      </c>
      <c r="E30" s="4"/>
      <c r="F30" s="3">
        <v>8.788334893E9</v>
      </c>
      <c r="G30" s="3">
        <v>1.1062096883E10</v>
      </c>
      <c r="H30" s="3">
        <v>1.0136849937E10</v>
      </c>
      <c r="I30" s="3">
        <v>1.2981258183E10</v>
      </c>
      <c r="J30" s="3">
        <v>1.2654446014E10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7.25" hidden="1" customHeight="1">
      <c r="A31" s="3" t="s">
        <v>54</v>
      </c>
      <c r="B31" s="3" t="s">
        <v>55</v>
      </c>
      <c r="C31" s="3" t="s">
        <v>12</v>
      </c>
      <c r="D31" s="3" t="s">
        <v>57</v>
      </c>
      <c r="E31" s="4"/>
      <c r="F31" s="3">
        <v>1.273879616E9</v>
      </c>
      <c r="G31" s="3">
        <v>1.127178208E9</v>
      </c>
      <c r="H31" s="3">
        <v>1.400789222E9</v>
      </c>
      <c r="I31" s="3">
        <v>1.013088164E9</v>
      </c>
      <c r="J31" s="3">
        <v>1.056446572E9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7.25" hidden="1" customHeight="1">
      <c r="A32" s="3" t="s">
        <v>54</v>
      </c>
      <c r="B32" s="3" t="s">
        <v>55</v>
      </c>
      <c r="C32" s="3" t="s">
        <v>20</v>
      </c>
      <c r="D32" s="3" t="s">
        <v>58</v>
      </c>
      <c r="E32" s="4"/>
      <c r="F32" s="3"/>
      <c r="G32" s="3"/>
      <c r="H32" s="3">
        <v>1.18256E8</v>
      </c>
      <c r="I32" s="3">
        <v>2.5512E7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7.25" hidden="1" customHeight="1">
      <c r="A33" s="3" t="s">
        <v>54</v>
      </c>
      <c r="B33" s="3" t="s">
        <v>55</v>
      </c>
      <c r="C33" s="3" t="s">
        <v>20</v>
      </c>
      <c r="D33" s="3" t="s">
        <v>56</v>
      </c>
      <c r="E33" s="4"/>
      <c r="F33" s="3">
        <v>3.520224E8</v>
      </c>
      <c r="G33" s="3">
        <v>7.194025E7</v>
      </c>
      <c r="H33" s="3">
        <v>9189950.0</v>
      </c>
      <c r="I33" s="3">
        <v>41650.0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7.25" hidden="1" customHeight="1">
      <c r="A34" s="3" t="s">
        <v>59</v>
      </c>
      <c r="B34" s="3" t="s">
        <v>60</v>
      </c>
      <c r="C34" s="3" t="s">
        <v>12</v>
      </c>
      <c r="D34" s="3" t="s">
        <v>61</v>
      </c>
      <c r="E34" s="4"/>
      <c r="F34" s="3">
        <v>1.0401547127E10</v>
      </c>
      <c r="G34" s="3">
        <v>9.96828733E9</v>
      </c>
      <c r="H34" s="3">
        <v>8.046028909E9</v>
      </c>
      <c r="I34" s="3">
        <v>8.449109453E9</v>
      </c>
      <c r="J34" s="3">
        <v>1.0725913092E10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7.25" hidden="1" customHeight="1">
      <c r="A35" s="3" t="s">
        <v>59</v>
      </c>
      <c r="B35" s="3" t="s">
        <v>60</v>
      </c>
      <c r="C35" s="3" t="s">
        <v>12</v>
      </c>
      <c r="D35" s="3" t="s">
        <v>62</v>
      </c>
      <c r="E35" s="4"/>
      <c r="F35" s="3">
        <v>3.128665858E9</v>
      </c>
      <c r="G35" s="3">
        <v>2.974493341E9</v>
      </c>
      <c r="H35" s="3">
        <v>2.784917528E9</v>
      </c>
      <c r="I35" s="3">
        <v>2.10280616E9</v>
      </c>
      <c r="J35" s="3">
        <v>1.915178653E9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7.25" hidden="1" customHeight="1">
      <c r="A36" s="3" t="s">
        <v>59</v>
      </c>
      <c r="B36" s="3" t="s">
        <v>60</v>
      </c>
      <c r="C36" s="3" t="s">
        <v>12</v>
      </c>
      <c r="D36" s="3" t="s">
        <v>63</v>
      </c>
      <c r="E36" s="4"/>
      <c r="F36" s="3">
        <v>2.17324558E8</v>
      </c>
      <c r="G36" s="3">
        <v>9.6230246E7</v>
      </c>
      <c r="H36" s="3">
        <v>1.08194052E8</v>
      </c>
      <c r="I36" s="3">
        <v>5.5419699E7</v>
      </c>
      <c r="J36" s="3">
        <v>1.36588881E8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7.25" hidden="1" customHeight="1">
      <c r="A37" s="3" t="s">
        <v>64</v>
      </c>
      <c r="B37" s="3" t="s">
        <v>65</v>
      </c>
      <c r="C37" s="3" t="s">
        <v>12</v>
      </c>
      <c r="D37" s="3" t="s">
        <v>66</v>
      </c>
      <c r="E37" s="4"/>
      <c r="F37" s="3">
        <v>1.226213432E9</v>
      </c>
      <c r="G37" s="3">
        <v>1.385147379E9</v>
      </c>
      <c r="H37" s="3">
        <v>1.619819223E9</v>
      </c>
      <c r="I37" s="3">
        <v>1.432191101E9</v>
      </c>
      <c r="J37" s="3">
        <v>1.5681284E9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7.25" hidden="1" customHeight="1">
      <c r="A38" s="3" t="s">
        <v>64</v>
      </c>
      <c r="B38" s="3" t="s">
        <v>65</v>
      </c>
      <c r="C38" s="3" t="s">
        <v>12</v>
      </c>
      <c r="D38" s="3" t="s">
        <v>67</v>
      </c>
      <c r="E38" s="4"/>
      <c r="F38" s="3">
        <v>1.581675266E9</v>
      </c>
      <c r="G38" s="3">
        <v>2.212655844E9</v>
      </c>
      <c r="H38" s="3">
        <v>2.243215912E9</v>
      </c>
      <c r="I38" s="3">
        <v>1.654542899E9</v>
      </c>
      <c r="J38" s="3">
        <v>1.337837967E9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7.25" hidden="1" customHeight="1">
      <c r="A39" s="3" t="s">
        <v>64</v>
      </c>
      <c r="B39" s="3" t="s">
        <v>65</v>
      </c>
      <c r="C39" s="3" t="s">
        <v>12</v>
      </c>
      <c r="D39" s="3" t="s">
        <v>68</v>
      </c>
      <c r="E39" s="4"/>
      <c r="F39" s="3">
        <v>1.140765255E9</v>
      </c>
      <c r="G39" s="3">
        <v>1.486086877E9</v>
      </c>
      <c r="H39" s="3">
        <v>1.3309385E9</v>
      </c>
      <c r="I39" s="3">
        <v>1.209904039E9</v>
      </c>
      <c r="J39" s="3">
        <v>1.129202793E9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7.25" hidden="1" customHeight="1">
      <c r="A40" s="3" t="s">
        <v>64</v>
      </c>
      <c r="B40" s="3" t="s">
        <v>65</v>
      </c>
      <c r="C40" s="3" t="s">
        <v>12</v>
      </c>
      <c r="D40" s="3" t="s">
        <v>69</v>
      </c>
      <c r="E40" s="4"/>
      <c r="F40" s="3">
        <v>1.5936981E8</v>
      </c>
      <c r="G40" s="3">
        <v>2.18768868E8</v>
      </c>
      <c r="H40" s="3">
        <v>3.41848552E8</v>
      </c>
      <c r="I40" s="3">
        <v>3.35101226E8</v>
      </c>
      <c r="J40" s="3">
        <v>3.168291E8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7.25" hidden="1" customHeight="1">
      <c r="A41" s="3" t="s">
        <v>64</v>
      </c>
      <c r="B41" s="3" t="s">
        <v>65</v>
      </c>
      <c r="C41" s="3" t="s">
        <v>20</v>
      </c>
      <c r="D41" s="3" t="s">
        <v>70</v>
      </c>
      <c r="E41" s="4"/>
      <c r="F41" s="3">
        <v>1.065612E9</v>
      </c>
      <c r="G41" s="3">
        <v>2.035284E9</v>
      </c>
      <c r="H41" s="3">
        <v>4.193064E9</v>
      </c>
      <c r="I41" s="3">
        <v>4.686468E9</v>
      </c>
      <c r="J41" s="3">
        <v>5.128157E9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7.25" hidden="1" customHeight="1">
      <c r="A42" s="3" t="s">
        <v>64</v>
      </c>
      <c r="B42" s="3" t="s">
        <v>65</v>
      </c>
      <c r="C42" s="3" t="s">
        <v>20</v>
      </c>
      <c r="D42" s="3" t="s">
        <v>71</v>
      </c>
      <c r="E42" s="4"/>
      <c r="F42" s="3">
        <v>9.58249E8</v>
      </c>
      <c r="G42" s="3">
        <v>1.3452532E9</v>
      </c>
      <c r="H42" s="3">
        <v>1.5603866E9</v>
      </c>
      <c r="I42" s="3">
        <v>1.681244E9</v>
      </c>
      <c r="J42" s="3">
        <v>1.82990979E9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7.25" hidden="1" customHeight="1">
      <c r="A43" s="3" t="s">
        <v>64</v>
      </c>
      <c r="B43" s="3" t="s">
        <v>65</v>
      </c>
      <c r="C43" s="3" t="s">
        <v>20</v>
      </c>
      <c r="D43" s="3" t="s">
        <v>72</v>
      </c>
      <c r="E43" s="4"/>
      <c r="F43" s="3">
        <v>3.62744E8</v>
      </c>
      <c r="G43" s="3">
        <v>4.74772E8</v>
      </c>
      <c r="H43" s="3">
        <v>5.099E8</v>
      </c>
      <c r="I43" s="3">
        <v>8.68291724E8</v>
      </c>
      <c r="J43" s="3">
        <v>8.60269681E8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7.25" hidden="1" customHeight="1">
      <c r="A44" s="3" t="s">
        <v>64</v>
      </c>
      <c r="B44" s="3" t="s">
        <v>65</v>
      </c>
      <c r="C44" s="3" t="s">
        <v>20</v>
      </c>
      <c r="D44" s="3" t="s">
        <v>73</v>
      </c>
      <c r="E44" s="4"/>
      <c r="F44" s="3">
        <v>2.29826E8</v>
      </c>
      <c r="G44" s="3">
        <v>2.06076E8</v>
      </c>
      <c r="H44" s="3">
        <v>5.0184E8</v>
      </c>
      <c r="I44" s="3">
        <v>3.85228E8</v>
      </c>
      <c r="J44" s="3">
        <v>2.47568E8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7.25" hidden="1" customHeight="1">
      <c r="A45" s="3" t="s">
        <v>64</v>
      </c>
      <c r="B45" s="3" t="s">
        <v>65</v>
      </c>
      <c r="C45" s="3" t="s">
        <v>20</v>
      </c>
      <c r="D45" s="3" t="s">
        <v>74</v>
      </c>
      <c r="E45" s="4"/>
      <c r="F45" s="3">
        <v>4.959E7</v>
      </c>
      <c r="G45" s="3">
        <v>6.4446E7</v>
      </c>
      <c r="H45" s="3">
        <v>2.31366E8</v>
      </c>
      <c r="I45" s="3">
        <v>1.7403E8</v>
      </c>
      <c r="J45" s="3">
        <v>1.80336E8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7.25" hidden="1" customHeight="1">
      <c r="A46" s="3" t="s">
        <v>64</v>
      </c>
      <c r="B46" s="3" t="s">
        <v>65</v>
      </c>
      <c r="C46" s="3" t="s">
        <v>20</v>
      </c>
      <c r="D46" s="3" t="s">
        <v>75</v>
      </c>
      <c r="E46" s="4"/>
      <c r="F46" s="3">
        <v>2.61118E8</v>
      </c>
      <c r="G46" s="3">
        <v>4.8313475E8</v>
      </c>
      <c r="H46" s="3">
        <v>5.87699E8</v>
      </c>
      <c r="I46" s="3">
        <v>2.89877E8</v>
      </c>
      <c r="J46" s="3">
        <v>1.24962E8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7.25" hidden="1" customHeight="1">
      <c r="A47" s="3" t="s">
        <v>64</v>
      </c>
      <c r="B47" s="3" t="s">
        <v>65</v>
      </c>
      <c r="C47" s="3" t="s">
        <v>20</v>
      </c>
      <c r="D47" s="3" t="s">
        <v>66</v>
      </c>
      <c r="E47" s="4"/>
      <c r="F47" s="3">
        <v>2000300.0</v>
      </c>
      <c r="G47" s="3">
        <v>2663050.0</v>
      </c>
      <c r="H47" s="3">
        <v>5085100.0</v>
      </c>
      <c r="I47" s="3">
        <v>3554750.0</v>
      </c>
      <c r="J47" s="3">
        <v>2229250.0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7.25" hidden="1" customHeight="1">
      <c r="A48" s="3" t="s">
        <v>64</v>
      </c>
      <c r="B48" s="3" t="s">
        <v>65</v>
      </c>
      <c r="C48" s="3" t="s">
        <v>20</v>
      </c>
      <c r="D48" s="3" t="s">
        <v>76</v>
      </c>
      <c r="E48" s="4"/>
      <c r="F48" s="3"/>
      <c r="G48" s="3">
        <v>5103000.0</v>
      </c>
      <c r="H48" s="3">
        <v>3892000.0</v>
      </c>
      <c r="I48" s="3">
        <v>315000.0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7.25" hidden="1" customHeight="1">
      <c r="A49" s="3" t="s">
        <v>64</v>
      </c>
      <c r="B49" s="3" t="s">
        <v>65</v>
      </c>
      <c r="C49" s="3" t="s">
        <v>20</v>
      </c>
      <c r="D49" s="3" t="s">
        <v>67</v>
      </c>
      <c r="E49" s="4"/>
      <c r="F49" s="3">
        <v>2.4264885E7</v>
      </c>
      <c r="G49" s="3">
        <v>2.6879042E7</v>
      </c>
      <c r="H49" s="3">
        <v>2.8993846E7</v>
      </c>
      <c r="I49" s="3">
        <v>9469882.0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7.25" hidden="1" customHeight="1">
      <c r="A50" s="3" t="s">
        <v>77</v>
      </c>
      <c r="B50" s="3" t="s">
        <v>78</v>
      </c>
      <c r="C50" s="3" t="s">
        <v>20</v>
      </c>
      <c r="D50" s="3" t="s">
        <v>79</v>
      </c>
      <c r="E50" s="4"/>
      <c r="F50" s="3">
        <v>5.842682898E9</v>
      </c>
      <c r="G50" s="3">
        <v>7.28520812E9</v>
      </c>
      <c r="H50" s="3">
        <v>8.05289274E9</v>
      </c>
      <c r="I50" s="3">
        <v>1.0361396576E10</v>
      </c>
      <c r="J50" s="3">
        <v>9.403416934E9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7.25" hidden="1" customHeight="1">
      <c r="A51" s="3" t="s">
        <v>77</v>
      </c>
      <c r="B51" s="3" t="s">
        <v>78</v>
      </c>
      <c r="C51" s="3" t="s">
        <v>20</v>
      </c>
      <c r="D51" s="3" t="s">
        <v>80</v>
      </c>
      <c r="E51" s="4"/>
      <c r="F51" s="3"/>
      <c r="G51" s="3"/>
      <c r="H51" s="3"/>
      <c r="I51" s="3">
        <v>4.18128155E8</v>
      </c>
      <c r="J51" s="3">
        <v>1.005190345E9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7.25" hidden="1" customHeight="1">
      <c r="A52" s="3" t="s">
        <v>77</v>
      </c>
      <c r="B52" s="3" t="s">
        <v>78</v>
      </c>
      <c r="C52" s="3" t="s">
        <v>20</v>
      </c>
      <c r="D52" s="3" t="s">
        <v>81</v>
      </c>
      <c r="E52" s="4"/>
      <c r="F52" s="3">
        <v>5.30925084E8</v>
      </c>
      <c r="G52" s="3">
        <v>3.97643868E8</v>
      </c>
      <c r="H52" s="3">
        <v>3.46896244E8</v>
      </c>
      <c r="I52" s="3">
        <v>2.71795224E8</v>
      </c>
      <c r="J52" s="3">
        <v>1.85018512E8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7.25" hidden="1" customHeight="1">
      <c r="A53" s="3" t="s">
        <v>77</v>
      </c>
      <c r="B53" s="3" t="s">
        <v>78</v>
      </c>
      <c r="C53" s="3" t="s">
        <v>20</v>
      </c>
      <c r="D53" s="3" t="s">
        <v>82</v>
      </c>
      <c r="E53" s="4"/>
      <c r="F53" s="3">
        <v>1.77492872E8</v>
      </c>
      <c r="G53" s="3">
        <v>1.59042276E8</v>
      </c>
      <c r="H53" s="3">
        <v>4.52867072E8</v>
      </c>
      <c r="I53" s="3">
        <v>2.95629932E8</v>
      </c>
      <c r="J53" s="3">
        <v>1.7641872E8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7.25" hidden="1" customHeight="1">
      <c r="A54" s="3" t="s">
        <v>77</v>
      </c>
      <c r="B54" s="3" t="s">
        <v>78</v>
      </c>
      <c r="C54" s="3" t="s">
        <v>20</v>
      </c>
      <c r="D54" s="3" t="s">
        <v>83</v>
      </c>
      <c r="E54" s="4"/>
      <c r="F54" s="3">
        <v>1.68455918E8</v>
      </c>
      <c r="G54" s="3">
        <v>1.501525E8</v>
      </c>
      <c r="H54" s="3">
        <v>1.30355E8</v>
      </c>
      <c r="I54" s="3">
        <v>8.65725E7</v>
      </c>
      <c r="J54" s="3">
        <v>6.00825E7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7.25" hidden="1" customHeight="1">
      <c r="A55" s="3" t="s">
        <v>77</v>
      </c>
      <c r="B55" s="3" t="s">
        <v>78</v>
      </c>
      <c r="C55" s="3" t="s">
        <v>20</v>
      </c>
      <c r="D55" s="3" t="s">
        <v>84</v>
      </c>
      <c r="E55" s="4"/>
      <c r="F55" s="3"/>
      <c r="G55" s="3"/>
      <c r="H55" s="3"/>
      <c r="I55" s="3"/>
      <c r="J55" s="3">
        <v>3.6765E7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7.25" hidden="1" customHeight="1">
      <c r="A56" s="3" t="s">
        <v>85</v>
      </c>
      <c r="B56" s="3" t="s">
        <v>86</v>
      </c>
      <c r="C56" s="3" t="s">
        <v>12</v>
      </c>
      <c r="D56" s="3" t="s">
        <v>30</v>
      </c>
      <c r="E56" s="4"/>
      <c r="F56" s="3">
        <v>7.507109939E9</v>
      </c>
      <c r="G56" s="3">
        <v>8.810915867E9</v>
      </c>
      <c r="H56" s="3">
        <v>8.372241363E9</v>
      </c>
      <c r="I56" s="3">
        <v>7.573838642E9</v>
      </c>
      <c r="J56" s="3">
        <v>8.057198402E9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7.25" hidden="1" customHeight="1">
      <c r="A57" s="3" t="s">
        <v>85</v>
      </c>
      <c r="B57" s="3" t="s">
        <v>86</v>
      </c>
      <c r="C57" s="3" t="s">
        <v>12</v>
      </c>
      <c r="D57" s="3" t="s">
        <v>87</v>
      </c>
      <c r="E57" s="4"/>
      <c r="F57" s="3">
        <v>2.058325012E9</v>
      </c>
      <c r="G57" s="3">
        <v>2.300843454E9</v>
      </c>
      <c r="H57" s="3">
        <v>2.247394128E9</v>
      </c>
      <c r="I57" s="3">
        <v>1.701657959E9</v>
      </c>
      <c r="J57" s="3">
        <v>2.532549221E9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7.25" customHeight="1">
      <c r="A58" s="3" t="s">
        <v>88</v>
      </c>
      <c r="B58" s="3" t="s">
        <v>89</v>
      </c>
      <c r="C58" s="3" t="s">
        <v>12</v>
      </c>
      <c r="D58" s="3" t="s">
        <v>90</v>
      </c>
      <c r="E58" s="4" t="s">
        <v>91</v>
      </c>
      <c r="F58" s="3">
        <v>1.2094134866E10</v>
      </c>
      <c r="G58" s="3">
        <v>9.988672509E9</v>
      </c>
      <c r="H58" s="3">
        <v>1.010905373E10</v>
      </c>
      <c r="I58" s="3">
        <v>9.916847801E9</v>
      </c>
      <c r="J58" s="3">
        <v>1.0220255845E10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7.25" customHeight="1">
      <c r="A59" s="3" t="s">
        <v>92</v>
      </c>
      <c r="B59" s="3" t="s">
        <v>93</v>
      </c>
      <c r="C59" s="3" t="s">
        <v>12</v>
      </c>
      <c r="D59" s="3" t="s">
        <v>94</v>
      </c>
      <c r="E59" s="4" t="s">
        <v>91</v>
      </c>
      <c r="F59" s="3">
        <v>8.659387807E9</v>
      </c>
      <c r="G59" s="3">
        <v>9.282338252E9</v>
      </c>
      <c r="H59" s="3">
        <v>7.461311432E9</v>
      </c>
      <c r="I59" s="3">
        <v>7.833883686E9</v>
      </c>
      <c r="J59" s="3">
        <v>9.615555183E9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7.25" customHeight="1">
      <c r="A60" s="3" t="s">
        <v>95</v>
      </c>
      <c r="B60" s="3" t="s">
        <v>96</v>
      </c>
      <c r="C60" s="3" t="s">
        <v>12</v>
      </c>
      <c r="D60" s="3" t="s">
        <v>97</v>
      </c>
      <c r="E60" s="4" t="s">
        <v>98</v>
      </c>
      <c r="F60" s="3">
        <v>4.831920906E9</v>
      </c>
      <c r="G60" s="3">
        <v>4.584240702E9</v>
      </c>
      <c r="H60" s="3">
        <v>5.246299126E9</v>
      </c>
      <c r="I60" s="3">
        <v>6.746520797E9</v>
      </c>
      <c r="J60" s="3">
        <v>7.074796404E9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7.25" hidden="1" customHeight="1">
      <c r="A61" s="3" t="s">
        <v>95</v>
      </c>
      <c r="B61" s="3" t="s">
        <v>96</v>
      </c>
      <c r="C61" s="3" t="s">
        <v>12</v>
      </c>
      <c r="D61" s="3" t="s">
        <v>99</v>
      </c>
      <c r="E61" s="4"/>
      <c r="F61" s="3">
        <v>1.538282122E9</v>
      </c>
      <c r="G61" s="3">
        <v>1.464680713E9</v>
      </c>
      <c r="H61" s="3">
        <v>1.438011015E9</v>
      </c>
      <c r="I61" s="3">
        <v>1.164542218E9</v>
      </c>
      <c r="J61" s="3">
        <v>9.9937447E8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7.25" hidden="1" customHeight="1">
      <c r="A62" s="3" t="s">
        <v>95</v>
      </c>
      <c r="B62" s="3" t="s">
        <v>96</v>
      </c>
      <c r="C62" s="3" t="s">
        <v>12</v>
      </c>
      <c r="D62" s="3" t="s">
        <v>100</v>
      </c>
      <c r="E62" s="4"/>
      <c r="F62" s="3">
        <v>3.51906924E8</v>
      </c>
      <c r="G62" s="3">
        <v>3.34679477E8</v>
      </c>
      <c r="H62" s="3">
        <v>2.65402193E8</v>
      </c>
      <c r="I62" s="3">
        <v>2.3970722E8</v>
      </c>
      <c r="J62" s="3">
        <v>2.53764669E8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7.25" hidden="1" customHeight="1">
      <c r="A63" s="3" t="s">
        <v>95</v>
      </c>
      <c r="B63" s="3" t="s">
        <v>96</v>
      </c>
      <c r="C63" s="3" t="s">
        <v>12</v>
      </c>
      <c r="D63" s="3" t="s">
        <v>101</v>
      </c>
      <c r="E63" s="4"/>
      <c r="F63" s="3">
        <v>33872.0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7.25" hidden="1" customHeight="1">
      <c r="A64" s="3" t="s">
        <v>102</v>
      </c>
      <c r="B64" s="3" t="s">
        <v>103</v>
      </c>
      <c r="C64" s="3" t="s">
        <v>12</v>
      </c>
      <c r="D64" s="3" t="s">
        <v>104</v>
      </c>
      <c r="E64" s="4"/>
      <c r="F64" s="3">
        <v>3.898374669E9</v>
      </c>
      <c r="G64" s="3">
        <v>3.720094317E9</v>
      </c>
      <c r="H64" s="3">
        <v>3.615919281E9</v>
      </c>
      <c r="I64" s="3">
        <v>2.715276627E9</v>
      </c>
      <c r="J64" s="3">
        <v>2.977640388E9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7.25" hidden="1" customHeight="1">
      <c r="A65" s="3" t="s">
        <v>102</v>
      </c>
      <c r="B65" s="3" t="s">
        <v>103</v>
      </c>
      <c r="C65" s="3" t="s">
        <v>20</v>
      </c>
      <c r="D65" s="3" t="s">
        <v>105</v>
      </c>
      <c r="E65" s="4"/>
      <c r="F65" s="3">
        <v>5.154092875E9</v>
      </c>
      <c r="G65" s="3">
        <v>5.8158174E9</v>
      </c>
      <c r="H65" s="3">
        <v>6.1869052E9</v>
      </c>
      <c r="I65" s="3">
        <v>6.165168E9</v>
      </c>
      <c r="J65" s="3">
        <v>5.1967836E9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7.25" hidden="1" customHeight="1">
      <c r="A66" s="3" t="s">
        <v>106</v>
      </c>
      <c r="B66" s="3" t="s">
        <v>107</v>
      </c>
      <c r="C66" s="3" t="s">
        <v>12</v>
      </c>
      <c r="D66" s="3" t="s">
        <v>87</v>
      </c>
      <c r="E66" s="4"/>
      <c r="F66" s="3">
        <v>7.488475754E9</v>
      </c>
      <c r="G66" s="3">
        <v>8.267669969E9</v>
      </c>
      <c r="H66" s="3">
        <v>8.175746227E9</v>
      </c>
      <c r="I66" s="3">
        <v>7.13351406E9</v>
      </c>
      <c r="J66" s="3">
        <v>7.912597373E9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7.25" hidden="1" customHeight="1">
      <c r="A67" s="3" t="s">
        <v>106</v>
      </c>
      <c r="B67" s="3" t="s">
        <v>107</v>
      </c>
      <c r="C67" s="3" t="s">
        <v>12</v>
      </c>
      <c r="D67" s="3" t="s">
        <v>108</v>
      </c>
      <c r="E67" s="4"/>
      <c r="F67" s="3">
        <v>661418.0</v>
      </c>
      <c r="G67" s="3">
        <v>738534.0</v>
      </c>
      <c r="H67" s="3">
        <v>737051.0</v>
      </c>
      <c r="I67" s="3">
        <v>1183434.0</v>
      </c>
      <c r="J67" s="3">
        <v>949120.0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7.25" hidden="1" customHeight="1">
      <c r="A68" s="3" t="s">
        <v>106</v>
      </c>
      <c r="B68" s="3" t="s">
        <v>107</v>
      </c>
      <c r="C68" s="3" t="s">
        <v>20</v>
      </c>
      <c r="D68" s="3" t="s">
        <v>87</v>
      </c>
      <c r="E68" s="4"/>
      <c r="F68" s="3">
        <v>4.3029522E7</v>
      </c>
      <c r="G68" s="3">
        <v>7.1431064E7</v>
      </c>
      <c r="H68" s="3">
        <v>2.42598198E8</v>
      </c>
      <c r="I68" s="3">
        <v>1.76352686E8</v>
      </c>
      <c r="J68" s="3">
        <v>1.57042258E8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7.25" hidden="1" customHeight="1">
      <c r="A69" s="3" t="s">
        <v>106</v>
      </c>
      <c r="B69" s="3" t="s">
        <v>107</v>
      </c>
      <c r="C69" s="3" t="s">
        <v>20</v>
      </c>
      <c r="D69" s="3" t="s">
        <v>108</v>
      </c>
      <c r="E69" s="4"/>
      <c r="F69" s="3">
        <v>627154.0</v>
      </c>
      <c r="G69" s="3">
        <v>678270.0</v>
      </c>
      <c r="H69" s="3">
        <v>351914.0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7.25" customHeight="1">
      <c r="A70" s="3" t="s">
        <v>109</v>
      </c>
      <c r="B70" s="3" t="s">
        <v>110</v>
      </c>
      <c r="C70" s="3" t="s">
        <v>12</v>
      </c>
      <c r="D70" s="3" t="s">
        <v>111</v>
      </c>
      <c r="E70" s="4" t="s">
        <v>91</v>
      </c>
      <c r="F70" s="3">
        <v>8.819152189E9</v>
      </c>
      <c r="G70" s="3">
        <v>7.877490951E9</v>
      </c>
      <c r="H70" s="3">
        <v>8.694712488E9</v>
      </c>
      <c r="I70" s="3">
        <v>6.912312429E9</v>
      </c>
      <c r="J70" s="3">
        <v>7.826013921E9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7.25" hidden="1" customHeight="1">
      <c r="A71" s="3" t="s">
        <v>112</v>
      </c>
      <c r="B71" s="3" t="s">
        <v>113</v>
      </c>
      <c r="C71" s="3" t="s">
        <v>12</v>
      </c>
      <c r="D71" s="3" t="s">
        <v>114</v>
      </c>
      <c r="E71" s="4"/>
      <c r="F71" s="3">
        <v>6.488252925E9</v>
      </c>
      <c r="G71" s="3">
        <v>6.9905481E9</v>
      </c>
      <c r="H71" s="3">
        <v>7.14346178E9</v>
      </c>
      <c r="I71" s="3">
        <v>5.464665093E9</v>
      </c>
      <c r="J71" s="3">
        <v>6.953034639E9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7.25" hidden="1" customHeight="1">
      <c r="A72" s="3" t="s">
        <v>112</v>
      </c>
      <c r="B72" s="3" t="s">
        <v>113</v>
      </c>
      <c r="C72" s="3" t="s">
        <v>12</v>
      </c>
      <c r="D72" s="3" t="s">
        <v>32</v>
      </c>
      <c r="E72" s="4"/>
      <c r="F72" s="3">
        <v>2.45403774E8</v>
      </c>
      <c r="G72" s="3">
        <v>2.16829602E8</v>
      </c>
      <c r="H72" s="3">
        <v>2.19364596E8</v>
      </c>
      <c r="I72" s="3">
        <v>4.15925928E8</v>
      </c>
      <c r="J72" s="3">
        <v>3.6716526E8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7.25" hidden="1" customHeight="1">
      <c r="A73" s="3" t="s">
        <v>115</v>
      </c>
      <c r="B73" s="3" t="s">
        <v>116</v>
      </c>
      <c r="C73" s="3" t="s">
        <v>12</v>
      </c>
      <c r="D73" s="3" t="s">
        <v>117</v>
      </c>
      <c r="E73" s="4"/>
      <c r="F73" s="3">
        <v>7.988580697E9</v>
      </c>
      <c r="G73" s="3">
        <v>8.031058486E9</v>
      </c>
      <c r="H73" s="3">
        <v>8.041392071E9</v>
      </c>
      <c r="I73" s="3">
        <v>7.137613427E9</v>
      </c>
      <c r="J73" s="3">
        <v>6.718887071E9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7.25" hidden="1" customHeight="1">
      <c r="A74" s="3" t="s">
        <v>118</v>
      </c>
      <c r="B74" s="3" t="s">
        <v>119</v>
      </c>
      <c r="C74" s="3" t="s">
        <v>12</v>
      </c>
      <c r="D74" s="3" t="s">
        <v>120</v>
      </c>
      <c r="E74" s="4"/>
      <c r="F74" s="3">
        <v>3.107956677E9</v>
      </c>
      <c r="G74" s="3">
        <v>3.398181402E9</v>
      </c>
      <c r="H74" s="3">
        <v>3.2055263E9</v>
      </c>
      <c r="I74" s="3">
        <v>2.806414005E9</v>
      </c>
      <c r="J74" s="3">
        <v>2.802695728E9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7.25" hidden="1" customHeight="1">
      <c r="A75" s="3" t="s">
        <v>118</v>
      </c>
      <c r="B75" s="3" t="s">
        <v>119</v>
      </c>
      <c r="C75" s="3" t="s">
        <v>12</v>
      </c>
      <c r="D75" s="3" t="s">
        <v>121</v>
      </c>
      <c r="E75" s="4"/>
      <c r="F75" s="3">
        <v>1.821557851E9</v>
      </c>
      <c r="G75" s="3">
        <v>2.051590739E9</v>
      </c>
      <c r="H75" s="3">
        <v>2.458810075E9</v>
      </c>
      <c r="I75" s="3">
        <v>3.111479758E9</v>
      </c>
      <c r="J75" s="3">
        <v>2.2601951E9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7.25" hidden="1" customHeight="1">
      <c r="A76" s="3" t="s">
        <v>118</v>
      </c>
      <c r="B76" s="3" t="s">
        <v>119</v>
      </c>
      <c r="C76" s="3" t="s">
        <v>12</v>
      </c>
      <c r="D76" s="3" t="s">
        <v>122</v>
      </c>
      <c r="E76" s="4"/>
      <c r="F76" s="3">
        <v>1.19145312E8</v>
      </c>
      <c r="G76" s="3">
        <v>1.83247453E8</v>
      </c>
      <c r="H76" s="3">
        <v>1.13338098E8</v>
      </c>
      <c r="I76" s="3">
        <v>1.04159832E8</v>
      </c>
      <c r="J76" s="3">
        <v>1.51578875E8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7.25" hidden="1" customHeight="1">
      <c r="A77" s="3" t="s">
        <v>118</v>
      </c>
      <c r="B77" s="3" t="s">
        <v>119</v>
      </c>
      <c r="C77" s="3" t="s">
        <v>20</v>
      </c>
      <c r="D77" s="3" t="s">
        <v>121</v>
      </c>
      <c r="E77" s="4"/>
      <c r="F77" s="3">
        <v>1.847866E7</v>
      </c>
      <c r="G77" s="3">
        <v>5.4124515E7</v>
      </c>
      <c r="H77" s="3">
        <v>4.629117E7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7.25" hidden="1" customHeight="1">
      <c r="A78" s="3" t="s">
        <v>123</v>
      </c>
      <c r="B78" s="3" t="s">
        <v>124</v>
      </c>
      <c r="C78" s="3" t="s">
        <v>12</v>
      </c>
      <c r="D78" s="3" t="s">
        <v>125</v>
      </c>
      <c r="E78" s="4"/>
      <c r="F78" s="3">
        <v>3.009275881E9</v>
      </c>
      <c r="G78" s="3">
        <v>2.890923856E9</v>
      </c>
      <c r="H78" s="3">
        <v>3.818981971E9</v>
      </c>
      <c r="I78" s="3">
        <v>4.944421178E9</v>
      </c>
      <c r="J78" s="3">
        <v>5.172296168E9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7.25" hidden="1" customHeight="1">
      <c r="A79" s="3" t="s">
        <v>123</v>
      </c>
      <c r="B79" s="3" t="s">
        <v>124</v>
      </c>
      <c r="C79" s="3" t="s">
        <v>12</v>
      </c>
      <c r="D79" s="3" t="s">
        <v>126</v>
      </c>
      <c r="E79" s="4"/>
      <c r="F79" s="3">
        <v>5.82331718E8</v>
      </c>
      <c r="G79" s="3">
        <v>4.20448708E8</v>
      </c>
      <c r="H79" s="3">
        <v>1.21500465E8</v>
      </c>
      <c r="I79" s="3">
        <v>9.6177279E7</v>
      </c>
      <c r="J79" s="3">
        <v>7147354.0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7.25" hidden="1" customHeight="1">
      <c r="A80" s="3" t="s">
        <v>123</v>
      </c>
      <c r="B80" s="3" t="s">
        <v>124</v>
      </c>
      <c r="C80" s="3" t="s">
        <v>12</v>
      </c>
      <c r="D80" s="3" t="s">
        <v>127</v>
      </c>
      <c r="E80" s="4"/>
      <c r="F80" s="3">
        <v>9.5082976E7</v>
      </c>
      <c r="G80" s="3">
        <v>1.15603835E8</v>
      </c>
      <c r="H80" s="3">
        <v>3.6648345E7</v>
      </c>
      <c r="I80" s="3">
        <v>2765155.0</v>
      </c>
      <c r="J80" s="3">
        <v>6498948.0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7.25" customHeight="1">
      <c r="A81" s="3" t="s">
        <v>128</v>
      </c>
      <c r="B81" s="3" t="s">
        <v>129</v>
      </c>
      <c r="C81" s="3" t="s">
        <v>12</v>
      </c>
      <c r="D81" s="3" t="s">
        <v>130</v>
      </c>
      <c r="E81" s="4" t="s">
        <v>24</v>
      </c>
      <c r="F81" s="3">
        <v>3.929970615E9</v>
      </c>
      <c r="G81" s="3">
        <v>3.44154923E9</v>
      </c>
      <c r="H81" s="3">
        <v>3.377489248E9</v>
      </c>
      <c r="I81" s="3">
        <v>3.497261497E9</v>
      </c>
      <c r="J81" s="3">
        <v>3.923730068E9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7.25" customHeight="1">
      <c r="A82" s="3" t="s">
        <v>128</v>
      </c>
      <c r="B82" s="3" t="s">
        <v>129</v>
      </c>
      <c r="C82" s="3" t="s">
        <v>12</v>
      </c>
      <c r="D82" s="3" t="s">
        <v>131</v>
      </c>
      <c r="E82" s="4" t="s">
        <v>91</v>
      </c>
      <c r="F82" s="3">
        <v>1.29715556E9</v>
      </c>
      <c r="G82" s="3">
        <v>1.162421109E9</v>
      </c>
      <c r="H82" s="3">
        <v>9.5907803E8</v>
      </c>
      <c r="I82" s="3">
        <v>8.14318805E8</v>
      </c>
      <c r="J82" s="3">
        <v>8.3254769E8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7.25" hidden="1" customHeight="1">
      <c r="A83" s="3" t="s">
        <v>128</v>
      </c>
      <c r="B83" s="3" t="s">
        <v>129</v>
      </c>
      <c r="C83" s="3" t="s">
        <v>20</v>
      </c>
      <c r="D83" s="3" t="s">
        <v>132</v>
      </c>
      <c r="E83" s="4"/>
      <c r="F83" s="3">
        <v>1.357128E8</v>
      </c>
      <c r="G83" s="3">
        <v>3.039736E8</v>
      </c>
      <c r="H83" s="3">
        <v>4.29148E8</v>
      </c>
      <c r="I83" s="3">
        <v>3.428832E8</v>
      </c>
      <c r="J83" s="3">
        <v>3.709808E8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7.25" hidden="1" customHeight="1">
      <c r="A84" s="3" t="s">
        <v>133</v>
      </c>
      <c r="B84" s="3" t="s">
        <v>134</v>
      </c>
      <c r="C84" s="3" t="s">
        <v>20</v>
      </c>
      <c r="D84" s="3" t="s">
        <v>135</v>
      </c>
      <c r="E84" s="4"/>
      <c r="F84" s="3">
        <v>4.30457741E9</v>
      </c>
      <c r="G84" s="3">
        <v>2.29606832E9</v>
      </c>
      <c r="H84" s="3">
        <v>3.11814412E9</v>
      </c>
      <c r="I84" s="3">
        <v>2.91083156E9</v>
      </c>
      <c r="J84" s="3">
        <v>2.84740872E9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7.25" hidden="1" customHeight="1">
      <c r="A85" s="3" t="s">
        <v>133</v>
      </c>
      <c r="B85" s="3" t="s">
        <v>134</v>
      </c>
      <c r="C85" s="3" t="s">
        <v>20</v>
      </c>
      <c r="D85" s="3" t="s">
        <v>136</v>
      </c>
      <c r="E85" s="4"/>
      <c r="F85" s="3"/>
      <c r="G85" s="3">
        <v>7.798E7</v>
      </c>
      <c r="H85" s="3">
        <v>9.2643E8</v>
      </c>
      <c r="I85" s="3">
        <v>1.95909E9</v>
      </c>
      <c r="J85" s="3">
        <v>1.43078E9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7.25" hidden="1" customHeight="1">
      <c r="A86" s="3" t="s">
        <v>133</v>
      </c>
      <c r="B86" s="3" t="s">
        <v>134</v>
      </c>
      <c r="C86" s="3" t="s">
        <v>20</v>
      </c>
      <c r="D86" s="3" t="s">
        <v>137</v>
      </c>
      <c r="E86" s="4"/>
      <c r="F86" s="3"/>
      <c r="G86" s="3"/>
      <c r="H86" s="3"/>
      <c r="I86" s="3"/>
      <c r="J86" s="3">
        <v>5.0173776E7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7.25" hidden="1" customHeight="1">
      <c r="A87" s="3" t="s">
        <v>133</v>
      </c>
      <c r="B87" s="3" t="s">
        <v>134</v>
      </c>
      <c r="C87" s="3" t="s">
        <v>20</v>
      </c>
      <c r="D87" s="3" t="s">
        <v>138</v>
      </c>
      <c r="E87" s="4"/>
      <c r="F87" s="3">
        <v>2573036.0</v>
      </c>
      <c r="G87" s="3">
        <v>5.09152E7</v>
      </c>
      <c r="H87" s="3">
        <v>9092.0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7.25" hidden="1" customHeight="1">
      <c r="A88" s="3" t="s">
        <v>139</v>
      </c>
      <c r="B88" s="3" t="s">
        <v>140</v>
      </c>
      <c r="C88" s="3" t="s">
        <v>12</v>
      </c>
      <c r="D88" s="3" t="s">
        <v>141</v>
      </c>
      <c r="E88" s="4"/>
      <c r="F88" s="3">
        <v>2.94306692E9</v>
      </c>
      <c r="G88" s="3">
        <v>2.895752833E9</v>
      </c>
      <c r="H88" s="3">
        <v>2.486531045E9</v>
      </c>
      <c r="I88" s="3">
        <v>2.481966262E9</v>
      </c>
      <c r="J88" s="3">
        <v>2.422504089E9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7.25" hidden="1" customHeight="1">
      <c r="A89" s="3" t="s">
        <v>139</v>
      </c>
      <c r="B89" s="3" t="s">
        <v>140</v>
      </c>
      <c r="C89" s="3" t="s">
        <v>12</v>
      </c>
      <c r="D89" s="3" t="s">
        <v>142</v>
      </c>
      <c r="E89" s="4"/>
      <c r="F89" s="3">
        <v>1.28838198E9</v>
      </c>
      <c r="G89" s="3">
        <v>1.298945744E9</v>
      </c>
      <c r="H89" s="3">
        <v>1.226189386E9</v>
      </c>
      <c r="I89" s="3">
        <v>1.311709338E9</v>
      </c>
      <c r="J89" s="3">
        <v>1.64988209E9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7.25" hidden="1" customHeight="1">
      <c r="A90" s="3" t="s">
        <v>143</v>
      </c>
      <c r="B90" s="3" t="s">
        <v>144</v>
      </c>
      <c r="C90" s="3" t="s">
        <v>12</v>
      </c>
      <c r="D90" s="3" t="s">
        <v>145</v>
      </c>
      <c r="E90" s="4"/>
      <c r="F90" s="3">
        <v>3.45448639E9</v>
      </c>
      <c r="G90" s="3">
        <v>3.327784878E9</v>
      </c>
      <c r="H90" s="3">
        <v>3.701931185E9</v>
      </c>
      <c r="I90" s="3">
        <v>3.633461679E9</v>
      </c>
      <c r="J90" s="3">
        <v>3.890005628E9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7.25" customHeight="1">
      <c r="A91" s="3" t="s">
        <v>146</v>
      </c>
      <c r="B91" s="3" t="s">
        <v>147</v>
      </c>
      <c r="C91" s="3" t="s">
        <v>12</v>
      </c>
      <c r="D91" s="3" t="s">
        <v>148</v>
      </c>
      <c r="E91" s="4" t="s">
        <v>91</v>
      </c>
      <c r="F91" s="3"/>
      <c r="G91" s="3"/>
      <c r="H91" s="3"/>
      <c r="I91" s="3"/>
      <c r="J91" s="3">
        <v>3.736711605E9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7.25" customHeight="1">
      <c r="A92" s="3" t="s">
        <v>149</v>
      </c>
      <c r="B92" s="3" t="s">
        <v>150</v>
      </c>
      <c r="C92" s="3" t="s">
        <v>12</v>
      </c>
      <c r="D92" s="3" t="s">
        <v>151</v>
      </c>
      <c r="E92" s="4" t="s">
        <v>91</v>
      </c>
      <c r="F92" s="3">
        <v>5.152108879E9</v>
      </c>
      <c r="G92" s="3">
        <v>4.4231489E9</v>
      </c>
      <c r="H92" s="3">
        <v>3.758230222E9</v>
      </c>
      <c r="I92" s="3">
        <v>3.498781918E9</v>
      </c>
      <c r="J92" s="3">
        <v>3.098609535E9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7.25" customHeight="1">
      <c r="A93" s="3" t="s">
        <v>149</v>
      </c>
      <c r="B93" s="3" t="s">
        <v>150</v>
      </c>
      <c r="C93" s="3" t="s">
        <v>12</v>
      </c>
      <c r="D93" s="3" t="s">
        <v>152</v>
      </c>
      <c r="E93" s="4" t="s">
        <v>91</v>
      </c>
      <c r="F93" s="3"/>
      <c r="G93" s="3"/>
      <c r="H93" s="3"/>
      <c r="I93" s="3"/>
      <c r="J93" s="3">
        <v>1.84922139E8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7.25" customHeight="1">
      <c r="A94" s="3" t="s">
        <v>153</v>
      </c>
      <c r="B94" s="3" t="s">
        <v>154</v>
      </c>
      <c r="C94" s="3" t="s">
        <v>12</v>
      </c>
      <c r="D94" s="3" t="s">
        <v>155</v>
      </c>
      <c r="E94" s="4" t="s">
        <v>24</v>
      </c>
      <c r="F94" s="3">
        <v>3.38999751E9</v>
      </c>
      <c r="G94" s="3">
        <v>3.03624054E9</v>
      </c>
      <c r="H94" s="3">
        <v>2.491366854E9</v>
      </c>
      <c r="I94" s="3">
        <v>1.918712034E9</v>
      </c>
      <c r="J94" s="3">
        <v>1.792862134E9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7.25" customHeight="1">
      <c r="A95" s="3" t="s">
        <v>153</v>
      </c>
      <c r="B95" s="3" t="s">
        <v>154</v>
      </c>
      <c r="C95" s="3" t="s">
        <v>12</v>
      </c>
      <c r="D95" s="3" t="s">
        <v>156</v>
      </c>
      <c r="E95" s="4" t="s">
        <v>24</v>
      </c>
      <c r="F95" s="3"/>
      <c r="G95" s="3"/>
      <c r="H95" s="3"/>
      <c r="I95" s="3">
        <v>8.2780016E7</v>
      </c>
      <c r="J95" s="3">
        <v>8.49345201E8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7.25" hidden="1" customHeight="1">
      <c r="A96" s="3" t="s">
        <v>153</v>
      </c>
      <c r="B96" s="3" t="s">
        <v>154</v>
      </c>
      <c r="C96" s="3" t="s">
        <v>12</v>
      </c>
      <c r="D96" s="3" t="s">
        <v>157</v>
      </c>
      <c r="E96" s="4"/>
      <c r="F96" s="3">
        <v>9.10308443E8</v>
      </c>
      <c r="G96" s="3">
        <v>1.036291161E9</v>
      </c>
      <c r="H96" s="3">
        <v>7.74058389E8</v>
      </c>
      <c r="I96" s="3">
        <v>4.81938152E8</v>
      </c>
      <c r="J96" s="3">
        <v>3.49584924E8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7.25" hidden="1" customHeight="1">
      <c r="A97" s="3" t="s">
        <v>158</v>
      </c>
      <c r="B97" s="3" t="s">
        <v>159</v>
      </c>
      <c r="C97" s="3" t="s">
        <v>12</v>
      </c>
      <c r="D97" s="3" t="s">
        <v>160</v>
      </c>
      <c r="E97" s="4"/>
      <c r="F97" s="3">
        <v>2.813247811E9</v>
      </c>
      <c r="G97" s="3">
        <v>2.464481039E9</v>
      </c>
      <c r="H97" s="3">
        <v>2.432409784E9</v>
      </c>
      <c r="I97" s="3">
        <v>2.032020533E9</v>
      </c>
      <c r="J97" s="3">
        <v>1.943300977E9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7.25" hidden="1" customHeight="1">
      <c r="A98" s="3" t="s">
        <v>158</v>
      </c>
      <c r="B98" s="3" t="s">
        <v>159</v>
      </c>
      <c r="C98" s="3" t="s">
        <v>12</v>
      </c>
      <c r="D98" s="3" t="s">
        <v>161</v>
      </c>
      <c r="E98" s="4"/>
      <c r="F98" s="3">
        <v>1.439376868E9</v>
      </c>
      <c r="G98" s="3">
        <v>1.041027108E9</v>
      </c>
      <c r="H98" s="3">
        <v>7.95573913E8</v>
      </c>
      <c r="I98" s="3">
        <v>5.7821187E8</v>
      </c>
      <c r="J98" s="3">
        <v>4.91780047E8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7.25" hidden="1" customHeight="1">
      <c r="A99" s="3" t="s">
        <v>162</v>
      </c>
      <c r="B99" s="3" t="s">
        <v>163</v>
      </c>
      <c r="C99" s="3" t="s">
        <v>12</v>
      </c>
      <c r="D99" s="3" t="s">
        <v>164</v>
      </c>
      <c r="E99" s="4"/>
      <c r="F99" s="3">
        <v>8.09588171E8</v>
      </c>
      <c r="G99" s="3">
        <v>1.098545562E9</v>
      </c>
      <c r="H99" s="3">
        <v>1.38788291E9</v>
      </c>
      <c r="I99" s="3">
        <v>1.613269147E9</v>
      </c>
      <c r="J99" s="3">
        <v>2.006873409E9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7.25" hidden="1" customHeight="1">
      <c r="A100" s="3" t="s">
        <v>162</v>
      </c>
      <c r="B100" s="3" t="s">
        <v>163</v>
      </c>
      <c r="C100" s="3" t="s">
        <v>20</v>
      </c>
      <c r="D100" s="3" t="s">
        <v>165</v>
      </c>
      <c r="E100" s="4"/>
      <c r="F100" s="3">
        <v>4.852E7</v>
      </c>
      <c r="G100" s="3">
        <v>9.471E7</v>
      </c>
      <c r="H100" s="3">
        <v>6.797E7</v>
      </c>
      <c r="I100" s="3">
        <v>9.496E7</v>
      </c>
      <c r="J100" s="3">
        <v>1.554E8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7.25" hidden="1" customHeight="1">
      <c r="A101" s="3" t="s">
        <v>162</v>
      </c>
      <c r="B101" s="3" t="s">
        <v>163</v>
      </c>
      <c r="C101" s="3" t="s">
        <v>20</v>
      </c>
      <c r="D101" s="3" t="s">
        <v>166</v>
      </c>
      <c r="E101" s="4"/>
      <c r="F101" s="3">
        <v>5.1396E7</v>
      </c>
      <c r="G101" s="3">
        <v>5.9796E7</v>
      </c>
      <c r="H101" s="3">
        <v>2.9772E7</v>
      </c>
      <c r="I101" s="3">
        <v>3.0532E7</v>
      </c>
      <c r="J101" s="3">
        <v>3.9108E7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7.25" hidden="1" customHeight="1">
      <c r="A102" s="3" t="s">
        <v>167</v>
      </c>
      <c r="B102" s="3" t="s">
        <v>168</v>
      </c>
      <c r="C102" s="3" t="s">
        <v>12</v>
      </c>
      <c r="D102" s="3" t="s">
        <v>169</v>
      </c>
      <c r="E102" s="4"/>
      <c r="F102" s="3">
        <v>2.092812607E9</v>
      </c>
      <c r="G102" s="3">
        <v>2.263133027E9</v>
      </c>
      <c r="H102" s="3">
        <v>2.167014506E9</v>
      </c>
      <c r="I102" s="3">
        <v>1.633291237E9</v>
      </c>
      <c r="J102" s="3">
        <v>1.540101669E9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7.25" hidden="1" customHeight="1">
      <c r="A103" s="3" t="s">
        <v>167</v>
      </c>
      <c r="B103" s="3" t="s">
        <v>168</v>
      </c>
      <c r="C103" s="3" t="s">
        <v>12</v>
      </c>
      <c r="D103" s="3" t="s">
        <v>170</v>
      </c>
      <c r="E103" s="4"/>
      <c r="F103" s="3">
        <v>2.83199299E8</v>
      </c>
      <c r="G103" s="3">
        <v>3.4733979E8</v>
      </c>
      <c r="H103" s="3">
        <v>4.92143489E8</v>
      </c>
      <c r="I103" s="3">
        <v>3.67383531E8</v>
      </c>
      <c r="J103" s="3">
        <v>2.93181805E8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7.25" hidden="1" customHeight="1">
      <c r="A104" s="3" t="s">
        <v>167</v>
      </c>
      <c r="B104" s="3" t="s">
        <v>168</v>
      </c>
      <c r="C104" s="3" t="s">
        <v>12</v>
      </c>
      <c r="D104" s="3" t="s">
        <v>171</v>
      </c>
      <c r="E104" s="4"/>
      <c r="F104" s="3">
        <v>8.4028815E7</v>
      </c>
      <c r="G104" s="3">
        <v>9.955545E7</v>
      </c>
      <c r="H104" s="3">
        <v>2.30851295E8</v>
      </c>
      <c r="I104" s="3">
        <v>2.4939889E8</v>
      </c>
      <c r="J104" s="3">
        <v>1.7096865E8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7.25" hidden="1" customHeight="1">
      <c r="A105" s="3" t="s">
        <v>167</v>
      </c>
      <c r="B105" s="3" t="s">
        <v>168</v>
      </c>
      <c r="C105" s="3" t="s">
        <v>12</v>
      </c>
      <c r="D105" s="3" t="s">
        <v>172</v>
      </c>
      <c r="E105" s="4"/>
      <c r="F105" s="3">
        <v>1.5745882E8</v>
      </c>
      <c r="G105" s="3">
        <v>1.43242858E8</v>
      </c>
      <c r="H105" s="3">
        <v>1.68422336E8</v>
      </c>
      <c r="I105" s="3">
        <v>1.51406074E8</v>
      </c>
      <c r="J105" s="3">
        <v>1.4675621E8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7.25" hidden="1" customHeight="1">
      <c r="A106" s="3" t="s">
        <v>167</v>
      </c>
      <c r="B106" s="3" t="s">
        <v>168</v>
      </c>
      <c r="C106" s="3" t="s">
        <v>12</v>
      </c>
      <c r="D106" s="3" t="s">
        <v>173</v>
      </c>
      <c r="E106" s="4"/>
      <c r="F106" s="3"/>
      <c r="G106" s="3"/>
      <c r="H106" s="3"/>
      <c r="I106" s="3"/>
      <c r="J106" s="3">
        <v>2.8658305E7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7.25" hidden="1" customHeight="1">
      <c r="A107" s="3" t="s">
        <v>167</v>
      </c>
      <c r="B107" s="3" t="s">
        <v>168</v>
      </c>
      <c r="C107" s="3" t="s">
        <v>12</v>
      </c>
      <c r="D107" s="3" t="s">
        <v>174</v>
      </c>
      <c r="E107" s="4"/>
      <c r="F107" s="3">
        <v>4.7034708E7</v>
      </c>
      <c r="G107" s="3">
        <v>4.80725E7</v>
      </c>
      <c r="H107" s="3">
        <v>1.48092E7</v>
      </c>
      <c r="I107" s="3">
        <v>2.4218208E7</v>
      </c>
      <c r="J107" s="3">
        <v>1.9363316E7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7.25" hidden="1" customHeight="1">
      <c r="A108" s="3" t="s">
        <v>167</v>
      </c>
      <c r="B108" s="3" t="s">
        <v>168</v>
      </c>
      <c r="C108" s="3" t="s">
        <v>20</v>
      </c>
      <c r="D108" s="3" t="s">
        <v>170</v>
      </c>
      <c r="E108" s="4"/>
      <c r="F108" s="3"/>
      <c r="G108" s="3"/>
      <c r="H108" s="3"/>
      <c r="I108" s="3">
        <v>132986.0</v>
      </c>
      <c r="J108" s="3">
        <v>139748.0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7.25" hidden="1" customHeight="1">
      <c r="A109" s="3" t="s">
        <v>175</v>
      </c>
      <c r="B109" s="3" t="s">
        <v>176</v>
      </c>
      <c r="C109" s="3" t="s">
        <v>20</v>
      </c>
      <c r="D109" s="3" t="s">
        <v>177</v>
      </c>
      <c r="E109" s="4"/>
      <c r="F109" s="3"/>
      <c r="G109" s="3">
        <v>5.8533706E7</v>
      </c>
      <c r="H109" s="3">
        <v>3.59580368E8</v>
      </c>
      <c r="I109" s="3">
        <v>4.99081118E8</v>
      </c>
      <c r="J109" s="3">
        <v>2.1372184E9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7.25" hidden="1" customHeight="1">
      <c r="A110" s="3" t="s">
        <v>178</v>
      </c>
      <c r="B110" s="3" t="s">
        <v>179</v>
      </c>
      <c r="C110" s="3" t="s">
        <v>12</v>
      </c>
      <c r="D110" s="3" t="s">
        <v>180</v>
      </c>
      <c r="E110" s="4"/>
      <c r="F110" s="3">
        <v>1.239654383E9</v>
      </c>
      <c r="G110" s="3">
        <v>1.299292179E9</v>
      </c>
      <c r="H110" s="3">
        <v>1.172638413E9</v>
      </c>
      <c r="I110" s="3">
        <v>1.144853444E9</v>
      </c>
      <c r="J110" s="3">
        <v>1.080267105E9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7.25" hidden="1" customHeight="1">
      <c r="A111" s="3" t="s">
        <v>178</v>
      </c>
      <c r="B111" s="3" t="s">
        <v>179</v>
      </c>
      <c r="C111" s="3" t="s">
        <v>12</v>
      </c>
      <c r="D111" s="3" t="s">
        <v>181</v>
      </c>
      <c r="E111" s="4"/>
      <c r="F111" s="3">
        <v>1.069747569E9</v>
      </c>
      <c r="G111" s="3">
        <v>9.29473629E8</v>
      </c>
      <c r="H111" s="3">
        <v>8.25750937E8</v>
      </c>
      <c r="I111" s="3">
        <v>7.44939011E8</v>
      </c>
      <c r="J111" s="3">
        <v>7.42012859E8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7.25" hidden="1" customHeight="1">
      <c r="A112" s="3" t="s">
        <v>182</v>
      </c>
      <c r="B112" s="3" t="s">
        <v>183</v>
      </c>
      <c r="C112" s="3" t="s">
        <v>20</v>
      </c>
      <c r="D112" s="3" t="s">
        <v>184</v>
      </c>
      <c r="E112" s="4"/>
      <c r="F112" s="3">
        <v>9.99E7</v>
      </c>
      <c r="G112" s="3">
        <v>3.897E8</v>
      </c>
      <c r="H112" s="3">
        <v>1.218195E9</v>
      </c>
      <c r="I112" s="3">
        <v>1.431375E9</v>
      </c>
      <c r="J112" s="3">
        <v>1.434555E9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7.25" hidden="1" customHeight="1">
      <c r="A113" s="3" t="s">
        <v>182</v>
      </c>
      <c r="B113" s="3" t="s">
        <v>183</v>
      </c>
      <c r="C113" s="3" t="s">
        <v>20</v>
      </c>
      <c r="D113" s="3" t="s">
        <v>185</v>
      </c>
      <c r="E113" s="4"/>
      <c r="F113" s="3">
        <v>6.46259038E8</v>
      </c>
      <c r="G113" s="3">
        <v>5.03941249E8</v>
      </c>
      <c r="H113" s="3">
        <v>4.84827128E8</v>
      </c>
      <c r="I113" s="3">
        <v>3.64030979E8</v>
      </c>
      <c r="J113" s="3">
        <v>3.20506278E8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7.25" customHeight="1">
      <c r="A114" s="3" t="s">
        <v>186</v>
      </c>
      <c r="B114" s="3" t="s">
        <v>187</v>
      </c>
      <c r="C114" s="3" t="s">
        <v>12</v>
      </c>
      <c r="D114" s="3" t="s">
        <v>188</v>
      </c>
      <c r="E114" s="4" t="s">
        <v>24</v>
      </c>
      <c r="F114" s="3">
        <v>5.092271889E9</v>
      </c>
      <c r="G114" s="3">
        <v>4.009016622E9</v>
      </c>
      <c r="H114" s="3">
        <v>2.978534349E9</v>
      </c>
      <c r="I114" s="3">
        <v>1.993357953E9</v>
      </c>
      <c r="J114" s="3">
        <v>1.627247823E9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7.25" hidden="1" customHeight="1">
      <c r="A115" s="3" t="s">
        <v>189</v>
      </c>
      <c r="B115" s="3" t="s">
        <v>190</v>
      </c>
      <c r="C115" s="3" t="s">
        <v>12</v>
      </c>
      <c r="D115" s="3" t="s">
        <v>191</v>
      </c>
      <c r="E115" s="4"/>
      <c r="F115" s="3">
        <v>9.1144606E8</v>
      </c>
      <c r="G115" s="3">
        <v>1.028741E9</v>
      </c>
      <c r="H115" s="3">
        <v>1.3037276E9</v>
      </c>
      <c r="I115" s="3">
        <v>1.51630348E9</v>
      </c>
      <c r="J115" s="3">
        <v>1.61777118E9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7.25" customHeight="1">
      <c r="A116" s="3" t="s">
        <v>192</v>
      </c>
      <c r="B116" s="3" t="s">
        <v>193</v>
      </c>
      <c r="C116" s="3" t="s">
        <v>12</v>
      </c>
      <c r="D116" s="3" t="s">
        <v>194</v>
      </c>
      <c r="E116" s="4" t="s">
        <v>24</v>
      </c>
      <c r="F116" s="3">
        <v>201280.0</v>
      </c>
      <c r="G116" s="3">
        <v>1.87345519E8</v>
      </c>
      <c r="H116" s="3">
        <v>1.252269641E9</v>
      </c>
      <c r="I116" s="3">
        <v>1.657257728E9</v>
      </c>
      <c r="J116" s="3">
        <v>1.602104901E9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7.25" hidden="1" customHeight="1">
      <c r="A117" s="3" t="s">
        <v>195</v>
      </c>
      <c r="B117" s="3" t="s">
        <v>196</v>
      </c>
      <c r="C117" s="3" t="s">
        <v>12</v>
      </c>
      <c r="D117" s="3" t="s">
        <v>197</v>
      </c>
      <c r="E117" s="4"/>
      <c r="F117" s="3">
        <v>2.37004286E8</v>
      </c>
      <c r="G117" s="3">
        <v>3.47339537E8</v>
      </c>
      <c r="H117" s="3">
        <v>3.55143022E8</v>
      </c>
      <c r="I117" s="3">
        <v>3.25787309E8</v>
      </c>
      <c r="J117" s="3">
        <v>2.72394643E8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7.25" hidden="1" customHeight="1">
      <c r="A118" s="3" t="s">
        <v>195</v>
      </c>
      <c r="B118" s="3" t="s">
        <v>196</v>
      </c>
      <c r="C118" s="3" t="s">
        <v>20</v>
      </c>
      <c r="D118" s="3" t="s">
        <v>198</v>
      </c>
      <c r="E118" s="4"/>
      <c r="F118" s="3">
        <v>1.6739654E8</v>
      </c>
      <c r="G118" s="3">
        <v>2.6322831E8</v>
      </c>
      <c r="H118" s="3">
        <v>2.44701428E8</v>
      </c>
      <c r="I118" s="3">
        <v>3.72965464E8</v>
      </c>
      <c r="J118" s="3">
        <v>4.76008924E8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7.25" hidden="1" customHeight="1">
      <c r="A119" s="3" t="s">
        <v>195</v>
      </c>
      <c r="B119" s="3" t="s">
        <v>196</v>
      </c>
      <c r="C119" s="3" t="s">
        <v>20</v>
      </c>
      <c r="D119" s="3" t="s">
        <v>199</v>
      </c>
      <c r="E119" s="4"/>
      <c r="F119" s="3">
        <v>2.10672207E8</v>
      </c>
      <c r="G119" s="3">
        <v>1.86771486E8</v>
      </c>
      <c r="H119" s="3">
        <v>2.64920752E8</v>
      </c>
      <c r="I119" s="3">
        <v>3.7376874E8</v>
      </c>
      <c r="J119" s="3">
        <v>4.2275058E8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7.25" hidden="1" customHeight="1">
      <c r="A120" s="3" t="s">
        <v>195</v>
      </c>
      <c r="B120" s="3" t="s">
        <v>196</v>
      </c>
      <c r="C120" s="3" t="s">
        <v>20</v>
      </c>
      <c r="D120" s="3" t="s">
        <v>200</v>
      </c>
      <c r="E120" s="4"/>
      <c r="F120" s="3">
        <v>1.61761568E8</v>
      </c>
      <c r="G120" s="3">
        <v>3.44159594E8</v>
      </c>
      <c r="H120" s="3">
        <v>2.45643764E8</v>
      </c>
      <c r="I120" s="3">
        <v>3.64144152E8</v>
      </c>
      <c r="J120" s="3">
        <v>2.44078112E8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7.25" hidden="1" customHeight="1">
      <c r="A121" s="3" t="s">
        <v>195</v>
      </c>
      <c r="B121" s="3" t="s">
        <v>196</v>
      </c>
      <c r="C121" s="3" t="s">
        <v>20</v>
      </c>
      <c r="D121" s="3" t="s">
        <v>201</v>
      </c>
      <c r="E121" s="4"/>
      <c r="F121" s="3">
        <v>1.9547576E7</v>
      </c>
      <c r="G121" s="3">
        <v>8.769074E7</v>
      </c>
      <c r="H121" s="3">
        <v>8.4527563E7</v>
      </c>
      <c r="I121" s="3">
        <v>7.8913728E7</v>
      </c>
      <c r="J121" s="3">
        <v>8.067116E7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7.25" hidden="1" customHeight="1">
      <c r="A122" s="3" t="s">
        <v>202</v>
      </c>
      <c r="B122" s="3" t="s">
        <v>203</v>
      </c>
      <c r="C122" s="3" t="s">
        <v>12</v>
      </c>
      <c r="D122" s="3" t="s">
        <v>204</v>
      </c>
      <c r="E122" s="4"/>
      <c r="F122" s="3">
        <v>7.47039735E8</v>
      </c>
      <c r="G122" s="3">
        <v>7.00516278E8</v>
      </c>
      <c r="H122" s="3">
        <v>5.93408094E8</v>
      </c>
      <c r="I122" s="3">
        <v>5.36733396E8</v>
      </c>
      <c r="J122" s="3">
        <v>7.57255824E8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7.25" hidden="1" customHeight="1">
      <c r="A123" s="3" t="s">
        <v>202</v>
      </c>
      <c r="B123" s="3" t="s">
        <v>203</v>
      </c>
      <c r="C123" s="3" t="s">
        <v>12</v>
      </c>
      <c r="D123" s="3" t="s">
        <v>205</v>
      </c>
      <c r="E123" s="4"/>
      <c r="F123" s="3">
        <v>5.57096105E8</v>
      </c>
      <c r="G123" s="3">
        <v>5.51755443E8</v>
      </c>
      <c r="H123" s="3">
        <v>5.01264386E8</v>
      </c>
      <c r="I123" s="3">
        <v>4.80663872E8</v>
      </c>
      <c r="J123" s="3">
        <v>4.98305432E8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7.25" hidden="1" customHeight="1">
      <c r="A124" s="3" t="s">
        <v>202</v>
      </c>
      <c r="B124" s="3" t="s">
        <v>203</v>
      </c>
      <c r="C124" s="3" t="s">
        <v>12</v>
      </c>
      <c r="D124" s="3" t="s">
        <v>206</v>
      </c>
      <c r="E124" s="4"/>
      <c r="F124" s="3">
        <v>1.31692404E8</v>
      </c>
      <c r="G124" s="3">
        <v>1.66754883E8</v>
      </c>
      <c r="H124" s="3">
        <v>1.71639292E8</v>
      </c>
      <c r="I124" s="3">
        <v>1.74566893E8</v>
      </c>
      <c r="J124" s="3">
        <v>2.03687669E8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7.25" hidden="1" customHeight="1">
      <c r="A125" s="3" t="s">
        <v>207</v>
      </c>
      <c r="B125" s="3" t="s">
        <v>208</v>
      </c>
      <c r="C125" s="3" t="s">
        <v>12</v>
      </c>
      <c r="D125" s="3" t="s">
        <v>209</v>
      </c>
      <c r="E125" s="4"/>
      <c r="F125" s="3">
        <v>3.58808724E8</v>
      </c>
      <c r="G125" s="3">
        <v>3.98970432E8</v>
      </c>
      <c r="H125" s="3">
        <v>4.23069744E8</v>
      </c>
      <c r="I125" s="3">
        <v>3.4554198E8</v>
      </c>
      <c r="J125" s="3">
        <v>4.55095524E8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7.25" hidden="1" customHeight="1">
      <c r="A126" s="3" t="s">
        <v>207</v>
      </c>
      <c r="B126" s="3" t="s">
        <v>208</v>
      </c>
      <c r="C126" s="3" t="s">
        <v>12</v>
      </c>
      <c r="D126" s="3" t="s">
        <v>210</v>
      </c>
      <c r="E126" s="4"/>
      <c r="F126" s="3">
        <v>3.62467488E8</v>
      </c>
      <c r="G126" s="3">
        <v>3.50852304E8</v>
      </c>
      <c r="H126" s="3">
        <v>3.34167E8</v>
      </c>
      <c r="I126" s="3">
        <v>2.80731008E8</v>
      </c>
      <c r="J126" s="3">
        <v>2.78119128E8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7.25" hidden="1" customHeight="1">
      <c r="A127" s="3" t="s">
        <v>207</v>
      </c>
      <c r="B127" s="3" t="s">
        <v>208</v>
      </c>
      <c r="C127" s="3" t="s">
        <v>12</v>
      </c>
      <c r="D127" s="3" t="s">
        <v>211</v>
      </c>
      <c r="E127" s="4"/>
      <c r="F127" s="3">
        <v>6.392537E7</v>
      </c>
      <c r="G127" s="3">
        <v>5.1184315E7</v>
      </c>
      <c r="H127" s="3">
        <v>4.959474E7</v>
      </c>
      <c r="I127" s="3">
        <v>7.639742E7</v>
      </c>
      <c r="J127" s="3">
        <v>1.0095024E8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7.25" hidden="1" customHeight="1">
      <c r="A128" s="3" t="s">
        <v>207</v>
      </c>
      <c r="B128" s="3" t="s">
        <v>208</v>
      </c>
      <c r="C128" s="3" t="s">
        <v>12</v>
      </c>
      <c r="D128" s="3" t="s">
        <v>212</v>
      </c>
      <c r="E128" s="4"/>
      <c r="F128" s="3">
        <v>1.6258374E8</v>
      </c>
      <c r="G128" s="3">
        <v>1.7132832E8</v>
      </c>
      <c r="H128" s="3">
        <v>2.06575783E8</v>
      </c>
      <c r="I128" s="3">
        <v>2.4804068E7</v>
      </c>
      <c r="J128" s="3">
        <v>7941776.0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7.25" hidden="1" customHeight="1">
      <c r="A129" s="3" t="s">
        <v>207</v>
      </c>
      <c r="B129" s="3" t="s">
        <v>208</v>
      </c>
      <c r="C129" s="3" t="s">
        <v>20</v>
      </c>
      <c r="D129" s="3" t="s">
        <v>213</v>
      </c>
      <c r="E129" s="4"/>
      <c r="F129" s="3">
        <v>2.8721E8</v>
      </c>
      <c r="G129" s="3">
        <v>4.564E7</v>
      </c>
      <c r="H129" s="3">
        <v>2.73937E8</v>
      </c>
      <c r="I129" s="3">
        <v>7.43088E8</v>
      </c>
      <c r="J129" s="3">
        <v>6.04096E8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7.25" hidden="1" customHeight="1">
      <c r="A130" s="3" t="s">
        <v>207</v>
      </c>
      <c r="B130" s="3" t="s">
        <v>208</v>
      </c>
      <c r="C130" s="3" t="s">
        <v>20</v>
      </c>
      <c r="D130" s="3" t="s">
        <v>214</v>
      </c>
      <c r="E130" s="4"/>
      <c r="F130" s="3">
        <v>4.65E7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7.25" hidden="1" customHeight="1">
      <c r="A131" s="3" t="s">
        <v>207</v>
      </c>
      <c r="B131" s="3" t="s">
        <v>208</v>
      </c>
      <c r="C131" s="3" t="s">
        <v>20</v>
      </c>
      <c r="D131" s="3" t="s">
        <v>215</v>
      </c>
      <c r="E131" s="4"/>
      <c r="F131" s="3">
        <v>2.452255E7</v>
      </c>
      <c r="G131" s="3">
        <v>2.8386995E7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7.25" hidden="1" customHeight="1">
      <c r="A132" s="3" t="s">
        <v>216</v>
      </c>
      <c r="B132" s="3" t="s">
        <v>217</v>
      </c>
      <c r="C132" s="3" t="s">
        <v>20</v>
      </c>
      <c r="D132" s="3" t="s">
        <v>218</v>
      </c>
      <c r="E132" s="4"/>
      <c r="F132" s="3">
        <v>1.0905888E9</v>
      </c>
      <c r="G132" s="3">
        <v>1.5757452E9</v>
      </c>
      <c r="H132" s="3">
        <v>1.37409E9</v>
      </c>
      <c r="I132" s="3">
        <v>1.58316E9</v>
      </c>
      <c r="J132" s="3">
        <v>1.2500676E9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7.25" hidden="1" customHeight="1">
      <c r="A133" s="3" t="s">
        <v>219</v>
      </c>
      <c r="B133" s="3" t="s">
        <v>220</v>
      </c>
      <c r="C133" s="3" t="s">
        <v>12</v>
      </c>
      <c r="D133" s="3" t="s">
        <v>221</v>
      </c>
      <c r="E133" s="4"/>
      <c r="F133" s="3">
        <v>1.093309084E9</v>
      </c>
      <c r="G133" s="3">
        <v>1.15695589E9</v>
      </c>
      <c r="H133" s="3">
        <v>1.174804732E9</v>
      </c>
      <c r="I133" s="3">
        <v>1.704841027E9</v>
      </c>
      <c r="J133" s="3">
        <v>1.217643319E9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7.25" hidden="1" customHeight="1">
      <c r="A134" s="3" t="s">
        <v>222</v>
      </c>
      <c r="B134" s="3" t="s">
        <v>223</v>
      </c>
      <c r="C134" s="3" t="s">
        <v>12</v>
      </c>
      <c r="D134" s="3" t="s">
        <v>224</v>
      </c>
      <c r="E134" s="4"/>
      <c r="F134" s="3">
        <v>1.841453873E9</v>
      </c>
      <c r="G134" s="3">
        <v>1.256520483E9</v>
      </c>
      <c r="H134" s="3">
        <v>1.158737436E9</v>
      </c>
      <c r="I134" s="3">
        <v>7.63990717E8</v>
      </c>
      <c r="J134" s="3">
        <v>1.117171462E9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7.25" hidden="1" customHeight="1">
      <c r="A135" s="3" t="s">
        <v>225</v>
      </c>
      <c r="B135" s="3" t="s">
        <v>226</v>
      </c>
      <c r="C135" s="3" t="s">
        <v>12</v>
      </c>
      <c r="D135" s="3" t="s">
        <v>227</v>
      </c>
      <c r="E135" s="4"/>
      <c r="F135" s="3">
        <v>2.686712393E9</v>
      </c>
      <c r="G135" s="3">
        <v>2.57180623E9</v>
      </c>
      <c r="H135" s="3">
        <v>2.610987754E9</v>
      </c>
      <c r="I135" s="3">
        <v>2.146962071E9</v>
      </c>
      <c r="J135" s="3">
        <v>1.072783631E9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7.25" hidden="1" customHeight="1">
      <c r="A136" s="3" t="s">
        <v>228</v>
      </c>
      <c r="B136" s="3" t="s">
        <v>229</v>
      </c>
      <c r="C136" s="3" t="s">
        <v>12</v>
      </c>
      <c r="D136" s="3" t="s">
        <v>87</v>
      </c>
      <c r="E136" s="4"/>
      <c r="F136" s="3">
        <v>1.022161247E9</v>
      </c>
      <c r="G136" s="3">
        <v>1.05123225E9</v>
      </c>
      <c r="H136" s="3">
        <v>1.070029542E9</v>
      </c>
      <c r="I136" s="3">
        <v>9.679898E8</v>
      </c>
      <c r="J136" s="3">
        <v>1.071983289E9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7.25" hidden="1" customHeight="1">
      <c r="A137" s="3" t="s">
        <v>228</v>
      </c>
      <c r="B137" s="3" t="s">
        <v>229</v>
      </c>
      <c r="C137" s="3" t="s">
        <v>20</v>
      </c>
      <c r="D137" s="3" t="s">
        <v>87</v>
      </c>
      <c r="E137" s="4"/>
      <c r="F137" s="3">
        <v>3308058.0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7.25" hidden="1" customHeight="1">
      <c r="A138" s="3" t="s">
        <v>230</v>
      </c>
      <c r="B138" s="3" t="s">
        <v>231</v>
      </c>
      <c r="C138" s="3" t="s">
        <v>20</v>
      </c>
      <c r="D138" s="3" t="s">
        <v>232</v>
      </c>
      <c r="E138" s="4"/>
      <c r="F138" s="3">
        <v>2.0317E8</v>
      </c>
      <c r="G138" s="3">
        <v>2.712025E8</v>
      </c>
      <c r="H138" s="3">
        <v>2.892075E8</v>
      </c>
      <c r="I138" s="3">
        <v>3.59080532E8</v>
      </c>
      <c r="J138" s="3">
        <v>3.6067582E8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7.25" hidden="1" customHeight="1">
      <c r="A139" s="3" t="s">
        <v>230</v>
      </c>
      <c r="B139" s="3" t="s">
        <v>231</v>
      </c>
      <c r="C139" s="3" t="s">
        <v>20</v>
      </c>
      <c r="D139" s="3" t="s">
        <v>233</v>
      </c>
      <c r="E139" s="4"/>
      <c r="F139" s="3">
        <v>9.4998898E7</v>
      </c>
      <c r="G139" s="3">
        <v>4.5023464E7</v>
      </c>
      <c r="H139" s="3">
        <v>1.32512935E8</v>
      </c>
      <c r="I139" s="3">
        <v>2.48530652E8</v>
      </c>
      <c r="J139" s="3">
        <v>2.391526E8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7.25" hidden="1" customHeight="1">
      <c r="A140" s="3" t="s">
        <v>230</v>
      </c>
      <c r="B140" s="3" t="s">
        <v>231</v>
      </c>
      <c r="C140" s="3" t="s">
        <v>20</v>
      </c>
      <c r="D140" s="3" t="s">
        <v>234</v>
      </c>
      <c r="E140" s="4"/>
      <c r="F140" s="3">
        <v>1.55583114E8</v>
      </c>
      <c r="G140" s="3">
        <v>2.30142772E8</v>
      </c>
      <c r="H140" s="3">
        <v>2.67235984E8</v>
      </c>
      <c r="I140" s="3">
        <v>1.78732004E8</v>
      </c>
      <c r="J140" s="3">
        <v>1.403503E8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7.25" hidden="1" customHeight="1">
      <c r="A141" s="3" t="s">
        <v>230</v>
      </c>
      <c r="B141" s="3" t="s">
        <v>231</v>
      </c>
      <c r="C141" s="3" t="s">
        <v>20</v>
      </c>
      <c r="D141" s="3" t="s">
        <v>235</v>
      </c>
      <c r="E141" s="4"/>
      <c r="F141" s="3">
        <v>1.37368E8</v>
      </c>
      <c r="G141" s="3">
        <v>2.25710753E8</v>
      </c>
      <c r="H141" s="3">
        <v>1.26783684E8</v>
      </c>
      <c r="I141" s="3">
        <v>1.21384224E8</v>
      </c>
      <c r="J141" s="3">
        <v>8.1115524E7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7.25" hidden="1" customHeight="1">
      <c r="A142" s="3" t="s">
        <v>230</v>
      </c>
      <c r="B142" s="3" t="s">
        <v>231</v>
      </c>
      <c r="C142" s="3" t="s">
        <v>20</v>
      </c>
      <c r="D142" s="3" t="s">
        <v>236</v>
      </c>
      <c r="E142" s="4"/>
      <c r="F142" s="3">
        <v>1.04363712E8</v>
      </c>
      <c r="G142" s="3">
        <v>7.0187672E7</v>
      </c>
      <c r="H142" s="3">
        <v>6.9822844E7</v>
      </c>
      <c r="I142" s="3">
        <v>7.0153316E7</v>
      </c>
      <c r="J142" s="3">
        <v>6.8566396E7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7.25" hidden="1" customHeight="1">
      <c r="A143" s="3" t="s">
        <v>230</v>
      </c>
      <c r="B143" s="3" t="s">
        <v>231</v>
      </c>
      <c r="C143" s="3" t="s">
        <v>20</v>
      </c>
      <c r="D143" s="3" t="s">
        <v>237</v>
      </c>
      <c r="E143" s="4"/>
      <c r="F143" s="3">
        <v>3.7266954E7</v>
      </c>
      <c r="G143" s="3">
        <v>5.601976E7</v>
      </c>
      <c r="H143" s="3">
        <v>5.1687188E7</v>
      </c>
      <c r="I143" s="3">
        <v>7.673616E7</v>
      </c>
      <c r="J143" s="3">
        <v>6.3407424E7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7.25" hidden="1" customHeight="1">
      <c r="A144" s="3" t="s">
        <v>230</v>
      </c>
      <c r="B144" s="3" t="s">
        <v>231</v>
      </c>
      <c r="C144" s="3" t="s">
        <v>20</v>
      </c>
      <c r="D144" s="3" t="s">
        <v>238</v>
      </c>
      <c r="E144" s="4"/>
      <c r="F144" s="3">
        <v>1.63332226E8</v>
      </c>
      <c r="G144" s="3">
        <v>5.3772804E7</v>
      </c>
      <c r="H144" s="3"/>
      <c r="I144" s="3">
        <v>3.7970748E7</v>
      </c>
      <c r="J144" s="3">
        <v>4.742955E7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7.25" hidden="1" customHeight="1">
      <c r="A145" s="3" t="s">
        <v>230</v>
      </c>
      <c r="B145" s="3" t="s">
        <v>231</v>
      </c>
      <c r="C145" s="3" t="s">
        <v>20</v>
      </c>
      <c r="D145" s="3" t="s">
        <v>239</v>
      </c>
      <c r="E145" s="4"/>
      <c r="F145" s="3">
        <v>1.56229137E8</v>
      </c>
      <c r="G145" s="3">
        <v>1.29345078E8</v>
      </c>
      <c r="H145" s="3">
        <v>1.39870696E8</v>
      </c>
      <c r="I145" s="3">
        <v>5.6007E7</v>
      </c>
      <c r="J145" s="3">
        <v>1.87586E7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7.25" hidden="1" customHeight="1">
      <c r="A146" s="3" t="s">
        <v>230</v>
      </c>
      <c r="B146" s="3" t="s">
        <v>231</v>
      </c>
      <c r="C146" s="3" t="s">
        <v>20</v>
      </c>
      <c r="D146" s="3" t="s">
        <v>240</v>
      </c>
      <c r="E146" s="4"/>
      <c r="F146" s="3">
        <v>2.4955E7</v>
      </c>
      <c r="G146" s="3">
        <v>1.87175E7</v>
      </c>
      <c r="H146" s="3">
        <v>1.618375E7</v>
      </c>
      <c r="I146" s="3">
        <v>2.4833766E7</v>
      </c>
      <c r="J146" s="3">
        <v>1.1509952E7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7.25" hidden="1" customHeight="1">
      <c r="A147" s="3" t="s">
        <v>230</v>
      </c>
      <c r="B147" s="3" t="s">
        <v>231</v>
      </c>
      <c r="C147" s="3" t="s">
        <v>20</v>
      </c>
      <c r="D147" s="3" t="s">
        <v>241</v>
      </c>
      <c r="E147" s="4"/>
      <c r="F147" s="3">
        <v>4718164.0</v>
      </c>
      <c r="G147" s="3">
        <v>1.0838652E7</v>
      </c>
      <c r="H147" s="3">
        <v>2.5535422E7</v>
      </c>
      <c r="I147" s="3">
        <v>2.9739202E7</v>
      </c>
      <c r="J147" s="3">
        <v>6516000.0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7.25" hidden="1" customHeight="1">
      <c r="A148" s="3" t="s">
        <v>230</v>
      </c>
      <c r="B148" s="3" t="s">
        <v>231</v>
      </c>
      <c r="C148" s="3" t="s">
        <v>20</v>
      </c>
      <c r="D148" s="3" t="s">
        <v>242</v>
      </c>
      <c r="E148" s="4"/>
      <c r="F148" s="3">
        <v>1.84872E8</v>
      </c>
      <c r="G148" s="3">
        <v>1.2716E8</v>
      </c>
      <c r="H148" s="3">
        <v>1.64428E8</v>
      </c>
      <c r="I148" s="3">
        <v>2.6432E7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7.25" hidden="1" customHeight="1">
      <c r="A149" s="3" t="s">
        <v>243</v>
      </c>
      <c r="B149" s="3" t="s">
        <v>244</v>
      </c>
      <c r="C149" s="3" t="s">
        <v>12</v>
      </c>
      <c r="D149" s="3" t="s">
        <v>245</v>
      </c>
      <c r="E149" s="4"/>
      <c r="F149" s="3">
        <v>7.5590685E7</v>
      </c>
      <c r="G149" s="3">
        <v>9.3841804E7</v>
      </c>
      <c r="H149" s="3">
        <v>6.8413851E7</v>
      </c>
      <c r="I149" s="3">
        <v>7.2089991E7</v>
      </c>
      <c r="J149" s="3">
        <v>9.0793575E7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7.25" hidden="1" customHeight="1">
      <c r="A150" s="3" t="s">
        <v>243</v>
      </c>
      <c r="B150" s="3" t="s">
        <v>244</v>
      </c>
      <c r="C150" s="3" t="s">
        <v>20</v>
      </c>
      <c r="D150" s="3" t="s">
        <v>246</v>
      </c>
      <c r="E150" s="4"/>
      <c r="F150" s="3">
        <v>6.20271811E8</v>
      </c>
      <c r="G150" s="3">
        <v>7.83506476E8</v>
      </c>
      <c r="H150" s="3">
        <v>7.36853808E8</v>
      </c>
      <c r="I150" s="3">
        <v>8.10345436E8</v>
      </c>
      <c r="J150" s="3">
        <v>9.32952616E8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7.25" hidden="1" customHeight="1">
      <c r="A151" s="3" t="s">
        <v>247</v>
      </c>
      <c r="B151" s="3" t="s">
        <v>248</v>
      </c>
      <c r="C151" s="3" t="s">
        <v>12</v>
      </c>
      <c r="D151" s="3" t="s">
        <v>249</v>
      </c>
      <c r="E151" s="4"/>
      <c r="F151" s="3">
        <v>1.158174279E9</v>
      </c>
      <c r="G151" s="3">
        <v>1.532974016E9</v>
      </c>
      <c r="H151" s="3">
        <v>1.568838096E9</v>
      </c>
      <c r="I151" s="3">
        <v>1.208116778E9</v>
      </c>
      <c r="J151" s="3">
        <v>9.66954263E8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7.25" hidden="1" customHeight="1">
      <c r="A152" s="3" t="s">
        <v>247</v>
      </c>
      <c r="B152" s="3" t="s">
        <v>248</v>
      </c>
      <c r="C152" s="3" t="s">
        <v>20</v>
      </c>
      <c r="D152" s="3" t="s">
        <v>250</v>
      </c>
      <c r="E152" s="4"/>
      <c r="F152" s="3">
        <v>2.516E7</v>
      </c>
      <c r="G152" s="3">
        <v>8384000.0</v>
      </c>
      <c r="H152" s="3">
        <v>1.0072E7</v>
      </c>
      <c r="I152" s="3">
        <v>3.6E7</v>
      </c>
      <c r="J152" s="3">
        <v>5.0544E7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7.25" hidden="1" customHeight="1">
      <c r="A153" s="3" t="s">
        <v>247</v>
      </c>
      <c r="B153" s="3" t="s">
        <v>248</v>
      </c>
      <c r="C153" s="3" t="s">
        <v>20</v>
      </c>
      <c r="D153" s="3" t="s">
        <v>249</v>
      </c>
      <c r="E153" s="4"/>
      <c r="F153" s="3">
        <v>3.6648284E7</v>
      </c>
      <c r="G153" s="3">
        <v>4.9415242E7</v>
      </c>
      <c r="H153" s="3">
        <v>2.568517E7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7.25" hidden="1" customHeight="1">
      <c r="A154" s="3" t="s">
        <v>251</v>
      </c>
      <c r="B154" s="3" t="s">
        <v>252</v>
      </c>
      <c r="C154" s="3" t="s">
        <v>20</v>
      </c>
      <c r="D154" s="3" t="s">
        <v>253</v>
      </c>
      <c r="E154" s="4"/>
      <c r="F154" s="3">
        <v>3.03467105E8</v>
      </c>
      <c r="G154" s="3">
        <v>7.24477459E8</v>
      </c>
      <c r="H154" s="3">
        <v>3.89968681E8</v>
      </c>
      <c r="I154" s="3">
        <v>3.7922327E8</v>
      </c>
      <c r="J154" s="3">
        <v>3.40574169E8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7.25" hidden="1" customHeight="1">
      <c r="A155" s="3" t="s">
        <v>251</v>
      </c>
      <c r="B155" s="3" t="s">
        <v>252</v>
      </c>
      <c r="C155" s="3" t="s">
        <v>20</v>
      </c>
      <c r="D155" s="3" t="s">
        <v>254</v>
      </c>
      <c r="E155" s="4"/>
      <c r="F155" s="3">
        <v>2.32554446E8</v>
      </c>
      <c r="G155" s="3">
        <v>4.19998828E8</v>
      </c>
      <c r="H155" s="3">
        <v>5.85252824E8</v>
      </c>
      <c r="I155" s="3">
        <v>4.46663992E8</v>
      </c>
      <c r="J155" s="3">
        <v>2.29642866E8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7.25" hidden="1" customHeight="1">
      <c r="A156" s="3" t="s">
        <v>251</v>
      </c>
      <c r="B156" s="3" t="s">
        <v>252</v>
      </c>
      <c r="C156" s="3" t="s">
        <v>20</v>
      </c>
      <c r="D156" s="3" t="s">
        <v>255</v>
      </c>
      <c r="E156" s="4"/>
      <c r="F156" s="3"/>
      <c r="G156" s="3"/>
      <c r="H156" s="3"/>
      <c r="I156" s="3"/>
      <c r="J156" s="3">
        <v>1.61084308E8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7.25" hidden="1" customHeight="1">
      <c r="A157" s="3" t="s">
        <v>251</v>
      </c>
      <c r="B157" s="3" t="s">
        <v>252</v>
      </c>
      <c r="C157" s="3" t="s">
        <v>20</v>
      </c>
      <c r="D157" s="3" t="s">
        <v>256</v>
      </c>
      <c r="E157" s="4"/>
      <c r="F157" s="3">
        <v>7.8739E7</v>
      </c>
      <c r="G157" s="3">
        <v>2.635996E8</v>
      </c>
      <c r="H157" s="3">
        <v>667200.0</v>
      </c>
      <c r="I157" s="3">
        <v>7.05588E7</v>
      </c>
      <c r="J157" s="3">
        <v>1.24529085E8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7.25" hidden="1" customHeight="1">
      <c r="A158" s="3" t="s">
        <v>251</v>
      </c>
      <c r="B158" s="3" t="s">
        <v>252</v>
      </c>
      <c r="C158" s="3" t="s">
        <v>20</v>
      </c>
      <c r="D158" s="3" t="s">
        <v>257</v>
      </c>
      <c r="E158" s="4"/>
      <c r="F158" s="3">
        <v>6.0181938E7</v>
      </c>
      <c r="G158" s="3">
        <v>1.86483945E8</v>
      </c>
      <c r="H158" s="3">
        <v>1.53482242E8</v>
      </c>
      <c r="I158" s="3">
        <v>1.01665733E8</v>
      </c>
      <c r="J158" s="3">
        <v>8.2713319E7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7.25" hidden="1" customHeight="1">
      <c r="A159" s="3" t="s">
        <v>251</v>
      </c>
      <c r="B159" s="3" t="s">
        <v>252</v>
      </c>
      <c r="C159" s="3" t="s">
        <v>20</v>
      </c>
      <c r="D159" s="3" t="s">
        <v>258</v>
      </c>
      <c r="E159" s="4"/>
      <c r="F159" s="3">
        <v>5.1866799E7</v>
      </c>
      <c r="G159" s="3">
        <v>2.52713218E8</v>
      </c>
      <c r="H159" s="3">
        <v>1.99284811E8</v>
      </c>
      <c r="I159" s="3">
        <v>1.32932037E8</v>
      </c>
      <c r="J159" s="3">
        <v>5.8110275E7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7.25" hidden="1" customHeight="1">
      <c r="A160" s="3" t="s">
        <v>251</v>
      </c>
      <c r="B160" s="3" t="s">
        <v>252</v>
      </c>
      <c r="C160" s="3" t="s">
        <v>20</v>
      </c>
      <c r="D160" s="3" t="s">
        <v>259</v>
      </c>
      <c r="E160" s="4"/>
      <c r="F160" s="3">
        <v>1.6126935E7</v>
      </c>
      <c r="G160" s="3">
        <v>1.65828988E8</v>
      </c>
      <c r="H160" s="3">
        <v>3.1906101E7</v>
      </c>
      <c r="I160" s="3">
        <v>1.1999167E7</v>
      </c>
      <c r="J160" s="3">
        <v>8663356.0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7.25" hidden="1" customHeight="1">
      <c r="A161" s="3" t="s">
        <v>260</v>
      </c>
      <c r="B161" s="3" t="s">
        <v>261</v>
      </c>
      <c r="C161" s="3" t="s">
        <v>20</v>
      </c>
      <c r="D161" s="3" t="s">
        <v>262</v>
      </c>
      <c r="E161" s="4"/>
      <c r="F161" s="3">
        <v>1.45877778E8</v>
      </c>
      <c r="G161" s="3">
        <v>7.43398266E8</v>
      </c>
      <c r="H161" s="3">
        <v>8.21802768E8</v>
      </c>
      <c r="I161" s="3">
        <v>1.155389836E9</v>
      </c>
      <c r="J161" s="3">
        <v>8.74845702E8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7.25" hidden="1" customHeight="1">
      <c r="A162" s="3" t="s">
        <v>260</v>
      </c>
      <c r="B162" s="3" t="s">
        <v>261</v>
      </c>
      <c r="C162" s="3" t="s">
        <v>20</v>
      </c>
      <c r="D162" s="3" t="s">
        <v>263</v>
      </c>
      <c r="E162" s="4"/>
      <c r="F162" s="3">
        <v>2.36374448E8</v>
      </c>
      <c r="G162" s="3">
        <v>1.75298528E8</v>
      </c>
      <c r="H162" s="3">
        <v>2.1878E8</v>
      </c>
      <c r="I162" s="3">
        <v>1.55498982E8</v>
      </c>
      <c r="J162" s="3">
        <v>1.26146716E8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7.25" hidden="1" customHeight="1">
      <c r="A163" s="3" t="s">
        <v>260</v>
      </c>
      <c r="B163" s="3" t="s">
        <v>261</v>
      </c>
      <c r="C163" s="3" t="s">
        <v>20</v>
      </c>
      <c r="D163" s="3" t="s">
        <v>264</v>
      </c>
      <c r="E163" s="4"/>
      <c r="F163" s="3">
        <v>2.28515418E8</v>
      </c>
      <c r="G163" s="3">
        <v>5973120.0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7.25" hidden="1" customHeight="1">
      <c r="A164" s="3" t="s">
        <v>265</v>
      </c>
      <c r="B164" s="3" t="s">
        <v>266</v>
      </c>
      <c r="C164" s="3" t="s">
        <v>12</v>
      </c>
      <c r="D164" s="3" t="s">
        <v>267</v>
      </c>
      <c r="E164" s="4"/>
      <c r="F164" s="3">
        <v>3.07044885E9</v>
      </c>
      <c r="G164" s="3">
        <v>1.982575484E9</v>
      </c>
      <c r="H164" s="3">
        <v>3.044291764E9</v>
      </c>
      <c r="I164" s="3">
        <v>1.885295751E9</v>
      </c>
      <c r="J164" s="3">
        <v>9.71971172E8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7.25" hidden="1" customHeight="1">
      <c r="A165" s="3" t="s">
        <v>268</v>
      </c>
      <c r="B165" s="3" t="s">
        <v>269</v>
      </c>
      <c r="C165" s="3" t="s">
        <v>12</v>
      </c>
      <c r="D165" s="3" t="s">
        <v>270</v>
      </c>
      <c r="E165" s="4"/>
      <c r="F165" s="3">
        <v>3.12231172E8</v>
      </c>
      <c r="G165" s="3">
        <v>3.2264962E8</v>
      </c>
      <c r="H165" s="3">
        <v>1.3256646E8</v>
      </c>
      <c r="I165" s="3">
        <v>2.00342772E8</v>
      </c>
      <c r="J165" s="3">
        <v>1.19495376E8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7.25" customHeight="1">
      <c r="A166" s="3" t="s">
        <v>268</v>
      </c>
      <c r="B166" s="3" t="s">
        <v>269</v>
      </c>
      <c r="C166" s="3" t="s">
        <v>20</v>
      </c>
      <c r="D166" s="3" t="s">
        <v>271</v>
      </c>
      <c r="E166" s="4" t="s">
        <v>14</v>
      </c>
      <c r="F166" s="3">
        <v>1.42236E8</v>
      </c>
      <c r="G166" s="3">
        <v>8.9397E7</v>
      </c>
      <c r="H166" s="3">
        <v>1.20906E8</v>
      </c>
      <c r="I166" s="3">
        <v>4.25110545E8</v>
      </c>
      <c r="J166" s="3">
        <v>7.29509675E8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7.25" hidden="1" customHeight="1">
      <c r="A167" s="3" t="s">
        <v>272</v>
      </c>
      <c r="B167" s="3" t="s">
        <v>273</v>
      </c>
      <c r="C167" s="3" t="s">
        <v>20</v>
      </c>
      <c r="D167" s="3" t="s">
        <v>274</v>
      </c>
      <c r="E167" s="4"/>
      <c r="F167" s="3">
        <v>4.107903353E9</v>
      </c>
      <c r="G167" s="3">
        <v>4.112843869E9</v>
      </c>
      <c r="H167" s="3">
        <v>4.131072585E9</v>
      </c>
      <c r="I167" s="3">
        <v>3.213675615E9</v>
      </c>
      <c r="J167" s="3">
        <v>8.33912512E8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7.25" hidden="1" customHeight="1">
      <c r="A168" s="3" t="s">
        <v>275</v>
      </c>
      <c r="B168" s="3" t="s">
        <v>276</v>
      </c>
      <c r="C168" s="3" t="s">
        <v>12</v>
      </c>
      <c r="D168" s="3" t="s">
        <v>277</v>
      </c>
      <c r="E168" s="4"/>
      <c r="F168" s="3">
        <v>1.480818726E9</v>
      </c>
      <c r="G168" s="3">
        <v>1.202397045E9</v>
      </c>
      <c r="H168" s="3">
        <v>8.4412413E8</v>
      </c>
      <c r="I168" s="3">
        <v>5.2590075E8</v>
      </c>
      <c r="J168" s="3">
        <v>7.7140475E8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7.25" hidden="1" customHeight="1">
      <c r="A169" s="3" t="s">
        <v>278</v>
      </c>
      <c r="B169" s="3" t="s">
        <v>279</v>
      </c>
      <c r="C169" s="3" t="s">
        <v>12</v>
      </c>
      <c r="D169" s="3" t="s">
        <v>280</v>
      </c>
      <c r="E169" s="4"/>
      <c r="F169" s="3">
        <v>5.01603991E8</v>
      </c>
      <c r="G169" s="3">
        <v>4.61589637E8</v>
      </c>
      <c r="H169" s="3">
        <v>5.92512807E8</v>
      </c>
      <c r="I169" s="3">
        <v>6.29319868E8</v>
      </c>
      <c r="J169" s="3">
        <v>7.41035852E8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7.25" hidden="1" customHeight="1">
      <c r="A170" s="3" t="s">
        <v>281</v>
      </c>
      <c r="B170" s="3" t="s">
        <v>282</v>
      </c>
      <c r="C170" s="3" t="s">
        <v>12</v>
      </c>
      <c r="D170" s="3" t="s">
        <v>283</v>
      </c>
      <c r="E170" s="4"/>
      <c r="F170" s="3">
        <v>2.012657677E9</v>
      </c>
      <c r="G170" s="3">
        <v>1.643691079E9</v>
      </c>
      <c r="H170" s="3">
        <v>1.384841369E9</v>
      </c>
      <c r="I170" s="3">
        <v>1.028622882E9</v>
      </c>
      <c r="J170" s="3">
        <v>6.95963395E8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7.25" hidden="1" customHeight="1">
      <c r="A171" s="3" t="s">
        <v>281</v>
      </c>
      <c r="B171" s="3" t="s">
        <v>282</v>
      </c>
      <c r="C171" s="3" t="s">
        <v>20</v>
      </c>
      <c r="D171" s="3" t="s">
        <v>283</v>
      </c>
      <c r="E171" s="4"/>
      <c r="F171" s="3">
        <v>3423360.0</v>
      </c>
      <c r="G171" s="3">
        <v>1583304.0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7.25" customHeight="1">
      <c r="A172" s="3" t="s">
        <v>284</v>
      </c>
      <c r="B172" s="3" t="s">
        <v>285</v>
      </c>
      <c r="C172" s="3" t="s">
        <v>20</v>
      </c>
      <c r="D172" s="3" t="s">
        <v>286</v>
      </c>
      <c r="E172" s="4" t="s">
        <v>24</v>
      </c>
      <c r="F172" s="3">
        <v>4.023703324E9</v>
      </c>
      <c r="G172" s="3">
        <v>4.046519326E9</v>
      </c>
      <c r="H172" s="3">
        <v>3.81851578E9</v>
      </c>
      <c r="I172" s="3">
        <v>3.003154896E9</v>
      </c>
      <c r="J172" s="3">
        <v>6.42679554E8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7.25" customHeight="1">
      <c r="A173" s="3" t="s">
        <v>287</v>
      </c>
      <c r="B173" s="3" t="s">
        <v>288</v>
      </c>
      <c r="C173" s="3" t="s">
        <v>12</v>
      </c>
      <c r="D173" s="3" t="s">
        <v>289</v>
      </c>
      <c r="E173" s="4" t="s">
        <v>24</v>
      </c>
      <c r="F173" s="3"/>
      <c r="G173" s="3"/>
      <c r="H173" s="3"/>
      <c r="I173" s="3"/>
      <c r="J173" s="3">
        <v>5.42342666E8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7.25" hidden="1" customHeight="1">
      <c r="A174" s="3" t="s">
        <v>290</v>
      </c>
      <c r="B174" s="3" t="s">
        <v>291</v>
      </c>
      <c r="C174" s="3" t="s">
        <v>12</v>
      </c>
      <c r="D174" s="3" t="s">
        <v>292</v>
      </c>
      <c r="E174" s="4"/>
      <c r="F174" s="3">
        <v>5.36614063E8</v>
      </c>
      <c r="G174" s="3">
        <v>5.28605705E8</v>
      </c>
      <c r="H174" s="3">
        <v>4.37917892E8</v>
      </c>
      <c r="I174" s="3">
        <v>3.71334595E8</v>
      </c>
      <c r="J174" s="3">
        <v>5.00407571E8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7.25" hidden="1" customHeight="1">
      <c r="A175" s="3" t="s">
        <v>290</v>
      </c>
      <c r="B175" s="3" t="s">
        <v>291</v>
      </c>
      <c r="C175" s="3" t="s">
        <v>12</v>
      </c>
      <c r="D175" s="3" t="s">
        <v>293</v>
      </c>
      <c r="E175" s="4"/>
      <c r="F175" s="3">
        <v>7.0549327E7</v>
      </c>
      <c r="G175" s="3">
        <v>1.12165912E8</v>
      </c>
      <c r="H175" s="3">
        <v>6.7260048E7</v>
      </c>
      <c r="I175" s="3">
        <v>3192320.0</v>
      </c>
      <c r="J175" s="3">
        <v>2124366.0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7.25" hidden="1" customHeight="1">
      <c r="A176" s="3" t="s">
        <v>294</v>
      </c>
      <c r="B176" s="3" t="s">
        <v>295</v>
      </c>
      <c r="C176" s="3" t="s">
        <v>12</v>
      </c>
      <c r="D176" s="3" t="s">
        <v>296</v>
      </c>
      <c r="E176" s="4"/>
      <c r="F176" s="3">
        <v>2.96047693E8</v>
      </c>
      <c r="G176" s="3">
        <v>3.22837236E8</v>
      </c>
      <c r="H176" s="3">
        <v>3.51758115E8</v>
      </c>
      <c r="I176" s="3">
        <v>3.04523859E8</v>
      </c>
      <c r="J176" s="3">
        <v>3.96678344E8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7.25" hidden="1" customHeight="1">
      <c r="A177" s="3" t="s">
        <v>294</v>
      </c>
      <c r="B177" s="3" t="s">
        <v>295</v>
      </c>
      <c r="C177" s="3" t="s">
        <v>20</v>
      </c>
      <c r="D177" s="3" t="s">
        <v>297</v>
      </c>
      <c r="E177" s="4"/>
      <c r="F177" s="3">
        <v>145398.0</v>
      </c>
      <c r="G177" s="3">
        <v>138789.0</v>
      </c>
      <c r="H177" s="3">
        <v>793080.0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7.25" hidden="1" customHeight="1">
      <c r="A178" s="3" t="s">
        <v>294</v>
      </c>
      <c r="B178" s="3" t="s">
        <v>295</v>
      </c>
      <c r="C178" s="3" t="s">
        <v>20</v>
      </c>
      <c r="D178" s="3" t="s">
        <v>296</v>
      </c>
      <c r="E178" s="4"/>
      <c r="F178" s="3"/>
      <c r="G178" s="3">
        <v>523527.0</v>
      </c>
      <c r="H178" s="3">
        <v>124878.0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7.25" hidden="1" customHeight="1">
      <c r="A179" s="3" t="s">
        <v>298</v>
      </c>
      <c r="B179" s="3" t="s">
        <v>299</v>
      </c>
      <c r="C179" s="3" t="s">
        <v>12</v>
      </c>
      <c r="D179" s="3" t="s">
        <v>300</v>
      </c>
      <c r="E179" s="4"/>
      <c r="F179" s="3">
        <v>2.14632174E8</v>
      </c>
      <c r="G179" s="3">
        <v>1.98497396E8</v>
      </c>
      <c r="H179" s="3">
        <v>1.852311E8</v>
      </c>
      <c r="I179" s="3">
        <v>1.4700453E8</v>
      </c>
      <c r="J179" s="3">
        <v>1.95474599E8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7.25" hidden="1" customHeight="1">
      <c r="A180" s="3" t="s">
        <v>298</v>
      </c>
      <c r="B180" s="3" t="s">
        <v>299</v>
      </c>
      <c r="C180" s="3" t="s">
        <v>12</v>
      </c>
      <c r="D180" s="3" t="s">
        <v>301</v>
      </c>
      <c r="E180" s="4"/>
      <c r="F180" s="3">
        <v>3.36854757E8</v>
      </c>
      <c r="G180" s="3">
        <v>2.9153837E8</v>
      </c>
      <c r="H180" s="3">
        <v>2.5372741E8</v>
      </c>
      <c r="I180" s="3">
        <v>2.3014956E8</v>
      </c>
      <c r="J180" s="3">
        <v>1.88442828E8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7.25" hidden="1" customHeight="1">
      <c r="A181" s="3" t="s">
        <v>302</v>
      </c>
      <c r="B181" s="3" t="s">
        <v>303</v>
      </c>
      <c r="C181" s="3" t="s">
        <v>12</v>
      </c>
      <c r="D181" s="3" t="s">
        <v>304</v>
      </c>
      <c r="E181" s="4"/>
      <c r="F181" s="3">
        <v>7.12139285E8</v>
      </c>
      <c r="G181" s="3">
        <v>5.85505635E8</v>
      </c>
      <c r="H181" s="3">
        <v>6.09419668E8</v>
      </c>
      <c r="I181" s="3">
        <v>5.28374132E8</v>
      </c>
      <c r="J181" s="3">
        <v>3.73205376E8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7.25" hidden="1" customHeight="1">
      <c r="A182" s="3" t="s">
        <v>302</v>
      </c>
      <c r="B182" s="3" t="s">
        <v>303</v>
      </c>
      <c r="C182" s="3" t="s">
        <v>20</v>
      </c>
      <c r="D182" s="3" t="s">
        <v>304</v>
      </c>
      <c r="E182" s="4"/>
      <c r="F182" s="3">
        <v>1060857.0</v>
      </c>
      <c r="G182" s="3">
        <v>5454.0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7.25" hidden="1" customHeight="1">
      <c r="A183" s="3" t="s">
        <v>305</v>
      </c>
      <c r="B183" s="3" t="s">
        <v>306</v>
      </c>
      <c r="C183" s="3" t="s">
        <v>20</v>
      </c>
      <c r="D183" s="3" t="s">
        <v>307</v>
      </c>
      <c r="E183" s="4"/>
      <c r="F183" s="3">
        <v>1.91403585E8</v>
      </c>
      <c r="G183" s="3">
        <v>3.36089115E8</v>
      </c>
      <c r="H183" s="3">
        <v>4.10136255E8</v>
      </c>
      <c r="I183" s="3">
        <v>3.5197389E8</v>
      </c>
      <c r="J183" s="3">
        <v>3.53905515E8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7.25" hidden="1" customHeight="1">
      <c r="A184" s="3" t="s">
        <v>308</v>
      </c>
      <c r="B184" s="3" t="s">
        <v>309</v>
      </c>
      <c r="C184" s="3" t="s">
        <v>20</v>
      </c>
      <c r="D184" s="3" t="s">
        <v>310</v>
      </c>
      <c r="E184" s="4"/>
      <c r="F184" s="3"/>
      <c r="G184" s="3"/>
      <c r="H184" s="3">
        <v>6.33825516E8</v>
      </c>
      <c r="I184" s="3">
        <v>4.19846638E8</v>
      </c>
      <c r="J184" s="3">
        <v>2.812684E8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7.25" hidden="1" customHeight="1">
      <c r="A185" s="3" t="s">
        <v>308</v>
      </c>
      <c r="B185" s="3" t="s">
        <v>309</v>
      </c>
      <c r="C185" s="3" t="s">
        <v>20</v>
      </c>
      <c r="D185" s="3" t="s">
        <v>311</v>
      </c>
      <c r="E185" s="4"/>
      <c r="F185" s="3">
        <v>5.7906E7</v>
      </c>
      <c r="G185" s="3">
        <v>9.414046E7</v>
      </c>
      <c r="H185" s="3">
        <v>3.6764307E7</v>
      </c>
      <c r="I185" s="3">
        <v>6.742E7</v>
      </c>
      <c r="J185" s="3">
        <v>4.282E7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7.25" hidden="1" customHeight="1">
      <c r="A186" s="3" t="s">
        <v>308</v>
      </c>
      <c r="B186" s="3" t="s">
        <v>309</v>
      </c>
      <c r="C186" s="3" t="s">
        <v>20</v>
      </c>
      <c r="D186" s="3" t="s">
        <v>312</v>
      </c>
      <c r="E186" s="4"/>
      <c r="F186" s="3">
        <v>2.074E7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7.25" hidden="1" customHeight="1">
      <c r="A187" s="3" t="s">
        <v>308</v>
      </c>
      <c r="B187" s="3" t="s">
        <v>309</v>
      </c>
      <c r="C187" s="3" t="s">
        <v>20</v>
      </c>
      <c r="D187" s="3" t="s">
        <v>313</v>
      </c>
      <c r="E187" s="4"/>
      <c r="F187" s="3">
        <v>1.1192E8</v>
      </c>
      <c r="G187" s="3">
        <v>1.624E8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7.25" hidden="1" customHeight="1">
      <c r="A188" s="3" t="s">
        <v>314</v>
      </c>
      <c r="B188" s="3" t="s">
        <v>315</v>
      </c>
      <c r="C188" s="3" t="s">
        <v>12</v>
      </c>
      <c r="D188" s="3" t="s">
        <v>316</v>
      </c>
      <c r="E188" s="4"/>
      <c r="F188" s="3">
        <v>2.176227E8</v>
      </c>
      <c r="G188" s="3">
        <v>2.15594706E8</v>
      </c>
      <c r="H188" s="3">
        <v>1.88001235E8</v>
      </c>
      <c r="I188" s="3">
        <v>2.13006194E8</v>
      </c>
      <c r="J188" s="3">
        <v>3.02703193E8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7.25" hidden="1" customHeight="1">
      <c r="A189" s="3" t="s">
        <v>317</v>
      </c>
      <c r="B189" s="3" t="s">
        <v>318</v>
      </c>
      <c r="C189" s="3" t="s">
        <v>20</v>
      </c>
      <c r="D189" s="3" t="s">
        <v>319</v>
      </c>
      <c r="E189" s="4"/>
      <c r="F189" s="3">
        <v>7.82915306E8</v>
      </c>
      <c r="G189" s="3">
        <v>5.08910003E8</v>
      </c>
      <c r="H189" s="3">
        <v>4.87133042E8</v>
      </c>
      <c r="I189" s="3">
        <v>4.1698739E8</v>
      </c>
      <c r="J189" s="3">
        <v>2.82806124E8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7.25" hidden="1" customHeight="1">
      <c r="A190" s="3" t="s">
        <v>317</v>
      </c>
      <c r="B190" s="3" t="s">
        <v>318</v>
      </c>
      <c r="C190" s="3" t="s">
        <v>20</v>
      </c>
      <c r="D190" s="3" t="s">
        <v>320</v>
      </c>
      <c r="E190" s="4"/>
      <c r="F190" s="3">
        <v>1.14341715E8</v>
      </c>
      <c r="G190" s="3">
        <v>4.1466935E7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7.25" hidden="1" customHeight="1">
      <c r="A191" s="3" t="s">
        <v>317</v>
      </c>
      <c r="B191" s="3" t="s">
        <v>318</v>
      </c>
      <c r="C191" s="3" t="s">
        <v>20</v>
      </c>
      <c r="D191" s="3" t="s">
        <v>321</v>
      </c>
      <c r="E191" s="4"/>
      <c r="F191" s="3">
        <v>3280206.0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7.25" hidden="1" customHeight="1">
      <c r="A192" s="3" t="s">
        <v>317</v>
      </c>
      <c r="B192" s="3" t="s">
        <v>318</v>
      </c>
      <c r="C192" s="3" t="s">
        <v>20</v>
      </c>
      <c r="D192" s="3" t="s">
        <v>322</v>
      </c>
      <c r="E192" s="4"/>
      <c r="F192" s="3"/>
      <c r="G192" s="3">
        <v>1.30764886E8</v>
      </c>
      <c r="H192" s="3">
        <v>3.4311669E7</v>
      </c>
      <c r="I192" s="3">
        <v>2.6178068E7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7.25" hidden="1" customHeight="1">
      <c r="A193" s="3" t="s">
        <v>323</v>
      </c>
      <c r="B193" s="3" t="s">
        <v>324</v>
      </c>
      <c r="C193" s="3" t="s">
        <v>12</v>
      </c>
      <c r="D193" s="3" t="s">
        <v>325</v>
      </c>
      <c r="E193" s="4"/>
      <c r="F193" s="3">
        <v>2.46989952E8</v>
      </c>
      <c r="G193" s="3">
        <v>2.58475008E8</v>
      </c>
      <c r="H193" s="3">
        <v>2.2182336E8</v>
      </c>
      <c r="I193" s="3">
        <v>2.11584384E8</v>
      </c>
      <c r="J193" s="3">
        <v>2.2859232E8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7.25" hidden="1" customHeight="1">
      <c r="A194" s="3" t="s">
        <v>323</v>
      </c>
      <c r="B194" s="3" t="s">
        <v>324</v>
      </c>
      <c r="C194" s="3" t="s">
        <v>12</v>
      </c>
      <c r="D194" s="3" t="s">
        <v>326</v>
      </c>
      <c r="E194" s="4"/>
      <c r="F194" s="3">
        <v>4028000.0</v>
      </c>
      <c r="G194" s="3">
        <v>1.064505E7</v>
      </c>
      <c r="H194" s="3">
        <v>1.0633125E7</v>
      </c>
      <c r="I194" s="3">
        <v>8684050.0</v>
      </c>
      <c r="J194" s="3">
        <v>2.944945E7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7.25" hidden="1" customHeight="1">
      <c r="A195" s="3" t="s">
        <v>323</v>
      </c>
      <c r="B195" s="3" t="s">
        <v>324</v>
      </c>
      <c r="C195" s="3" t="s">
        <v>12</v>
      </c>
      <c r="D195" s="3" t="s">
        <v>327</v>
      </c>
      <c r="E195" s="4"/>
      <c r="F195" s="3">
        <v>5.341605E7</v>
      </c>
      <c r="G195" s="3">
        <v>3.897567E7</v>
      </c>
      <c r="H195" s="3">
        <v>7.387776E7</v>
      </c>
      <c r="I195" s="3">
        <v>1.865706E7</v>
      </c>
      <c r="J195" s="3">
        <v>1.371534E7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7.25" hidden="1" customHeight="1">
      <c r="A196" s="3" t="s">
        <v>323</v>
      </c>
      <c r="B196" s="3" t="s">
        <v>324</v>
      </c>
      <c r="C196" s="3" t="s">
        <v>20</v>
      </c>
      <c r="D196" s="3" t="s">
        <v>327</v>
      </c>
      <c r="E196" s="4"/>
      <c r="F196" s="3">
        <v>2763960.0</v>
      </c>
      <c r="G196" s="3">
        <v>2499452.0</v>
      </c>
      <c r="H196" s="3">
        <v>1590020.0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7.25" hidden="1" customHeight="1">
      <c r="A197" s="3" t="s">
        <v>328</v>
      </c>
      <c r="B197" s="3" t="s">
        <v>329</v>
      </c>
      <c r="C197" s="3" t="s">
        <v>12</v>
      </c>
      <c r="D197" s="3" t="s">
        <v>330</v>
      </c>
      <c r="E197" s="4"/>
      <c r="F197" s="3">
        <v>3.53843931E8</v>
      </c>
      <c r="G197" s="3">
        <v>3.66325494E8</v>
      </c>
      <c r="H197" s="3">
        <v>1.67703892E8</v>
      </c>
      <c r="I197" s="3">
        <v>1.56272685E8</v>
      </c>
      <c r="J197" s="3">
        <v>1.9826444E8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7.25" hidden="1" customHeight="1">
      <c r="A198" s="3" t="s">
        <v>331</v>
      </c>
      <c r="B198" s="3" t="s">
        <v>332</v>
      </c>
      <c r="C198" s="3" t="s">
        <v>12</v>
      </c>
      <c r="D198" s="3" t="s">
        <v>333</v>
      </c>
      <c r="E198" s="4"/>
      <c r="F198" s="3">
        <v>7.0284753E7</v>
      </c>
      <c r="G198" s="3">
        <v>6.9382794E7</v>
      </c>
      <c r="H198" s="3">
        <v>7.9956761E7</v>
      </c>
      <c r="I198" s="3">
        <v>7.761231E7</v>
      </c>
      <c r="J198" s="3">
        <v>1.86963776E8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7.25" hidden="1" customHeight="1">
      <c r="A199" s="3" t="s">
        <v>334</v>
      </c>
      <c r="B199" s="3" t="s">
        <v>335</v>
      </c>
      <c r="C199" s="3" t="s">
        <v>20</v>
      </c>
      <c r="D199" s="3" t="s">
        <v>336</v>
      </c>
      <c r="E199" s="4"/>
      <c r="F199" s="3">
        <v>1.9778022E8</v>
      </c>
      <c r="G199" s="3">
        <v>1.68615864E8</v>
      </c>
      <c r="H199" s="3">
        <v>2.0612484E8</v>
      </c>
      <c r="I199" s="3">
        <v>2.51262144E8</v>
      </c>
      <c r="J199" s="3">
        <v>1.86221376E8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7.25" hidden="1" customHeight="1">
      <c r="A200" s="3" t="s">
        <v>337</v>
      </c>
      <c r="B200" s="3" t="s">
        <v>338</v>
      </c>
      <c r="C200" s="3" t="s">
        <v>12</v>
      </c>
      <c r="D200" s="3" t="s">
        <v>339</v>
      </c>
      <c r="E200" s="4"/>
      <c r="F200" s="3">
        <v>1.60581525E8</v>
      </c>
      <c r="G200" s="3">
        <v>1.48253625E8</v>
      </c>
      <c r="H200" s="3">
        <v>1.2255633E8</v>
      </c>
      <c r="I200" s="3">
        <v>1.11997115E8</v>
      </c>
      <c r="J200" s="3">
        <v>1.74779692E8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7.25" hidden="1" customHeight="1">
      <c r="A201" s="3" t="s">
        <v>340</v>
      </c>
      <c r="B201" s="3" t="s">
        <v>341</v>
      </c>
      <c r="C201" s="3" t="s">
        <v>20</v>
      </c>
      <c r="D201" s="3" t="s">
        <v>342</v>
      </c>
      <c r="E201" s="4"/>
      <c r="F201" s="3">
        <v>1.8446155E8</v>
      </c>
      <c r="G201" s="3">
        <v>1.22479191E8</v>
      </c>
      <c r="H201" s="3">
        <v>1.17132834E8</v>
      </c>
      <c r="I201" s="3">
        <v>1.30326138E8</v>
      </c>
      <c r="J201" s="3">
        <v>1.69204008E8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7.25" hidden="1" customHeight="1">
      <c r="A202" s="3" t="s">
        <v>343</v>
      </c>
      <c r="B202" s="3" t="s">
        <v>344</v>
      </c>
      <c r="C202" s="3" t="s">
        <v>20</v>
      </c>
      <c r="D202" s="3" t="s">
        <v>345</v>
      </c>
      <c r="E202" s="4"/>
      <c r="F202" s="3">
        <v>1.91027322E8</v>
      </c>
      <c r="G202" s="3">
        <v>2.26202186E8</v>
      </c>
      <c r="H202" s="3">
        <v>2.48060926E8</v>
      </c>
      <c r="I202" s="3">
        <v>2.22512376E8</v>
      </c>
      <c r="J202" s="3">
        <v>1.49264664E8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7.25" hidden="1" customHeight="1">
      <c r="A203" s="3" t="s">
        <v>346</v>
      </c>
      <c r="B203" s="3" t="s">
        <v>347</v>
      </c>
      <c r="C203" s="3" t="s">
        <v>12</v>
      </c>
      <c r="D203" s="3" t="s">
        <v>348</v>
      </c>
      <c r="E203" s="4"/>
      <c r="F203" s="3">
        <v>1.19292028E8</v>
      </c>
      <c r="G203" s="3">
        <v>1.01139239E8</v>
      </c>
      <c r="H203" s="3">
        <v>1.04749065E8</v>
      </c>
      <c r="I203" s="3">
        <v>1.1360752E8</v>
      </c>
      <c r="J203" s="3">
        <v>1.48292394E8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7.25" hidden="1" customHeight="1">
      <c r="A204" s="3" t="s">
        <v>346</v>
      </c>
      <c r="B204" s="3" t="s">
        <v>347</v>
      </c>
      <c r="C204" s="3" t="s">
        <v>20</v>
      </c>
      <c r="D204" s="3" t="s">
        <v>348</v>
      </c>
      <c r="E204" s="4"/>
      <c r="F204" s="3">
        <v>6732256.0</v>
      </c>
      <c r="G204" s="3">
        <v>8052878.0</v>
      </c>
      <c r="H204" s="3">
        <v>2934947.0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7.25" hidden="1" customHeight="1">
      <c r="A205" s="3" t="s">
        <v>349</v>
      </c>
      <c r="B205" s="3" t="s">
        <v>350</v>
      </c>
      <c r="C205" s="3" t="s">
        <v>12</v>
      </c>
      <c r="D205" s="3" t="s">
        <v>351</v>
      </c>
      <c r="E205" s="4"/>
      <c r="F205" s="3">
        <v>7506032.0</v>
      </c>
      <c r="G205" s="3">
        <v>1.6947426E7</v>
      </c>
      <c r="H205" s="3">
        <v>3.5693312E7</v>
      </c>
      <c r="I205" s="3">
        <v>1.01372212E8</v>
      </c>
      <c r="J205" s="3">
        <v>1.38726876E8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7.25" hidden="1" customHeight="1">
      <c r="A206" s="3" t="s">
        <v>352</v>
      </c>
      <c r="B206" s="3" t="s">
        <v>353</v>
      </c>
      <c r="C206" s="3" t="s">
        <v>20</v>
      </c>
      <c r="D206" s="3" t="s">
        <v>354</v>
      </c>
      <c r="E206" s="4"/>
      <c r="F206" s="3"/>
      <c r="G206" s="3"/>
      <c r="H206" s="3"/>
      <c r="I206" s="3">
        <v>8.7352216E7</v>
      </c>
      <c r="J206" s="3">
        <v>1.37669056E8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7.25" hidden="1" customHeight="1">
      <c r="A207" s="3" t="s">
        <v>355</v>
      </c>
      <c r="B207" s="3" t="s">
        <v>356</v>
      </c>
      <c r="C207" s="3" t="s">
        <v>20</v>
      </c>
      <c r="D207" s="3" t="s">
        <v>357</v>
      </c>
      <c r="E207" s="4"/>
      <c r="F207" s="3">
        <v>4.1045865E7</v>
      </c>
      <c r="G207" s="3">
        <v>3.2482143E7</v>
      </c>
      <c r="H207" s="3">
        <v>3.5809449E7</v>
      </c>
      <c r="I207" s="3">
        <v>4.6145916E7</v>
      </c>
      <c r="J207" s="3">
        <v>1.37455919E8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7.25" hidden="1" customHeight="1">
      <c r="A208" s="3" t="s">
        <v>358</v>
      </c>
      <c r="B208" s="3" t="s">
        <v>359</v>
      </c>
      <c r="C208" s="3" t="s">
        <v>12</v>
      </c>
      <c r="D208" s="3" t="s">
        <v>360</v>
      </c>
      <c r="E208" s="4"/>
      <c r="F208" s="3">
        <v>1.06243904E8</v>
      </c>
      <c r="G208" s="3">
        <v>1.39634592E8</v>
      </c>
      <c r="H208" s="3">
        <v>1.36705811E8</v>
      </c>
      <c r="I208" s="3">
        <v>1.50918258E8</v>
      </c>
      <c r="J208" s="3">
        <v>1.30207637E8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7.25" hidden="1" customHeight="1">
      <c r="A209" s="3" t="s">
        <v>361</v>
      </c>
      <c r="B209" s="3" t="s">
        <v>362</v>
      </c>
      <c r="C209" s="3" t="s">
        <v>12</v>
      </c>
      <c r="D209" s="3" t="s">
        <v>363</v>
      </c>
      <c r="E209" s="4"/>
      <c r="F209" s="3">
        <v>3.11545261E8</v>
      </c>
      <c r="G209" s="3">
        <v>2.30790318E8</v>
      </c>
      <c r="H209" s="3">
        <v>1.81218711E8</v>
      </c>
      <c r="I209" s="3">
        <v>1.72876552E8</v>
      </c>
      <c r="J209" s="3">
        <v>1.27354373E8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7.25" hidden="1" customHeight="1">
      <c r="A210" s="3" t="s">
        <v>364</v>
      </c>
      <c r="B210" s="3" t="s">
        <v>365</v>
      </c>
      <c r="C210" s="3" t="s">
        <v>12</v>
      </c>
      <c r="D210" s="3" t="s">
        <v>366</v>
      </c>
      <c r="E210" s="4"/>
      <c r="F210" s="3">
        <v>2.179624E8</v>
      </c>
      <c r="G210" s="3">
        <v>1.34385095E8</v>
      </c>
      <c r="H210" s="3">
        <v>1.44390857E8</v>
      </c>
      <c r="I210" s="3">
        <v>1.31360437E8</v>
      </c>
      <c r="J210" s="3">
        <v>1.14266665E8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7.25" hidden="1" customHeight="1">
      <c r="A211" s="3" t="s">
        <v>367</v>
      </c>
      <c r="B211" s="3" t="s">
        <v>368</v>
      </c>
      <c r="C211" s="3" t="s">
        <v>20</v>
      </c>
      <c r="D211" s="3" t="s">
        <v>369</v>
      </c>
      <c r="E211" s="4"/>
      <c r="F211" s="3">
        <v>2.57027449E8</v>
      </c>
      <c r="G211" s="3">
        <v>2.306E8</v>
      </c>
      <c r="H211" s="3">
        <v>2.29825E8</v>
      </c>
      <c r="I211" s="3">
        <v>1.8676E8</v>
      </c>
      <c r="J211" s="3">
        <v>1.1025E8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7.25" hidden="1" customHeight="1">
      <c r="A212" s="3" t="s">
        <v>370</v>
      </c>
      <c r="B212" s="3" t="s">
        <v>371</v>
      </c>
      <c r="C212" s="3" t="s">
        <v>12</v>
      </c>
      <c r="D212" s="3" t="s">
        <v>372</v>
      </c>
      <c r="E212" s="4"/>
      <c r="F212" s="3">
        <v>1.134465E8</v>
      </c>
      <c r="G212" s="3">
        <v>1.11936E8</v>
      </c>
      <c r="H212" s="3">
        <v>1.05523E8</v>
      </c>
      <c r="I212" s="3">
        <v>8.69465E7</v>
      </c>
      <c r="J212" s="3">
        <v>9.9004E7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7.25" hidden="1" customHeight="1">
      <c r="A213" s="3" t="s">
        <v>373</v>
      </c>
      <c r="B213" s="3" t="s">
        <v>374</v>
      </c>
      <c r="C213" s="3" t="s">
        <v>12</v>
      </c>
      <c r="D213" s="3" t="s">
        <v>87</v>
      </c>
      <c r="E213" s="4"/>
      <c r="F213" s="3">
        <v>4.7911523E7</v>
      </c>
      <c r="G213" s="3">
        <v>7.4581547E7</v>
      </c>
      <c r="H213" s="3">
        <v>7.765984E7</v>
      </c>
      <c r="I213" s="3">
        <v>5.7108083E7</v>
      </c>
      <c r="J213" s="3">
        <v>9.0777711E7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7.25" hidden="1" customHeight="1">
      <c r="A214" s="3" t="s">
        <v>375</v>
      </c>
      <c r="B214" s="3" t="s">
        <v>376</v>
      </c>
      <c r="C214" s="3" t="s">
        <v>12</v>
      </c>
      <c r="D214" s="3" t="s">
        <v>377</v>
      </c>
      <c r="E214" s="4"/>
      <c r="F214" s="3">
        <v>1.68183516E8</v>
      </c>
      <c r="G214" s="3">
        <v>1.40558602E8</v>
      </c>
      <c r="H214" s="3">
        <v>1.02976197E8</v>
      </c>
      <c r="I214" s="3">
        <v>8.8028617E7</v>
      </c>
      <c r="J214" s="3">
        <v>8.9204326E7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7.25" hidden="1" customHeight="1">
      <c r="A215" s="3" t="s">
        <v>378</v>
      </c>
      <c r="B215" s="3" t="s">
        <v>379</v>
      </c>
      <c r="C215" s="3" t="s">
        <v>12</v>
      </c>
      <c r="D215" s="3" t="s">
        <v>380</v>
      </c>
      <c r="E215" s="4"/>
      <c r="F215" s="3">
        <v>2.64907014E8</v>
      </c>
      <c r="G215" s="3">
        <v>2.28661101E8</v>
      </c>
      <c r="H215" s="3">
        <v>1.53041738E8</v>
      </c>
      <c r="I215" s="3">
        <v>7.6930452E7</v>
      </c>
      <c r="J215" s="3">
        <v>7.041091E7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7.25" hidden="1" customHeight="1">
      <c r="A216" s="3" t="s">
        <v>381</v>
      </c>
      <c r="B216" s="3" t="s">
        <v>382</v>
      </c>
      <c r="C216" s="3" t="s">
        <v>20</v>
      </c>
      <c r="D216" s="3" t="s">
        <v>383</v>
      </c>
      <c r="E216" s="4"/>
      <c r="F216" s="3">
        <v>9.451316E7</v>
      </c>
      <c r="G216" s="3">
        <v>1.18256278E8</v>
      </c>
      <c r="H216" s="3">
        <v>1.54304315E8</v>
      </c>
      <c r="I216" s="3">
        <v>1.72669408E8</v>
      </c>
      <c r="J216" s="3">
        <v>6.9308706E7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7.25" hidden="1" customHeight="1">
      <c r="A217" s="3" t="s">
        <v>381</v>
      </c>
      <c r="B217" s="3" t="s">
        <v>382</v>
      </c>
      <c r="C217" s="3" t="s">
        <v>20</v>
      </c>
      <c r="D217" s="3" t="s">
        <v>384</v>
      </c>
      <c r="E217" s="4"/>
      <c r="F217" s="3">
        <v>2.065245E7</v>
      </c>
      <c r="G217" s="3">
        <v>4.0986725E7</v>
      </c>
      <c r="H217" s="3">
        <v>86775.0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7.25" hidden="1" customHeight="1">
      <c r="A218" s="3" t="s">
        <v>385</v>
      </c>
      <c r="B218" s="3" t="s">
        <v>386</v>
      </c>
      <c r="C218" s="3" t="s">
        <v>12</v>
      </c>
      <c r="D218" s="3" t="s">
        <v>387</v>
      </c>
      <c r="E218" s="4"/>
      <c r="F218" s="3">
        <v>9.6672345E7</v>
      </c>
      <c r="G218" s="3">
        <v>9.4412472E7</v>
      </c>
      <c r="H218" s="3">
        <v>7.0558257E7</v>
      </c>
      <c r="I218" s="3">
        <v>8.1127158E7</v>
      </c>
      <c r="J218" s="3">
        <v>6.9234291E7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7.25" hidden="1" customHeight="1">
      <c r="A219" s="3" t="s">
        <v>388</v>
      </c>
      <c r="B219" s="3" t="s">
        <v>389</v>
      </c>
      <c r="C219" s="3" t="s">
        <v>12</v>
      </c>
      <c r="D219" s="3" t="s">
        <v>390</v>
      </c>
      <c r="E219" s="4"/>
      <c r="F219" s="3">
        <v>1.11427078E8</v>
      </c>
      <c r="G219" s="3">
        <v>6.0995831E7</v>
      </c>
      <c r="H219" s="3">
        <v>6.2409485E7</v>
      </c>
      <c r="I219" s="3">
        <v>8.0361554E7</v>
      </c>
      <c r="J219" s="3">
        <v>6.4675936E7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7.25" hidden="1" customHeight="1">
      <c r="A220" s="3" t="s">
        <v>391</v>
      </c>
      <c r="B220" s="3" t="s">
        <v>392</v>
      </c>
      <c r="C220" s="3" t="s">
        <v>20</v>
      </c>
      <c r="D220" s="3" t="s">
        <v>393</v>
      </c>
      <c r="E220" s="4"/>
      <c r="F220" s="3"/>
      <c r="G220" s="3">
        <v>3.2995571E7</v>
      </c>
      <c r="H220" s="3">
        <v>7.7018403E7</v>
      </c>
      <c r="I220" s="3">
        <v>1.85E7</v>
      </c>
      <c r="J220" s="3">
        <v>6.3E7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7.25" hidden="1" customHeight="1">
      <c r="A221" s="3" t="s">
        <v>394</v>
      </c>
      <c r="B221" s="3" t="s">
        <v>395</v>
      </c>
      <c r="C221" s="3" t="s">
        <v>20</v>
      </c>
      <c r="D221" s="3" t="s">
        <v>396</v>
      </c>
      <c r="E221" s="4"/>
      <c r="F221" s="3">
        <v>1.1134794E8</v>
      </c>
      <c r="G221" s="3">
        <v>1.1794068E8</v>
      </c>
      <c r="H221" s="3">
        <v>9.371142E7</v>
      </c>
      <c r="I221" s="3">
        <v>8.53875E7</v>
      </c>
      <c r="J221" s="3">
        <v>6.07101E7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7.25" hidden="1" customHeight="1">
      <c r="A222" s="3" t="s">
        <v>397</v>
      </c>
      <c r="B222" s="3" t="s">
        <v>398</v>
      </c>
      <c r="C222" s="3" t="s">
        <v>12</v>
      </c>
      <c r="D222" s="3" t="s">
        <v>399</v>
      </c>
      <c r="E222" s="4"/>
      <c r="F222" s="3">
        <v>6.550969E7</v>
      </c>
      <c r="G222" s="3">
        <v>6.308789E7</v>
      </c>
      <c r="H222" s="3">
        <v>5.969737E7</v>
      </c>
      <c r="I222" s="3">
        <v>5.6488485E7</v>
      </c>
      <c r="J222" s="3">
        <v>5.969737E7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7.25" hidden="1" customHeight="1">
      <c r="A223" s="3" t="s">
        <v>400</v>
      </c>
      <c r="B223" s="3" t="s">
        <v>401</v>
      </c>
      <c r="C223" s="3" t="s">
        <v>20</v>
      </c>
      <c r="D223" s="3" t="s">
        <v>402</v>
      </c>
      <c r="E223" s="4"/>
      <c r="F223" s="3"/>
      <c r="G223" s="3">
        <v>1.2294225E8</v>
      </c>
      <c r="H223" s="3">
        <v>1.04739525E8</v>
      </c>
      <c r="I223" s="3">
        <v>7.027479E7</v>
      </c>
      <c r="J223" s="3">
        <v>4.9454145E7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7.25" hidden="1" customHeight="1">
      <c r="A224" s="3" t="s">
        <v>403</v>
      </c>
      <c r="B224" s="3" t="s">
        <v>404</v>
      </c>
      <c r="C224" s="3" t="s">
        <v>20</v>
      </c>
      <c r="D224" s="3" t="s">
        <v>405</v>
      </c>
      <c r="E224" s="4"/>
      <c r="F224" s="3">
        <v>2.7943518E8</v>
      </c>
      <c r="G224" s="3">
        <v>2.45516125E8</v>
      </c>
      <c r="H224" s="3">
        <v>1.262165E8</v>
      </c>
      <c r="I224" s="3">
        <v>6.8097984E7</v>
      </c>
      <c r="J224" s="3">
        <v>4.7139456E7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7.25" hidden="1" customHeight="1">
      <c r="A225" s="3" t="s">
        <v>406</v>
      </c>
      <c r="B225" s="3" t="s">
        <v>407</v>
      </c>
      <c r="C225" s="3" t="s">
        <v>12</v>
      </c>
      <c r="D225" s="3" t="s">
        <v>408</v>
      </c>
      <c r="E225" s="4"/>
      <c r="F225" s="3">
        <v>6.18955707E8</v>
      </c>
      <c r="G225" s="3">
        <v>6.69001146E8</v>
      </c>
      <c r="H225" s="3">
        <v>5.65665291E8</v>
      </c>
      <c r="I225" s="3">
        <v>7.0949374E7</v>
      </c>
      <c r="J225" s="3">
        <v>3.6804536E7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7.25" hidden="1" customHeight="1">
      <c r="A226" s="3" t="s">
        <v>409</v>
      </c>
      <c r="B226" s="3" t="s">
        <v>410</v>
      </c>
      <c r="C226" s="3" t="s">
        <v>20</v>
      </c>
      <c r="D226" s="3" t="s">
        <v>411</v>
      </c>
      <c r="E226" s="4"/>
      <c r="F226" s="3"/>
      <c r="G226" s="3"/>
      <c r="H226" s="3"/>
      <c r="I226" s="3">
        <v>5.3428895E7</v>
      </c>
      <c r="J226" s="3">
        <v>3.0038349E7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7.25" hidden="1" customHeight="1">
      <c r="A227" s="3" t="s">
        <v>412</v>
      </c>
      <c r="B227" s="3" t="s">
        <v>413</v>
      </c>
      <c r="C227" s="3" t="s">
        <v>12</v>
      </c>
      <c r="D227" s="3" t="s">
        <v>414</v>
      </c>
      <c r="E227" s="4"/>
      <c r="F227" s="3">
        <v>6.2181162E7</v>
      </c>
      <c r="G227" s="3">
        <v>6.8577354E7</v>
      </c>
      <c r="H227" s="3">
        <v>6.0129858E7</v>
      </c>
      <c r="I227" s="3">
        <v>3.4512786E7</v>
      </c>
      <c r="J227" s="3">
        <v>2.9700836E7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7.25" hidden="1" customHeight="1">
      <c r="A228" s="3" t="s">
        <v>415</v>
      </c>
      <c r="B228" s="3" t="s">
        <v>416</v>
      </c>
      <c r="C228" s="3" t="s">
        <v>12</v>
      </c>
      <c r="D228" s="3" t="s">
        <v>417</v>
      </c>
      <c r="E228" s="4"/>
      <c r="F228" s="3">
        <v>8.2429652E7</v>
      </c>
      <c r="G228" s="3">
        <v>6.3188042E7</v>
      </c>
      <c r="H228" s="3">
        <v>5.1644506E7</v>
      </c>
      <c r="I228" s="3">
        <v>3.9959906E7</v>
      </c>
      <c r="J228" s="3">
        <v>2.9322132E7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7.25" customHeight="1">
      <c r="A229" s="3" t="s">
        <v>418</v>
      </c>
      <c r="B229" s="3" t="s">
        <v>419</v>
      </c>
      <c r="C229" s="3" t="s">
        <v>20</v>
      </c>
      <c r="D229" s="3" t="s">
        <v>420</v>
      </c>
      <c r="E229" s="4" t="s">
        <v>24</v>
      </c>
      <c r="F229" s="3"/>
      <c r="G229" s="3"/>
      <c r="H229" s="3"/>
      <c r="I229" s="3"/>
      <c r="J229" s="3">
        <v>2.7923038E7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7.25" hidden="1" customHeight="1">
      <c r="A230" s="3" t="s">
        <v>421</v>
      </c>
      <c r="B230" s="3" t="s">
        <v>422</v>
      </c>
      <c r="C230" s="3" t="s">
        <v>12</v>
      </c>
      <c r="D230" s="3" t="s">
        <v>210</v>
      </c>
      <c r="E230" s="4"/>
      <c r="F230" s="3">
        <v>2.61402E7</v>
      </c>
      <c r="G230" s="3">
        <v>2.66589E7</v>
      </c>
      <c r="H230" s="3">
        <v>2.6053275E7</v>
      </c>
      <c r="I230" s="3">
        <v>2.0786475E7</v>
      </c>
      <c r="J230" s="3">
        <v>2.19963E7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7.25" hidden="1" customHeight="1">
      <c r="A231" s="3" t="s">
        <v>423</v>
      </c>
      <c r="B231" s="3" t="s">
        <v>424</v>
      </c>
      <c r="C231" s="3" t="s">
        <v>20</v>
      </c>
      <c r="D231" s="3" t="s">
        <v>425</v>
      </c>
      <c r="E231" s="4"/>
      <c r="F231" s="3">
        <v>3.9473122E7</v>
      </c>
      <c r="G231" s="3">
        <v>4.4936813E7</v>
      </c>
      <c r="H231" s="3">
        <v>3.6991279E7</v>
      </c>
      <c r="I231" s="3">
        <v>4000040.0</v>
      </c>
      <c r="J231" s="3">
        <v>1.582E7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7.25" hidden="1" customHeight="1">
      <c r="A232" s="3" t="s">
        <v>426</v>
      </c>
      <c r="B232" s="3" t="s">
        <v>427</v>
      </c>
      <c r="C232" s="3" t="s">
        <v>12</v>
      </c>
      <c r="D232" s="3" t="s">
        <v>428</v>
      </c>
      <c r="E232" s="4"/>
      <c r="F232" s="3">
        <v>3.59911196E8</v>
      </c>
      <c r="G232" s="3">
        <v>1.9516251E8</v>
      </c>
      <c r="H232" s="3">
        <v>9.7994439E7</v>
      </c>
      <c r="I232" s="3">
        <v>6.1119806E7</v>
      </c>
      <c r="J232" s="3">
        <v>1.2430125E7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7.25" hidden="1" customHeight="1">
      <c r="A233" s="3" t="s">
        <v>429</v>
      </c>
      <c r="B233" s="3" t="s">
        <v>430</v>
      </c>
      <c r="C233" s="3" t="s">
        <v>20</v>
      </c>
      <c r="D233" s="3" t="s">
        <v>431</v>
      </c>
      <c r="E233" s="4"/>
      <c r="F233" s="3">
        <v>7.20898E7</v>
      </c>
      <c r="G233" s="3">
        <v>1.03691132E8</v>
      </c>
      <c r="H233" s="3">
        <v>1.2042542E8</v>
      </c>
      <c r="I233" s="3">
        <v>1.5765212E7</v>
      </c>
      <c r="J233" s="3">
        <v>8863500.0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7.25" hidden="1" customHeight="1">
      <c r="A234" s="3" t="s">
        <v>432</v>
      </c>
      <c r="B234" s="3" t="s">
        <v>433</v>
      </c>
      <c r="C234" s="3" t="s">
        <v>12</v>
      </c>
      <c r="D234" s="3" t="s">
        <v>434</v>
      </c>
      <c r="E234" s="4"/>
      <c r="F234" s="3">
        <v>8.9827811E8</v>
      </c>
      <c r="G234" s="3">
        <v>8.7549734E8</v>
      </c>
      <c r="H234" s="3">
        <v>9.82308009E8</v>
      </c>
      <c r="I234" s="3">
        <v>2.07870863E8</v>
      </c>
      <c r="J234" s="3">
        <v>2641910.0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7.25" hidden="1" customHeight="1">
      <c r="A235" s="3" t="s">
        <v>435</v>
      </c>
      <c r="B235" s="3" t="s">
        <v>436</v>
      </c>
      <c r="C235" s="3" t="s">
        <v>12</v>
      </c>
      <c r="D235" s="3" t="s">
        <v>437</v>
      </c>
      <c r="E235" s="4"/>
      <c r="F235" s="3"/>
      <c r="G235" s="3"/>
      <c r="H235" s="3"/>
      <c r="I235" s="3"/>
      <c r="J235" s="3">
        <v>881859.0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7.25" hidden="1" customHeight="1">
      <c r="A236" s="3" t="s">
        <v>438</v>
      </c>
      <c r="B236" s="3" t="s">
        <v>439</v>
      </c>
      <c r="C236" s="3" t="s">
        <v>20</v>
      </c>
      <c r="D236" s="3" t="s">
        <v>255</v>
      </c>
      <c r="E236" s="4"/>
      <c r="F236" s="3">
        <v>3.252E7</v>
      </c>
      <c r="G236" s="3">
        <v>2.7372E7</v>
      </c>
      <c r="H236" s="3">
        <v>3700000.0</v>
      </c>
      <c r="I236" s="3">
        <v>1220000.0</v>
      </c>
      <c r="J236" s="3">
        <v>812000.0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7.25" hidden="1" customHeight="1">
      <c r="A237" s="3" t="s">
        <v>440</v>
      </c>
      <c r="B237" s="3" t="s">
        <v>441</v>
      </c>
      <c r="C237" s="3" t="s">
        <v>12</v>
      </c>
      <c r="D237" s="3" t="s">
        <v>442</v>
      </c>
      <c r="E237" s="4"/>
      <c r="F237" s="3"/>
      <c r="G237" s="3"/>
      <c r="H237" s="3"/>
      <c r="I237" s="3"/>
      <c r="J237" s="3">
        <v>445667.0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7.25" hidden="1" customHeight="1">
      <c r="A238" s="3" t="s">
        <v>443</v>
      </c>
      <c r="B238" s="3" t="s">
        <v>444</v>
      </c>
      <c r="C238" s="3" t="s">
        <v>20</v>
      </c>
      <c r="D238" s="3" t="s">
        <v>445</v>
      </c>
      <c r="E238" s="4"/>
      <c r="F238" s="3">
        <v>3.8454084E7</v>
      </c>
      <c r="G238" s="3">
        <v>3.3431417E7</v>
      </c>
      <c r="H238" s="3">
        <v>2.36123308E8</v>
      </c>
      <c r="I238" s="3">
        <v>5.55282E7</v>
      </c>
      <c r="J238" s="3">
        <v>300300.0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7.25" hidden="1" customHeight="1">
      <c r="A239" s="3" t="s">
        <v>446</v>
      </c>
      <c r="B239" s="3" t="s">
        <v>447</v>
      </c>
      <c r="C239" s="3" t="s">
        <v>12</v>
      </c>
      <c r="D239" s="3" t="s">
        <v>448</v>
      </c>
      <c r="E239" s="4"/>
      <c r="F239" s="3">
        <v>3.3993639E8</v>
      </c>
      <c r="G239" s="3">
        <v>2.81663055E8</v>
      </c>
      <c r="H239" s="3">
        <v>1.25486388E8</v>
      </c>
      <c r="I239" s="3">
        <v>1.2305016E7</v>
      </c>
      <c r="J239" s="3">
        <v>196137.0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7.25" hidden="1" customHeight="1">
      <c r="A240" s="3" t="s">
        <v>446</v>
      </c>
      <c r="B240" s="3" t="s">
        <v>447</v>
      </c>
      <c r="C240" s="3" t="s">
        <v>20</v>
      </c>
      <c r="D240" s="3" t="s">
        <v>448</v>
      </c>
      <c r="E240" s="4"/>
      <c r="F240" s="3">
        <v>1.09350969E8</v>
      </c>
      <c r="G240" s="3">
        <v>1.01822343E8</v>
      </c>
      <c r="H240" s="3">
        <v>2.7713399E7</v>
      </c>
      <c r="I240" s="3">
        <v>449239.0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7.25" hidden="1" customHeight="1">
      <c r="A241" s="3" t="s">
        <v>449</v>
      </c>
      <c r="B241" s="3" t="s">
        <v>450</v>
      </c>
      <c r="C241" s="3" t="s">
        <v>20</v>
      </c>
      <c r="D241" s="3" t="s">
        <v>451</v>
      </c>
      <c r="E241" s="4"/>
      <c r="F241" s="3">
        <v>457348.0</v>
      </c>
      <c r="G241" s="3">
        <v>893424.0</v>
      </c>
      <c r="H241" s="3">
        <v>1329500.0</v>
      </c>
      <c r="I241" s="3">
        <v>1138052.0</v>
      </c>
      <c r="J241" s="3">
        <v>148904.0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7.25" hidden="1" customHeight="1">
      <c r="A242" s="3" t="s">
        <v>449</v>
      </c>
      <c r="B242" s="3" t="s">
        <v>450</v>
      </c>
      <c r="C242" s="3" t="s">
        <v>20</v>
      </c>
      <c r="D242" s="3" t="s">
        <v>452</v>
      </c>
      <c r="E242" s="4"/>
      <c r="F242" s="3">
        <v>9.417176E7</v>
      </c>
      <c r="G242" s="3">
        <v>4.6811153E7</v>
      </c>
      <c r="H242" s="3">
        <v>3.94886E7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7.25" hidden="1" customHeight="1">
      <c r="A243" s="3" t="s">
        <v>453</v>
      </c>
      <c r="B243" s="3" t="s">
        <v>454</v>
      </c>
      <c r="C243" s="3" t="s">
        <v>20</v>
      </c>
      <c r="D243" s="3" t="s">
        <v>455</v>
      </c>
      <c r="E243" s="4"/>
      <c r="F243" s="3">
        <v>507000.0</v>
      </c>
      <c r="G243" s="3">
        <v>416000.0</v>
      </c>
      <c r="H243" s="3">
        <v>591500.0</v>
      </c>
      <c r="I243" s="3">
        <v>71500.0</v>
      </c>
      <c r="J243" s="3">
        <v>39000.0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7.25" hidden="1" customHeight="1">
      <c r="A244" s="3" t="s">
        <v>456</v>
      </c>
      <c r="B244" s="3" t="s">
        <v>457</v>
      </c>
      <c r="C244" s="3" t="s">
        <v>20</v>
      </c>
      <c r="D244" s="3" t="s">
        <v>458</v>
      </c>
      <c r="E244" s="4"/>
      <c r="F244" s="3">
        <v>3.8717216E7</v>
      </c>
      <c r="G244" s="3">
        <v>2.3211744E7</v>
      </c>
      <c r="H244" s="3">
        <v>3.5312267E7</v>
      </c>
      <c r="I244" s="3">
        <v>2.167696E7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7.25" hidden="1" customHeight="1">
      <c r="A245" s="3" t="s">
        <v>459</v>
      </c>
      <c r="B245" s="3" t="s">
        <v>460</v>
      </c>
      <c r="C245" s="3" t="s">
        <v>20</v>
      </c>
      <c r="D245" s="3" t="s">
        <v>461</v>
      </c>
      <c r="E245" s="4"/>
      <c r="F245" s="3"/>
      <c r="G245" s="3"/>
      <c r="H245" s="3">
        <v>2100.0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7.25" hidden="1" customHeight="1">
      <c r="A246" s="3" t="s">
        <v>462</v>
      </c>
      <c r="B246" s="3" t="s">
        <v>463</v>
      </c>
      <c r="C246" s="3" t="s">
        <v>20</v>
      </c>
      <c r="D246" s="3" t="s">
        <v>464</v>
      </c>
      <c r="E246" s="4"/>
      <c r="F246" s="3">
        <v>5113248.0</v>
      </c>
      <c r="G246" s="3">
        <v>684810.0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7.25" hidden="1" customHeight="1">
      <c r="A247" s="3" t="s">
        <v>465</v>
      </c>
      <c r="B247" s="3" t="s">
        <v>466</v>
      </c>
      <c r="C247" s="3" t="s">
        <v>12</v>
      </c>
      <c r="D247" s="3" t="s">
        <v>467</v>
      </c>
      <c r="E247" s="4"/>
      <c r="F247" s="3"/>
      <c r="G247" s="3">
        <v>1.4526932E7</v>
      </c>
      <c r="H247" s="3">
        <v>4.2652981E7</v>
      </c>
      <c r="I247" s="3">
        <v>821779.0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7.25" hidden="1" customHeight="1">
      <c r="A248" s="3" t="s">
        <v>468</v>
      </c>
      <c r="B248" s="3" t="s">
        <v>469</v>
      </c>
      <c r="C248" s="3" t="s">
        <v>20</v>
      </c>
      <c r="D248" s="3" t="s">
        <v>470</v>
      </c>
      <c r="E248" s="4"/>
      <c r="F248" s="3">
        <v>4.0228032E7</v>
      </c>
      <c r="G248" s="3">
        <v>7.695315E7</v>
      </c>
      <c r="H248" s="3">
        <v>5.1591115E7</v>
      </c>
      <c r="I248" s="3">
        <v>3.583888E7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7.25" hidden="1" customHeight="1">
      <c r="A249" s="3" t="s">
        <v>471</v>
      </c>
      <c r="B249" s="3" t="s">
        <v>472</v>
      </c>
      <c r="C249" s="3" t="s">
        <v>20</v>
      </c>
      <c r="D249" s="3" t="s">
        <v>473</v>
      </c>
      <c r="E249" s="4"/>
      <c r="F249" s="3">
        <v>1.266730982E9</v>
      </c>
      <c r="G249" s="3">
        <v>4.9134095E8</v>
      </c>
      <c r="H249" s="3">
        <v>5.2636494E7</v>
      </c>
      <c r="I249" s="3">
        <v>821630.0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7.25" hidden="1" customHeight="1">
      <c r="A250" s="3" t="s">
        <v>474</v>
      </c>
      <c r="B250" s="3" t="s">
        <v>475</v>
      </c>
      <c r="C250" s="3" t="s">
        <v>20</v>
      </c>
      <c r="D250" s="3" t="s">
        <v>476</v>
      </c>
      <c r="E250" s="4"/>
      <c r="F250" s="3">
        <v>7.45547576E8</v>
      </c>
      <c r="G250" s="3">
        <v>4.55180016E8</v>
      </c>
      <c r="H250" s="3">
        <v>3934288.0</v>
      </c>
      <c r="I250" s="3">
        <v>898044.0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7.25" hidden="1" customHeight="1">
      <c r="A251" s="3" t="s">
        <v>474</v>
      </c>
      <c r="B251" s="3" t="s">
        <v>475</v>
      </c>
      <c r="C251" s="3" t="s">
        <v>20</v>
      </c>
      <c r="D251" s="3" t="s">
        <v>477</v>
      </c>
      <c r="E251" s="4"/>
      <c r="F251" s="3">
        <v>6.2549372E7</v>
      </c>
      <c r="G251" s="3">
        <v>3.8163054E7</v>
      </c>
      <c r="H251" s="3">
        <v>28472.0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7.25" hidden="1" customHeight="1">
      <c r="A252" s="3" t="s">
        <v>478</v>
      </c>
      <c r="B252" s="3" t="s">
        <v>479</v>
      </c>
      <c r="C252" s="3" t="s">
        <v>20</v>
      </c>
      <c r="D252" s="3" t="s">
        <v>480</v>
      </c>
      <c r="E252" s="4"/>
      <c r="F252" s="3">
        <v>1.93395223E8</v>
      </c>
      <c r="G252" s="3">
        <v>3.01486212E8</v>
      </c>
      <c r="H252" s="3">
        <v>2.5182532E8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7.25" hidden="1" customHeight="1">
      <c r="A253" s="3" t="s">
        <v>481</v>
      </c>
      <c r="B253" s="3" t="s">
        <v>482</v>
      </c>
      <c r="C253" s="3" t="s">
        <v>20</v>
      </c>
      <c r="D253" s="3" t="s">
        <v>483</v>
      </c>
      <c r="E253" s="4"/>
      <c r="F253" s="3"/>
      <c r="G253" s="3"/>
      <c r="H253" s="3">
        <v>334499.0</v>
      </c>
      <c r="I253" s="3">
        <v>30409.0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7.25" hidden="1" customHeight="1">
      <c r="A254" s="3" t="s">
        <v>484</v>
      </c>
      <c r="B254" s="3" t="s">
        <v>485</v>
      </c>
      <c r="C254" s="3" t="s">
        <v>20</v>
      </c>
      <c r="D254" s="3" t="s">
        <v>486</v>
      </c>
      <c r="E254" s="4"/>
      <c r="F254" s="3">
        <v>5355375.0</v>
      </c>
      <c r="G254" s="3">
        <v>509075.0</v>
      </c>
      <c r="H254" s="3">
        <v>9236.0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7.25" hidden="1" customHeight="1">
      <c r="A255" s="3" t="s">
        <v>487</v>
      </c>
      <c r="B255" s="3" t="s">
        <v>488</v>
      </c>
      <c r="C255" s="3" t="s">
        <v>20</v>
      </c>
      <c r="D255" s="3" t="s">
        <v>489</v>
      </c>
      <c r="E255" s="4"/>
      <c r="F255" s="3">
        <v>645000.0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7.25" hidden="1" customHeight="1">
      <c r="A256" s="3" t="s">
        <v>490</v>
      </c>
      <c r="B256" s="3" t="s">
        <v>491</v>
      </c>
      <c r="C256" s="3" t="s">
        <v>20</v>
      </c>
      <c r="D256" s="3" t="s">
        <v>492</v>
      </c>
      <c r="E256" s="4"/>
      <c r="F256" s="3">
        <v>1.650773E7</v>
      </c>
      <c r="G256" s="3">
        <v>1.712936E7</v>
      </c>
      <c r="H256" s="3">
        <v>1.823448E7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7.25" hidden="1" customHeight="1">
      <c r="A257" s="3" t="s">
        <v>493</v>
      </c>
      <c r="B257" s="3" t="s">
        <v>494</v>
      </c>
      <c r="C257" s="3" t="s">
        <v>20</v>
      </c>
      <c r="D257" s="3" t="s">
        <v>495</v>
      </c>
      <c r="E257" s="4"/>
      <c r="F257" s="3">
        <v>2.06660355E8</v>
      </c>
      <c r="G257" s="3">
        <v>8.0086345E7</v>
      </c>
      <c r="H257" s="3">
        <v>920088.0</v>
      </c>
      <c r="I257" s="3">
        <v>110195.0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7.25" hidden="1" customHeight="1">
      <c r="A258" s="3" t="s">
        <v>496</v>
      </c>
      <c r="B258" s="3"/>
      <c r="C258" s="3"/>
      <c r="D258" s="3"/>
      <c r="E258" s="4"/>
      <c r="F258" s="3">
        <f t="shared" ref="F258:J258" si="1">SUM(F2:F257)</f>
        <v>478048658419</v>
      </c>
      <c r="G258" s="3">
        <f t="shared" si="1"/>
        <v>518355175417</v>
      </c>
      <c r="H258" s="3">
        <f t="shared" si="1"/>
        <v>565548018489</v>
      </c>
      <c r="I258" s="3">
        <f t="shared" si="1"/>
        <v>562745360347</v>
      </c>
      <c r="J258" s="3">
        <f t="shared" si="1"/>
        <v>600598651369</v>
      </c>
      <c r="K258" s="5" t="s">
        <v>497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7.25" customHeight="1">
      <c r="A259" s="3"/>
      <c r="B259" s="3"/>
      <c r="C259" s="3"/>
      <c r="D259" s="3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7.25" customHeight="1">
      <c r="A260" s="3"/>
      <c r="B260" s="3"/>
      <c r="C260" s="3"/>
      <c r="D260" s="3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7.25" customHeight="1">
      <c r="A261" s="3"/>
      <c r="B261" s="3"/>
      <c r="C261" s="3"/>
      <c r="D261" s="3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7.25" customHeight="1">
      <c r="A262" s="3"/>
      <c r="B262" s="3"/>
      <c r="C262" s="3"/>
      <c r="D262" s="3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7.25" customHeight="1">
      <c r="A263" s="3"/>
      <c r="B263" s="3"/>
      <c r="C263" s="3"/>
      <c r="D263" s="3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7.25" customHeight="1">
      <c r="A264" s="3"/>
      <c r="B264" s="3"/>
      <c r="C264" s="3"/>
      <c r="D264" s="3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7.25" customHeight="1">
      <c r="A265" s="3"/>
      <c r="B265" s="3"/>
      <c r="C265" s="3"/>
      <c r="D265" s="3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7.25" customHeight="1">
      <c r="A266" s="3"/>
      <c r="B266" s="3"/>
      <c r="C266" s="3"/>
      <c r="D266" s="3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7.25" customHeight="1">
      <c r="A267" s="3"/>
      <c r="B267" s="3"/>
      <c r="C267" s="3"/>
      <c r="D267" s="3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7.25" customHeight="1">
      <c r="A268" s="3"/>
      <c r="B268" s="3"/>
      <c r="C268" s="3"/>
      <c r="D268" s="3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7.25" customHeight="1">
      <c r="A269" s="3"/>
      <c r="B269" s="3"/>
      <c r="C269" s="3"/>
      <c r="D269" s="3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7.25" customHeight="1">
      <c r="A270" s="3"/>
      <c r="B270" s="3"/>
      <c r="C270" s="3"/>
      <c r="D270" s="3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7.25" customHeight="1">
      <c r="A271" s="3"/>
      <c r="B271" s="3"/>
      <c r="C271" s="3"/>
      <c r="D271" s="3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7.25" customHeight="1">
      <c r="A272" s="3"/>
      <c r="B272" s="3"/>
      <c r="C272" s="3"/>
      <c r="D272" s="3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7.25" customHeight="1">
      <c r="A273" s="3"/>
      <c r="B273" s="3"/>
      <c r="C273" s="3"/>
      <c r="D273" s="3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7.25" customHeight="1">
      <c r="A274" s="3"/>
      <c r="B274" s="3"/>
      <c r="C274" s="3"/>
      <c r="D274" s="3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7.25" customHeight="1">
      <c r="A275" s="3"/>
      <c r="B275" s="3"/>
      <c r="C275" s="3"/>
      <c r="D275" s="3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7.25" customHeight="1">
      <c r="A276" s="3"/>
      <c r="B276" s="3"/>
      <c r="C276" s="3"/>
      <c r="D276" s="3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7.25" customHeight="1">
      <c r="A277" s="3"/>
      <c r="B277" s="3"/>
      <c r="C277" s="3"/>
      <c r="D277" s="3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7.25" customHeight="1">
      <c r="A278" s="3"/>
      <c r="B278" s="3"/>
      <c r="C278" s="3"/>
      <c r="D278" s="3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7.25" customHeight="1">
      <c r="A279" s="3"/>
      <c r="B279" s="3"/>
      <c r="C279" s="3"/>
      <c r="D279" s="3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7.25" customHeight="1">
      <c r="A280" s="3"/>
      <c r="B280" s="3"/>
      <c r="C280" s="3"/>
      <c r="D280" s="3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7.25" customHeight="1">
      <c r="A281" s="3"/>
      <c r="B281" s="3"/>
      <c r="C281" s="3"/>
      <c r="D281" s="3"/>
      <c r="E281" s="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7.25" customHeight="1">
      <c r="A282" s="3"/>
      <c r="B282" s="3"/>
      <c r="C282" s="3"/>
      <c r="D282" s="3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7.25" customHeight="1">
      <c r="A283" s="3"/>
      <c r="B283" s="3"/>
      <c r="C283" s="3"/>
      <c r="D283" s="3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7.25" customHeight="1">
      <c r="A284" s="3"/>
      <c r="B284" s="3"/>
      <c r="C284" s="3"/>
      <c r="D284" s="3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7.25" customHeight="1">
      <c r="A285" s="3"/>
      <c r="B285" s="3"/>
      <c r="C285" s="3"/>
      <c r="D285" s="3"/>
      <c r="E285" s="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7.25" customHeight="1">
      <c r="A286" s="3"/>
      <c r="B286" s="3"/>
      <c r="C286" s="3"/>
      <c r="D286" s="3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7.25" customHeight="1">
      <c r="A287" s="3"/>
      <c r="B287" s="3"/>
      <c r="C287" s="3"/>
      <c r="D287" s="3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7.25" customHeight="1">
      <c r="A288" s="3"/>
      <c r="B288" s="3"/>
      <c r="C288" s="3"/>
      <c r="D288" s="3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7.25" customHeight="1">
      <c r="A289" s="3"/>
      <c r="B289" s="3"/>
      <c r="C289" s="3"/>
      <c r="D289" s="3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7.25" customHeight="1">
      <c r="A290" s="3"/>
      <c r="B290" s="3"/>
      <c r="C290" s="3"/>
      <c r="D290" s="3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7.25" customHeight="1">
      <c r="A291" s="3"/>
      <c r="B291" s="3"/>
      <c r="C291" s="3"/>
      <c r="D291" s="3"/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7.25" customHeight="1">
      <c r="A292" s="3"/>
      <c r="B292" s="3"/>
      <c r="C292" s="3"/>
      <c r="D292" s="3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7.25" customHeight="1">
      <c r="A293" s="3"/>
      <c r="B293" s="3"/>
      <c r="C293" s="3"/>
      <c r="D293" s="3"/>
      <c r="E293" s="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7.25" customHeight="1">
      <c r="A294" s="3"/>
      <c r="B294" s="3"/>
      <c r="C294" s="3"/>
      <c r="D294" s="3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7.25" customHeight="1">
      <c r="A295" s="3"/>
      <c r="B295" s="3"/>
      <c r="C295" s="3"/>
      <c r="D295" s="3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7.25" customHeight="1">
      <c r="A296" s="3"/>
      <c r="B296" s="3"/>
      <c r="C296" s="3"/>
      <c r="D296" s="3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7.25" customHeight="1">
      <c r="A297" s="3"/>
      <c r="B297" s="3"/>
      <c r="C297" s="3"/>
      <c r="D297" s="3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7.25" customHeight="1">
      <c r="A298" s="3"/>
      <c r="B298" s="3"/>
      <c r="C298" s="3"/>
      <c r="D298" s="3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7.25" customHeight="1">
      <c r="A299" s="3"/>
      <c r="B299" s="3"/>
      <c r="C299" s="3"/>
      <c r="D299" s="3"/>
      <c r="E299" s="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7.25" customHeight="1">
      <c r="A300" s="3"/>
      <c r="B300" s="3"/>
      <c r="C300" s="3"/>
      <c r="D300" s="3"/>
      <c r="E300" s="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7.25" customHeight="1">
      <c r="A301" s="3"/>
      <c r="B301" s="3"/>
      <c r="C301" s="3"/>
      <c r="D301" s="3"/>
      <c r="E301" s="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7.25" customHeight="1">
      <c r="A302" s="3"/>
      <c r="B302" s="3"/>
      <c r="C302" s="3"/>
      <c r="D302" s="3"/>
      <c r="E302" s="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7.25" customHeight="1">
      <c r="A303" s="3"/>
      <c r="B303" s="3"/>
      <c r="C303" s="3"/>
      <c r="D303" s="3"/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7.25" customHeight="1">
      <c r="A304" s="3"/>
      <c r="B304" s="3"/>
      <c r="C304" s="3"/>
      <c r="D304" s="3"/>
      <c r="E304" s="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7.25" customHeight="1">
      <c r="A305" s="3"/>
      <c r="B305" s="3"/>
      <c r="C305" s="3"/>
      <c r="D305" s="3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7.25" customHeight="1">
      <c r="A306" s="3"/>
      <c r="B306" s="3"/>
      <c r="C306" s="3"/>
      <c r="D306" s="3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7.25" customHeight="1">
      <c r="A307" s="3"/>
      <c r="B307" s="3"/>
      <c r="C307" s="3"/>
      <c r="D307" s="3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7.25" customHeight="1">
      <c r="A308" s="3"/>
      <c r="B308" s="3"/>
      <c r="C308" s="3"/>
      <c r="D308" s="3"/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7.25" customHeight="1">
      <c r="A309" s="3"/>
      <c r="B309" s="3"/>
      <c r="C309" s="3"/>
      <c r="D309" s="3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7.25" customHeight="1">
      <c r="A310" s="3"/>
      <c r="B310" s="3"/>
      <c r="C310" s="3"/>
      <c r="D310" s="3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7.25" customHeight="1">
      <c r="A311" s="3"/>
      <c r="B311" s="3"/>
      <c r="C311" s="3"/>
      <c r="D311" s="3"/>
      <c r="E311" s="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7.25" customHeight="1">
      <c r="A312" s="3"/>
      <c r="B312" s="3"/>
      <c r="C312" s="3"/>
      <c r="D312" s="3"/>
      <c r="E312" s="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7.25" customHeight="1">
      <c r="A313" s="3"/>
      <c r="B313" s="3"/>
      <c r="C313" s="3"/>
      <c r="D313" s="3"/>
      <c r="E313" s="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7.25" customHeight="1">
      <c r="A314" s="3"/>
      <c r="B314" s="3"/>
      <c r="C314" s="3"/>
      <c r="D314" s="3"/>
      <c r="E314" s="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7.25" customHeight="1">
      <c r="A315" s="3"/>
      <c r="B315" s="3"/>
      <c r="C315" s="3"/>
      <c r="D315" s="3"/>
      <c r="E315" s="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7.25" customHeight="1">
      <c r="A316" s="3"/>
      <c r="B316" s="3"/>
      <c r="C316" s="3"/>
      <c r="D316" s="3"/>
      <c r="E316" s="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7.25" customHeight="1">
      <c r="A317" s="3"/>
      <c r="B317" s="3"/>
      <c r="C317" s="3"/>
      <c r="D317" s="3"/>
      <c r="E317" s="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7.25" customHeight="1">
      <c r="A318" s="3"/>
      <c r="B318" s="3"/>
      <c r="C318" s="3"/>
      <c r="D318" s="3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7.25" customHeight="1">
      <c r="A319" s="3"/>
      <c r="B319" s="3"/>
      <c r="C319" s="3"/>
      <c r="D319" s="3"/>
      <c r="E319" s="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7.25" customHeight="1">
      <c r="A320" s="3"/>
      <c r="B320" s="3"/>
      <c r="C320" s="3"/>
      <c r="D320" s="3"/>
      <c r="E320" s="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7.25" customHeight="1">
      <c r="A321" s="3"/>
      <c r="B321" s="3"/>
      <c r="C321" s="3"/>
      <c r="D321" s="3"/>
      <c r="E321" s="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7.25" customHeight="1">
      <c r="A322" s="3"/>
      <c r="B322" s="3"/>
      <c r="C322" s="3"/>
      <c r="D322" s="3"/>
      <c r="E322" s="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7.25" customHeight="1">
      <c r="A323" s="3"/>
      <c r="B323" s="3"/>
      <c r="C323" s="3"/>
      <c r="D323" s="3"/>
      <c r="E323" s="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7.25" customHeight="1">
      <c r="A324" s="3"/>
      <c r="B324" s="3"/>
      <c r="C324" s="3"/>
      <c r="D324" s="3"/>
      <c r="E324" s="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7.25" customHeight="1">
      <c r="A325" s="3"/>
      <c r="B325" s="3"/>
      <c r="C325" s="3"/>
      <c r="D325" s="3"/>
      <c r="E325" s="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7.25" customHeight="1">
      <c r="A326" s="3"/>
      <c r="B326" s="3"/>
      <c r="C326" s="3"/>
      <c r="D326" s="3"/>
      <c r="E326" s="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7.25" customHeight="1">
      <c r="A327" s="3"/>
      <c r="B327" s="3"/>
      <c r="C327" s="3"/>
      <c r="D327" s="3"/>
      <c r="E327" s="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7.25" customHeight="1">
      <c r="A328" s="3"/>
      <c r="B328" s="3"/>
      <c r="C328" s="3"/>
      <c r="D328" s="3"/>
      <c r="E328" s="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7.25" customHeight="1">
      <c r="A329" s="3"/>
      <c r="B329" s="3"/>
      <c r="C329" s="3"/>
      <c r="D329" s="3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7.25" customHeight="1">
      <c r="A330" s="3"/>
      <c r="B330" s="3"/>
      <c r="C330" s="3"/>
      <c r="D330" s="3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7.25" customHeight="1">
      <c r="A331" s="3"/>
      <c r="B331" s="3"/>
      <c r="C331" s="3"/>
      <c r="D331" s="3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7.25" customHeight="1">
      <c r="A332" s="3"/>
      <c r="B332" s="3"/>
      <c r="C332" s="3"/>
      <c r="D332" s="3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7.25" customHeight="1">
      <c r="A333" s="3"/>
      <c r="B333" s="3"/>
      <c r="C333" s="3"/>
      <c r="D333" s="3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7.25" customHeight="1">
      <c r="A334" s="3"/>
      <c r="B334" s="3"/>
      <c r="C334" s="3"/>
      <c r="D334" s="3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7.25" customHeight="1">
      <c r="A335" s="3"/>
      <c r="B335" s="3"/>
      <c r="C335" s="3"/>
      <c r="D335" s="3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7.25" customHeight="1">
      <c r="A336" s="3"/>
      <c r="B336" s="3"/>
      <c r="C336" s="3"/>
      <c r="D336" s="3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7.25" customHeight="1">
      <c r="A337" s="3"/>
      <c r="B337" s="3"/>
      <c r="C337" s="3"/>
      <c r="D337" s="3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7.25" customHeight="1">
      <c r="A338" s="3"/>
      <c r="B338" s="3"/>
      <c r="C338" s="3"/>
      <c r="D338" s="3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7.25" customHeight="1">
      <c r="A339" s="3"/>
      <c r="B339" s="3"/>
      <c r="C339" s="3"/>
      <c r="D339" s="3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7.25" customHeight="1">
      <c r="A340" s="3"/>
      <c r="B340" s="3"/>
      <c r="C340" s="3"/>
      <c r="D340" s="3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7.25" customHeight="1">
      <c r="A341" s="3"/>
      <c r="B341" s="3"/>
      <c r="C341" s="3"/>
      <c r="D341" s="3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7.25" customHeight="1">
      <c r="A342" s="3"/>
      <c r="B342" s="3"/>
      <c r="C342" s="3"/>
      <c r="D342" s="3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7.25" customHeight="1">
      <c r="A343" s="3"/>
      <c r="B343" s="3"/>
      <c r="C343" s="3"/>
      <c r="D343" s="3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7.25" customHeight="1">
      <c r="A344" s="3"/>
      <c r="B344" s="3"/>
      <c r="C344" s="3"/>
      <c r="D344" s="3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7.25" customHeight="1">
      <c r="A345" s="3"/>
      <c r="B345" s="3"/>
      <c r="C345" s="3"/>
      <c r="D345" s="3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7.25" customHeight="1">
      <c r="A346" s="3"/>
      <c r="B346" s="3"/>
      <c r="C346" s="3"/>
      <c r="D346" s="3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7.25" customHeight="1">
      <c r="A347" s="3"/>
      <c r="B347" s="3"/>
      <c r="C347" s="3"/>
      <c r="D347" s="3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7.25" customHeight="1">
      <c r="A348" s="3"/>
      <c r="B348" s="3"/>
      <c r="C348" s="3"/>
      <c r="D348" s="3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7.25" customHeight="1">
      <c r="A349" s="3"/>
      <c r="B349" s="3"/>
      <c r="C349" s="3"/>
      <c r="D349" s="3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7.25" customHeight="1">
      <c r="A350" s="3"/>
      <c r="B350" s="3"/>
      <c r="C350" s="3"/>
      <c r="D350" s="3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7.25" customHeight="1">
      <c r="A351" s="3"/>
      <c r="B351" s="3"/>
      <c r="C351" s="3"/>
      <c r="D351" s="3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7.25" customHeight="1">
      <c r="A352" s="3"/>
      <c r="B352" s="3"/>
      <c r="C352" s="3"/>
      <c r="D352" s="3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7.25" customHeight="1">
      <c r="A353" s="3"/>
      <c r="B353" s="3"/>
      <c r="C353" s="3"/>
      <c r="D353" s="3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7.25" customHeight="1">
      <c r="A354" s="3"/>
      <c r="B354" s="3"/>
      <c r="C354" s="3"/>
      <c r="D354" s="3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7.25" customHeight="1">
      <c r="A355" s="3"/>
      <c r="B355" s="3"/>
      <c r="C355" s="3"/>
      <c r="D355" s="3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7.25" customHeight="1">
      <c r="A356" s="3"/>
      <c r="B356" s="3"/>
      <c r="C356" s="3"/>
      <c r="D356" s="3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7.25" customHeight="1">
      <c r="A357" s="3"/>
      <c r="B357" s="3"/>
      <c r="C357" s="3"/>
      <c r="D357" s="3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7.25" customHeight="1">
      <c r="A358" s="3"/>
      <c r="B358" s="3"/>
      <c r="C358" s="3"/>
      <c r="D358" s="3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7.25" customHeight="1">
      <c r="A359" s="3"/>
      <c r="B359" s="3"/>
      <c r="C359" s="3"/>
      <c r="D359" s="3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7.25" customHeight="1">
      <c r="A360" s="3"/>
      <c r="B360" s="3"/>
      <c r="C360" s="3"/>
      <c r="D360" s="3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7.25" customHeight="1">
      <c r="A361" s="3"/>
      <c r="B361" s="3"/>
      <c r="C361" s="3"/>
      <c r="D361" s="3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7.25" customHeight="1">
      <c r="A362" s="3"/>
      <c r="B362" s="3"/>
      <c r="C362" s="3"/>
      <c r="D362" s="3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7.25" customHeight="1">
      <c r="A363" s="3"/>
      <c r="B363" s="3"/>
      <c r="C363" s="3"/>
      <c r="D363" s="3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7.25" customHeight="1">
      <c r="A364" s="3"/>
      <c r="B364" s="3"/>
      <c r="C364" s="3"/>
      <c r="D364" s="3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7.25" customHeight="1">
      <c r="A365" s="3"/>
      <c r="B365" s="3"/>
      <c r="C365" s="3"/>
      <c r="D365" s="3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7.25" customHeight="1">
      <c r="A366" s="3"/>
      <c r="B366" s="3"/>
      <c r="C366" s="3"/>
      <c r="D366" s="3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7.25" customHeight="1">
      <c r="A367" s="3"/>
      <c r="B367" s="3"/>
      <c r="C367" s="3"/>
      <c r="D367" s="3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7.25" customHeight="1">
      <c r="A368" s="3"/>
      <c r="B368" s="3"/>
      <c r="C368" s="3"/>
      <c r="D368" s="3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7.25" customHeight="1">
      <c r="A369" s="3"/>
      <c r="B369" s="3"/>
      <c r="C369" s="3"/>
      <c r="D369" s="3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7.25" customHeight="1">
      <c r="A370" s="3"/>
      <c r="B370" s="3"/>
      <c r="C370" s="3"/>
      <c r="D370" s="3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7.25" customHeight="1">
      <c r="A371" s="3"/>
      <c r="B371" s="3"/>
      <c r="C371" s="3"/>
      <c r="D371" s="3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7.25" customHeight="1">
      <c r="A372" s="3"/>
      <c r="B372" s="3"/>
      <c r="C372" s="3"/>
      <c r="D372" s="3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7.25" customHeight="1">
      <c r="A373" s="3"/>
      <c r="B373" s="3"/>
      <c r="C373" s="3"/>
      <c r="D373" s="3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7.25" customHeight="1">
      <c r="A374" s="3"/>
      <c r="B374" s="3"/>
      <c r="C374" s="3"/>
      <c r="D374" s="3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7.25" customHeight="1">
      <c r="A375" s="3"/>
      <c r="B375" s="3"/>
      <c r="C375" s="3"/>
      <c r="D375" s="3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7.25" customHeight="1">
      <c r="A376" s="3"/>
      <c r="B376" s="3"/>
      <c r="C376" s="3"/>
      <c r="D376" s="3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7.25" customHeight="1">
      <c r="A377" s="3"/>
      <c r="B377" s="3"/>
      <c r="C377" s="3"/>
      <c r="D377" s="3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7.25" customHeight="1">
      <c r="A378" s="3"/>
      <c r="B378" s="3"/>
      <c r="C378" s="3"/>
      <c r="D378" s="3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7.25" customHeight="1">
      <c r="A379" s="3"/>
      <c r="B379" s="3"/>
      <c r="C379" s="3"/>
      <c r="D379" s="3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7.25" customHeight="1">
      <c r="A380" s="3"/>
      <c r="B380" s="3"/>
      <c r="C380" s="3"/>
      <c r="D380" s="3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7.25" customHeight="1">
      <c r="A381" s="3"/>
      <c r="B381" s="3"/>
      <c r="C381" s="3"/>
      <c r="D381" s="3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7.25" customHeight="1">
      <c r="A382" s="3"/>
      <c r="B382" s="3"/>
      <c r="C382" s="3"/>
      <c r="D382" s="3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7.25" customHeight="1">
      <c r="A383" s="3"/>
      <c r="B383" s="3"/>
      <c r="C383" s="3"/>
      <c r="D383" s="3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7.25" customHeight="1">
      <c r="A384" s="3"/>
      <c r="B384" s="3"/>
      <c r="C384" s="3"/>
      <c r="D384" s="3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7.25" customHeight="1">
      <c r="A385" s="3"/>
      <c r="B385" s="3"/>
      <c r="C385" s="3"/>
      <c r="D385" s="3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7.25" customHeight="1">
      <c r="A386" s="3"/>
      <c r="B386" s="3"/>
      <c r="C386" s="3"/>
      <c r="D386" s="3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7.25" customHeight="1">
      <c r="A387" s="3"/>
      <c r="B387" s="3"/>
      <c r="C387" s="3"/>
      <c r="D387" s="3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7.25" customHeight="1">
      <c r="A388" s="3"/>
      <c r="B388" s="3"/>
      <c r="C388" s="3"/>
      <c r="D388" s="3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7.25" customHeight="1">
      <c r="A389" s="3"/>
      <c r="B389" s="3"/>
      <c r="C389" s="3"/>
      <c r="D389" s="3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7.25" customHeight="1">
      <c r="A390" s="3"/>
      <c r="B390" s="3"/>
      <c r="C390" s="3"/>
      <c r="D390" s="3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7.25" customHeight="1">
      <c r="A391" s="3"/>
      <c r="B391" s="3"/>
      <c r="C391" s="3"/>
      <c r="D391" s="3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7.25" customHeight="1">
      <c r="A392" s="3"/>
      <c r="B392" s="3"/>
      <c r="C392" s="3"/>
      <c r="D392" s="3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7.25" customHeight="1">
      <c r="A393" s="3"/>
      <c r="B393" s="3"/>
      <c r="C393" s="3"/>
      <c r="D393" s="3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7.25" customHeight="1">
      <c r="A394" s="3"/>
      <c r="B394" s="3"/>
      <c r="C394" s="3"/>
      <c r="D394" s="3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7.25" customHeight="1">
      <c r="A395" s="3"/>
      <c r="B395" s="3"/>
      <c r="C395" s="3"/>
      <c r="D395" s="3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7.25" customHeight="1">
      <c r="A396" s="3"/>
      <c r="B396" s="3"/>
      <c r="C396" s="3"/>
      <c r="D396" s="3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7.25" customHeight="1">
      <c r="A397" s="3"/>
      <c r="B397" s="3"/>
      <c r="C397" s="3"/>
      <c r="D397" s="3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7.25" customHeight="1">
      <c r="A398" s="3"/>
      <c r="B398" s="3"/>
      <c r="C398" s="3"/>
      <c r="D398" s="3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7.25" customHeight="1">
      <c r="A399" s="3"/>
      <c r="B399" s="3"/>
      <c r="C399" s="3"/>
      <c r="D399" s="3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7.25" customHeight="1">
      <c r="A400" s="3"/>
      <c r="B400" s="3"/>
      <c r="C400" s="3"/>
      <c r="D400" s="3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7.25" customHeight="1">
      <c r="A401" s="3"/>
      <c r="B401" s="3"/>
      <c r="C401" s="3"/>
      <c r="D401" s="3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7.25" customHeight="1">
      <c r="A402" s="3"/>
      <c r="B402" s="3"/>
      <c r="C402" s="3"/>
      <c r="D402" s="3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7.25" customHeight="1">
      <c r="A403" s="3"/>
      <c r="B403" s="3"/>
      <c r="C403" s="3"/>
      <c r="D403" s="3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7.25" customHeight="1">
      <c r="A404" s="3"/>
      <c r="B404" s="3"/>
      <c r="C404" s="3"/>
      <c r="D404" s="3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7.25" customHeight="1">
      <c r="A405" s="3"/>
      <c r="B405" s="3"/>
      <c r="C405" s="3"/>
      <c r="D405" s="3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7.25" customHeight="1">
      <c r="A406" s="3"/>
      <c r="B406" s="3"/>
      <c r="C406" s="3"/>
      <c r="D406" s="3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7.25" customHeight="1">
      <c r="A407" s="3"/>
      <c r="B407" s="3"/>
      <c r="C407" s="3"/>
      <c r="D407" s="3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7.25" customHeight="1">
      <c r="A408" s="3"/>
      <c r="B408" s="3"/>
      <c r="C408" s="3"/>
      <c r="D408" s="3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7.25" customHeight="1">
      <c r="A409" s="3"/>
      <c r="B409" s="3"/>
      <c r="C409" s="3"/>
      <c r="D409" s="3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7.25" customHeight="1">
      <c r="A410" s="3"/>
      <c r="B410" s="3"/>
      <c r="C410" s="3"/>
      <c r="D410" s="3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7.25" customHeight="1">
      <c r="A411" s="3"/>
      <c r="B411" s="3"/>
      <c r="C411" s="3"/>
      <c r="D411" s="3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7.25" customHeight="1">
      <c r="A412" s="3"/>
      <c r="B412" s="3"/>
      <c r="C412" s="3"/>
      <c r="D412" s="3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7.25" customHeight="1">
      <c r="A413" s="3"/>
      <c r="B413" s="3"/>
      <c r="C413" s="3"/>
      <c r="D413" s="3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7.25" customHeight="1">
      <c r="A414" s="3"/>
      <c r="B414" s="3"/>
      <c r="C414" s="3"/>
      <c r="D414" s="3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7.25" customHeight="1">
      <c r="A415" s="3"/>
      <c r="B415" s="3"/>
      <c r="C415" s="3"/>
      <c r="D415" s="3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7.25" customHeight="1">
      <c r="A416" s="3"/>
      <c r="B416" s="3"/>
      <c r="C416" s="3"/>
      <c r="D416" s="3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7.25" customHeight="1">
      <c r="A417" s="3"/>
      <c r="B417" s="3"/>
      <c r="C417" s="3"/>
      <c r="D417" s="3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7.25" customHeight="1">
      <c r="A418" s="3"/>
      <c r="B418" s="3"/>
      <c r="C418" s="3"/>
      <c r="D418" s="3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7.25" customHeight="1">
      <c r="A419" s="3"/>
      <c r="B419" s="3"/>
      <c r="C419" s="3"/>
      <c r="D419" s="3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7.25" customHeight="1">
      <c r="A420" s="3"/>
      <c r="B420" s="3"/>
      <c r="C420" s="3"/>
      <c r="D420" s="3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7.25" customHeight="1">
      <c r="A421" s="3"/>
      <c r="B421" s="3"/>
      <c r="C421" s="3"/>
      <c r="D421" s="3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7.25" customHeight="1">
      <c r="A422" s="3"/>
      <c r="B422" s="3"/>
      <c r="C422" s="3"/>
      <c r="D422" s="3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7.25" customHeight="1">
      <c r="A423" s="3"/>
      <c r="B423" s="3"/>
      <c r="C423" s="3"/>
      <c r="D423" s="3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7.25" customHeight="1">
      <c r="A424" s="3"/>
      <c r="B424" s="3"/>
      <c r="C424" s="3"/>
      <c r="D424" s="3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7.25" customHeight="1">
      <c r="A425" s="3"/>
      <c r="B425" s="3"/>
      <c r="C425" s="3"/>
      <c r="D425" s="3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7.25" customHeight="1">
      <c r="A426" s="3"/>
      <c r="B426" s="3"/>
      <c r="C426" s="3"/>
      <c r="D426" s="3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7.25" customHeight="1">
      <c r="A427" s="3"/>
      <c r="B427" s="3"/>
      <c r="C427" s="3"/>
      <c r="D427" s="3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7.25" customHeight="1">
      <c r="A428" s="3"/>
      <c r="B428" s="3"/>
      <c r="C428" s="3"/>
      <c r="D428" s="3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7.25" customHeight="1">
      <c r="A429" s="3"/>
      <c r="B429" s="3"/>
      <c r="C429" s="3"/>
      <c r="D429" s="3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7.25" customHeight="1">
      <c r="A430" s="3"/>
      <c r="B430" s="3"/>
      <c r="C430" s="3"/>
      <c r="D430" s="3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7.25" customHeight="1">
      <c r="A431" s="3"/>
      <c r="B431" s="3"/>
      <c r="C431" s="3"/>
      <c r="D431" s="3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7.25" customHeight="1">
      <c r="A432" s="3"/>
      <c r="B432" s="3"/>
      <c r="C432" s="3"/>
      <c r="D432" s="3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7.25" customHeight="1">
      <c r="A433" s="3"/>
      <c r="B433" s="3"/>
      <c r="C433" s="3"/>
      <c r="D433" s="3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7.25" customHeight="1">
      <c r="A434" s="3"/>
      <c r="B434" s="3"/>
      <c r="C434" s="3"/>
      <c r="D434" s="3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7.25" customHeight="1">
      <c r="A435" s="3"/>
      <c r="B435" s="3"/>
      <c r="C435" s="3"/>
      <c r="D435" s="3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7.25" customHeight="1">
      <c r="A436" s="3"/>
      <c r="B436" s="3"/>
      <c r="C436" s="3"/>
      <c r="D436" s="3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7.25" customHeight="1">
      <c r="A437" s="3"/>
      <c r="B437" s="3"/>
      <c r="C437" s="3"/>
      <c r="D437" s="3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7.25" customHeight="1">
      <c r="A438" s="3"/>
      <c r="B438" s="3"/>
      <c r="C438" s="3"/>
      <c r="D438" s="3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7.25" customHeight="1">
      <c r="A439" s="3"/>
      <c r="B439" s="3"/>
      <c r="C439" s="3"/>
      <c r="D439" s="3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7.25" customHeight="1">
      <c r="A440" s="3"/>
      <c r="B440" s="3"/>
      <c r="C440" s="3"/>
      <c r="D440" s="3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7.25" customHeight="1">
      <c r="A441" s="3"/>
      <c r="B441" s="3"/>
      <c r="C441" s="3"/>
      <c r="D441" s="3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7.25" customHeight="1">
      <c r="A442" s="3"/>
      <c r="B442" s="3"/>
      <c r="C442" s="3"/>
      <c r="D442" s="3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7.25" customHeight="1">
      <c r="A443" s="3"/>
      <c r="B443" s="3"/>
      <c r="C443" s="3"/>
      <c r="D443" s="3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7.25" customHeight="1">
      <c r="A444" s="3"/>
      <c r="B444" s="3"/>
      <c r="C444" s="3"/>
      <c r="D444" s="3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7.25" customHeight="1">
      <c r="A445" s="3"/>
      <c r="B445" s="3"/>
      <c r="C445" s="3"/>
      <c r="D445" s="3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7.25" customHeight="1">
      <c r="A446" s="3"/>
      <c r="B446" s="3"/>
      <c r="C446" s="3"/>
      <c r="D446" s="3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7.25" customHeight="1">
      <c r="A447" s="3"/>
      <c r="B447" s="3"/>
      <c r="C447" s="3"/>
      <c r="D447" s="3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7.25" customHeight="1">
      <c r="A448" s="3"/>
      <c r="B448" s="3"/>
      <c r="C448" s="3"/>
      <c r="D448" s="3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7.25" customHeight="1">
      <c r="A449" s="3"/>
      <c r="B449" s="3"/>
      <c r="C449" s="3"/>
      <c r="D449" s="3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7.25" customHeight="1">
      <c r="A450" s="3"/>
      <c r="B450" s="3"/>
      <c r="C450" s="3"/>
      <c r="D450" s="3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7.25" customHeight="1">
      <c r="A451" s="3"/>
      <c r="B451" s="3"/>
      <c r="C451" s="3"/>
      <c r="D451" s="3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7.25" customHeight="1">
      <c r="A452" s="3"/>
      <c r="B452" s="3"/>
      <c r="C452" s="3"/>
      <c r="D452" s="3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7.25" customHeight="1">
      <c r="A453" s="3"/>
      <c r="B453" s="3"/>
      <c r="C453" s="3"/>
      <c r="D453" s="3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7.25" customHeight="1">
      <c r="A454" s="3"/>
      <c r="B454" s="3"/>
      <c r="C454" s="3"/>
      <c r="D454" s="3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7.25" customHeight="1">
      <c r="A455" s="3"/>
      <c r="B455" s="3"/>
      <c r="C455" s="3"/>
      <c r="D455" s="3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7.25" customHeight="1">
      <c r="A456" s="3"/>
      <c r="B456" s="3"/>
      <c r="C456" s="3"/>
      <c r="D456" s="3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7.25" customHeight="1">
      <c r="A457" s="3"/>
      <c r="B457" s="3"/>
      <c r="C457" s="3"/>
      <c r="D457" s="3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7.25" customHeight="1">
      <c r="A458" s="3"/>
      <c r="B458" s="3"/>
      <c r="C458" s="3"/>
      <c r="D458" s="3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7.25" customHeight="1">
      <c r="A459" s="3"/>
      <c r="B459" s="3"/>
      <c r="C459" s="3"/>
      <c r="D459" s="3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7.25" customHeight="1">
      <c r="A460" s="3"/>
      <c r="B460" s="3"/>
      <c r="C460" s="3"/>
      <c r="D460" s="3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7.25" customHeight="1">
      <c r="A461" s="3"/>
      <c r="B461" s="3"/>
      <c r="C461" s="3"/>
      <c r="D461" s="3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7.25" customHeight="1">
      <c r="A462" s="3"/>
      <c r="B462" s="3"/>
      <c r="C462" s="3"/>
      <c r="D462" s="3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7.25" customHeight="1">
      <c r="A463" s="3"/>
      <c r="B463" s="3"/>
      <c r="C463" s="3"/>
      <c r="D463" s="3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7.25" customHeight="1">
      <c r="A464" s="3"/>
      <c r="B464" s="3"/>
      <c r="C464" s="3"/>
      <c r="D464" s="3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7.25" customHeight="1">
      <c r="A465" s="3"/>
      <c r="B465" s="3"/>
      <c r="C465" s="3"/>
      <c r="D465" s="3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7.25" customHeight="1">
      <c r="A466" s="3"/>
      <c r="B466" s="3"/>
      <c r="C466" s="3"/>
      <c r="D466" s="3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7.25" customHeight="1">
      <c r="A467" s="3"/>
      <c r="B467" s="3"/>
      <c r="C467" s="3"/>
      <c r="D467" s="3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7.25" customHeight="1">
      <c r="A468" s="3"/>
      <c r="B468" s="3"/>
      <c r="C468" s="3"/>
      <c r="D468" s="3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7.25" customHeight="1">
      <c r="A469" s="3"/>
      <c r="B469" s="3"/>
      <c r="C469" s="3"/>
      <c r="D469" s="3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7.25" customHeight="1">
      <c r="A470" s="3"/>
      <c r="B470" s="3"/>
      <c r="C470" s="3"/>
      <c r="D470" s="3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7.25" customHeight="1">
      <c r="A471" s="3"/>
      <c r="B471" s="3"/>
      <c r="C471" s="3"/>
      <c r="D471" s="3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7.25" customHeight="1">
      <c r="A472" s="3"/>
      <c r="B472" s="3"/>
      <c r="C472" s="3"/>
      <c r="D472" s="3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7.25" customHeight="1">
      <c r="A473" s="3"/>
      <c r="B473" s="3"/>
      <c r="C473" s="3"/>
      <c r="D473" s="3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7.25" customHeight="1">
      <c r="A474" s="3"/>
      <c r="B474" s="3"/>
      <c r="C474" s="3"/>
      <c r="D474" s="3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7.25" customHeight="1">
      <c r="A475" s="3"/>
      <c r="B475" s="3"/>
      <c r="C475" s="3"/>
      <c r="D475" s="3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7.25" customHeight="1">
      <c r="A476" s="3"/>
      <c r="B476" s="3"/>
      <c r="C476" s="3"/>
      <c r="D476" s="3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7.25" customHeight="1">
      <c r="A477" s="3"/>
      <c r="B477" s="3"/>
      <c r="C477" s="3"/>
      <c r="D477" s="3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7.25" customHeight="1">
      <c r="A478" s="3"/>
      <c r="B478" s="3"/>
      <c r="C478" s="3"/>
      <c r="D478" s="3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7.25" customHeight="1">
      <c r="A479" s="3"/>
      <c r="B479" s="3"/>
      <c r="C479" s="3"/>
      <c r="D479" s="3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7.25" customHeight="1">
      <c r="A480" s="3"/>
      <c r="B480" s="3"/>
      <c r="C480" s="3"/>
      <c r="D480" s="3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7.25" customHeight="1">
      <c r="A481" s="3"/>
      <c r="B481" s="3"/>
      <c r="C481" s="3"/>
      <c r="D481" s="3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7.25" customHeight="1">
      <c r="A482" s="3"/>
      <c r="B482" s="3"/>
      <c r="C482" s="3"/>
      <c r="D482" s="3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7.25" customHeight="1">
      <c r="A483" s="3"/>
      <c r="B483" s="3"/>
      <c r="C483" s="3"/>
      <c r="D483" s="3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7.25" customHeight="1">
      <c r="A484" s="3"/>
      <c r="B484" s="3"/>
      <c r="C484" s="3"/>
      <c r="D484" s="3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7.25" customHeight="1">
      <c r="A485" s="3"/>
      <c r="B485" s="3"/>
      <c r="C485" s="3"/>
      <c r="D485" s="3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7.25" customHeight="1">
      <c r="A486" s="3"/>
      <c r="B486" s="3"/>
      <c r="C486" s="3"/>
      <c r="D486" s="3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7.25" customHeight="1">
      <c r="A487" s="3"/>
      <c r="B487" s="3"/>
      <c r="C487" s="3"/>
      <c r="D487" s="3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7.25" customHeight="1">
      <c r="A488" s="3"/>
      <c r="B488" s="3"/>
      <c r="C488" s="3"/>
      <c r="D488" s="3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7.25" customHeight="1">
      <c r="A489" s="3"/>
      <c r="B489" s="3"/>
      <c r="C489" s="3"/>
      <c r="D489" s="3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7.25" customHeight="1">
      <c r="A490" s="3"/>
      <c r="B490" s="3"/>
      <c r="C490" s="3"/>
      <c r="D490" s="3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7.25" customHeight="1">
      <c r="A491" s="3"/>
      <c r="B491" s="3"/>
      <c r="C491" s="3"/>
      <c r="D491" s="3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7.25" customHeight="1">
      <c r="A492" s="3"/>
      <c r="B492" s="3"/>
      <c r="C492" s="3"/>
      <c r="D492" s="3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7.25" customHeight="1">
      <c r="A493" s="3"/>
      <c r="B493" s="3"/>
      <c r="C493" s="3"/>
      <c r="D493" s="3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7.25" customHeight="1">
      <c r="A494" s="3"/>
      <c r="B494" s="3"/>
      <c r="C494" s="3"/>
      <c r="D494" s="3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7.25" customHeight="1">
      <c r="A495" s="3"/>
      <c r="B495" s="3"/>
      <c r="C495" s="3"/>
      <c r="D495" s="3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7.25" customHeight="1">
      <c r="A496" s="3"/>
      <c r="B496" s="3"/>
      <c r="C496" s="3"/>
      <c r="D496" s="3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7.25" customHeight="1">
      <c r="A497" s="3"/>
      <c r="B497" s="3"/>
      <c r="C497" s="3"/>
      <c r="D497" s="3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7.25" customHeight="1">
      <c r="A498" s="3"/>
      <c r="B498" s="3"/>
      <c r="C498" s="3"/>
      <c r="D498" s="3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7.25" customHeight="1">
      <c r="A499" s="3"/>
      <c r="B499" s="3"/>
      <c r="C499" s="3"/>
      <c r="D499" s="3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7.25" customHeight="1">
      <c r="A500" s="3"/>
      <c r="B500" s="3"/>
      <c r="C500" s="3"/>
      <c r="D500" s="3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7.25" customHeight="1">
      <c r="A501" s="3"/>
      <c r="B501" s="3"/>
      <c r="C501" s="3"/>
      <c r="D501" s="3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7.25" customHeight="1">
      <c r="A502" s="3"/>
      <c r="B502" s="3"/>
      <c r="C502" s="3"/>
      <c r="D502" s="3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7.25" customHeight="1">
      <c r="A503" s="3"/>
      <c r="B503" s="3"/>
      <c r="C503" s="3"/>
      <c r="D503" s="3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7.25" customHeight="1">
      <c r="A504" s="3"/>
      <c r="B504" s="3"/>
      <c r="C504" s="3"/>
      <c r="D504" s="3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7.25" customHeight="1">
      <c r="A505" s="3"/>
      <c r="B505" s="3"/>
      <c r="C505" s="3"/>
      <c r="D505" s="3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7.25" customHeight="1">
      <c r="A506" s="3"/>
      <c r="B506" s="3"/>
      <c r="C506" s="3"/>
      <c r="D506" s="3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7.25" customHeight="1">
      <c r="A507" s="3"/>
      <c r="B507" s="3"/>
      <c r="C507" s="3"/>
      <c r="D507" s="3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7.25" customHeight="1">
      <c r="A508" s="3"/>
      <c r="B508" s="3"/>
      <c r="C508" s="3"/>
      <c r="D508" s="3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7.25" customHeight="1">
      <c r="A509" s="3"/>
      <c r="B509" s="3"/>
      <c r="C509" s="3"/>
      <c r="D509" s="3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7.25" customHeight="1">
      <c r="A510" s="3"/>
      <c r="B510" s="3"/>
      <c r="C510" s="3"/>
      <c r="D510" s="3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7.25" customHeight="1">
      <c r="A511" s="3"/>
      <c r="B511" s="3"/>
      <c r="C511" s="3"/>
      <c r="D511" s="3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7.25" customHeight="1">
      <c r="A512" s="3"/>
      <c r="B512" s="3"/>
      <c r="C512" s="3"/>
      <c r="D512" s="3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7.25" customHeight="1">
      <c r="A513" s="3"/>
      <c r="B513" s="3"/>
      <c r="C513" s="3"/>
      <c r="D513" s="3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7.25" customHeight="1">
      <c r="A514" s="3"/>
      <c r="B514" s="3"/>
      <c r="C514" s="3"/>
      <c r="D514" s="3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7.25" customHeight="1">
      <c r="A515" s="3"/>
      <c r="B515" s="3"/>
      <c r="C515" s="3"/>
      <c r="D515" s="3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7.25" customHeight="1">
      <c r="A516" s="3"/>
      <c r="B516" s="3"/>
      <c r="C516" s="3"/>
      <c r="D516" s="3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7.25" customHeight="1">
      <c r="A517" s="3"/>
      <c r="B517" s="3"/>
      <c r="C517" s="3"/>
      <c r="D517" s="3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7.25" customHeight="1">
      <c r="A518" s="3"/>
      <c r="B518" s="3"/>
      <c r="C518" s="3"/>
      <c r="D518" s="3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7.25" customHeight="1">
      <c r="A519" s="3"/>
      <c r="B519" s="3"/>
      <c r="C519" s="3"/>
      <c r="D519" s="3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7.25" customHeight="1">
      <c r="A520" s="3"/>
      <c r="B520" s="3"/>
      <c r="C520" s="3"/>
      <c r="D520" s="3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7.25" customHeight="1">
      <c r="A521" s="3"/>
      <c r="B521" s="3"/>
      <c r="C521" s="3"/>
      <c r="D521" s="3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7.25" customHeight="1">
      <c r="A522" s="3"/>
      <c r="B522" s="3"/>
      <c r="C522" s="3"/>
      <c r="D522" s="3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7.25" customHeight="1">
      <c r="A523" s="3"/>
      <c r="B523" s="3"/>
      <c r="C523" s="3"/>
      <c r="D523" s="3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7.25" customHeight="1">
      <c r="A524" s="3"/>
      <c r="B524" s="3"/>
      <c r="C524" s="3"/>
      <c r="D524" s="3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7.25" customHeight="1">
      <c r="A525" s="3"/>
      <c r="B525" s="3"/>
      <c r="C525" s="3"/>
      <c r="D525" s="3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7.25" customHeight="1">
      <c r="A526" s="3"/>
      <c r="B526" s="3"/>
      <c r="C526" s="3"/>
      <c r="D526" s="3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7.25" customHeight="1">
      <c r="A527" s="3"/>
      <c r="B527" s="3"/>
      <c r="C527" s="3"/>
      <c r="D527" s="3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7.25" customHeight="1">
      <c r="A528" s="3"/>
      <c r="B528" s="3"/>
      <c r="C528" s="3"/>
      <c r="D528" s="3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7.25" customHeight="1">
      <c r="A529" s="3"/>
      <c r="B529" s="3"/>
      <c r="C529" s="3"/>
      <c r="D529" s="3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7.25" customHeight="1">
      <c r="A530" s="3"/>
      <c r="B530" s="3"/>
      <c r="C530" s="3"/>
      <c r="D530" s="3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7.25" customHeight="1">
      <c r="A531" s="3"/>
      <c r="B531" s="3"/>
      <c r="C531" s="3"/>
      <c r="D531" s="3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7.25" customHeight="1">
      <c r="A532" s="3"/>
      <c r="B532" s="3"/>
      <c r="C532" s="3"/>
      <c r="D532" s="3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7.25" customHeight="1">
      <c r="A533" s="3"/>
      <c r="B533" s="3"/>
      <c r="C533" s="3"/>
      <c r="D533" s="3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7.25" customHeight="1">
      <c r="A534" s="3"/>
      <c r="B534" s="3"/>
      <c r="C534" s="3"/>
      <c r="D534" s="3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7.25" customHeight="1">
      <c r="A535" s="3"/>
      <c r="B535" s="3"/>
      <c r="C535" s="3"/>
      <c r="D535" s="3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7.25" customHeight="1">
      <c r="A536" s="3"/>
      <c r="B536" s="3"/>
      <c r="C536" s="3"/>
      <c r="D536" s="3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7.25" customHeight="1">
      <c r="A537" s="3"/>
      <c r="B537" s="3"/>
      <c r="C537" s="3"/>
      <c r="D537" s="3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7.25" customHeight="1">
      <c r="A538" s="3"/>
      <c r="B538" s="3"/>
      <c r="C538" s="3"/>
      <c r="D538" s="3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7.25" customHeight="1">
      <c r="A539" s="3"/>
      <c r="B539" s="3"/>
      <c r="C539" s="3"/>
      <c r="D539" s="3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7.25" customHeight="1">
      <c r="A540" s="3"/>
      <c r="B540" s="3"/>
      <c r="C540" s="3"/>
      <c r="D540" s="3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7.25" customHeight="1">
      <c r="A541" s="3"/>
      <c r="B541" s="3"/>
      <c r="C541" s="3"/>
      <c r="D541" s="3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7.25" customHeight="1">
      <c r="A542" s="3"/>
      <c r="B542" s="3"/>
      <c r="C542" s="3"/>
      <c r="D542" s="3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7.25" customHeight="1">
      <c r="A543" s="3"/>
      <c r="B543" s="3"/>
      <c r="C543" s="3"/>
      <c r="D543" s="3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7.25" customHeight="1">
      <c r="A544" s="3"/>
      <c r="B544" s="3"/>
      <c r="C544" s="3"/>
      <c r="D544" s="3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7.25" customHeight="1">
      <c r="A545" s="3"/>
      <c r="B545" s="3"/>
      <c r="C545" s="3"/>
      <c r="D545" s="3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7.25" customHeight="1">
      <c r="A546" s="3"/>
      <c r="B546" s="3"/>
      <c r="C546" s="3"/>
      <c r="D546" s="3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7.25" customHeight="1">
      <c r="A547" s="3"/>
      <c r="B547" s="3"/>
      <c r="C547" s="3"/>
      <c r="D547" s="3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7.25" customHeight="1">
      <c r="A548" s="3"/>
      <c r="B548" s="3"/>
      <c r="C548" s="3"/>
      <c r="D548" s="3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7.25" customHeight="1">
      <c r="A549" s="3"/>
      <c r="B549" s="3"/>
      <c r="C549" s="3"/>
      <c r="D549" s="3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7.25" customHeight="1">
      <c r="A550" s="3"/>
      <c r="B550" s="3"/>
      <c r="C550" s="3"/>
      <c r="D550" s="3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7.25" customHeight="1">
      <c r="A551" s="3"/>
      <c r="B551" s="3"/>
      <c r="C551" s="3"/>
      <c r="D551" s="3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7.25" customHeight="1">
      <c r="A552" s="3"/>
      <c r="B552" s="3"/>
      <c r="C552" s="3"/>
      <c r="D552" s="3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7.25" customHeight="1">
      <c r="A553" s="3"/>
      <c r="B553" s="3"/>
      <c r="C553" s="3"/>
      <c r="D553" s="3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7.25" customHeight="1">
      <c r="A554" s="3"/>
      <c r="B554" s="3"/>
      <c r="C554" s="3"/>
      <c r="D554" s="3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7.25" customHeight="1">
      <c r="A555" s="3"/>
      <c r="B555" s="3"/>
      <c r="C555" s="3"/>
      <c r="D555" s="3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7.25" customHeight="1">
      <c r="A556" s="3"/>
      <c r="B556" s="3"/>
      <c r="C556" s="3"/>
      <c r="D556" s="3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7.25" customHeight="1">
      <c r="A557" s="3"/>
      <c r="B557" s="3"/>
      <c r="C557" s="3"/>
      <c r="D557" s="3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7.25" customHeight="1">
      <c r="A558" s="3"/>
      <c r="B558" s="3"/>
      <c r="C558" s="3"/>
      <c r="D558" s="3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7.25" customHeight="1">
      <c r="A559" s="3"/>
      <c r="B559" s="3"/>
      <c r="C559" s="3"/>
      <c r="D559" s="3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7.25" customHeight="1">
      <c r="A560" s="3"/>
      <c r="B560" s="3"/>
      <c r="C560" s="3"/>
      <c r="D560" s="3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7.25" customHeight="1">
      <c r="A561" s="3"/>
      <c r="B561" s="3"/>
      <c r="C561" s="3"/>
      <c r="D561" s="3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7.25" customHeight="1">
      <c r="A562" s="3"/>
      <c r="B562" s="3"/>
      <c r="C562" s="3"/>
      <c r="D562" s="3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7.25" customHeight="1">
      <c r="A563" s="3"/>
      <c r="B563" s="3"/>
      <c r="C563" s="3"/>
      <c r="D563" s="3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7.25" customHeight="1">
      <c r="A564" s="3"/>
      <c r="B564" s="3"/>
      <c r="C564" s="3"/>
      <c r="D564" s="3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7.25" customHeight="1">
      <c r="A565" s="3"/>
      <c r="B565" s="3"/>
      <c r="C565" s="3"/>
      <c r="D565" s="3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7.25" customHeight="1">
      <c r="A566" s="3"/>
      <c r="B566" s="3"/>
      <c r="C566" s="3"/>
      <c r="D566" s="3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7.25" customHeight="1">
      <c r="A567" s="3"/>
      <c r="B567" s="3"/>
      <c r="C567" s="3"/>
      <c r="D567" s="3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7.25" customHeight="1">
      <c r="A568" s="3"/>
      <c r="B568" s="3"/>
      <c r="C568" s="3"/>
      <c r="D568" s="3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7.25" customHeight="1">
      <c r="A569" s="3"/>
      <c r="B569" s="3"/>
      <c r="C569" s="3"/>
      <c r="D569" s="3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7.25" customHeight="1">
      <c r="A570" s="3"/>
      <c r="B570" s="3"/>
      <c r="C570" s="3"/>
      <c r="D570" s="3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7.25" customHeight="1">
      <c r="A571" s="3"/>
      <c r="B571" s="3"/>
      <c r="C571" s="3"/>
      <c r="D571" s="3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7.25" customHeight="1">
      <c r="A572" s="3"/>
      <c r="B572" s="3"/>
      <c r="C572" s="3"/>
      <c r="D572" s="3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7.25" customHeight="1">
      <c r="A573" s="3"/>
      <c r="B573" s="3"/>
      <c r="C573" s="3"/>
      <c r="D573" s="3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7.25" customHeight="1">
      <c r="A574" s="3"/>
      <c r="B574" s="3"/>
      <c r="C574" s="3"/>
      <c r="D574" s="3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7.25" customHeight="1">
      <c r="A575" s="3"/>
      <c r="B575" s="3"/>
      <c r="C575" s="3"/>
      <c r="D575" s="3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7.25" customHeight="1">
      <c r="A576" s="3"/>
      <c r="B576" s="3"/>
      <c r="C576" s="3"/>
      <c r="D576" s="3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7.25" customHeight="1">
      <c r="A577" s="3"/>
      <c r="B577" s="3"/>
      <c r="C577" s="3"/>
      <c r="D577" s="3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7.25" customHeight="1">
      <c r="A578" s="3"/>
      <c r="B578" s="3"/>
      <c r="C578" s="3"/>
      <c r="D578" s="3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7.25" customHeight="1">
      <c r="A579" s="3"/>
      <c r="B579" s="3"/>
      <c r="C579" s="3"/>
      <c r="D579" s="3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7.25" customHeight="1">
      <c r="A580" s="3"/>
      <c r="B580" s="3"/>
      <c r="C580" s="3"/>
      <c r="D580" s="3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7.25" customHeight="1">
      <c r="A581" s="3"/>
      <c r="B581" s="3"/>
      <c r="C581" s="3"/>
      <c r="D581" s="3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7.25" customHeight="1">
      <c r="A582" s="3"/>
      <c r="B582" s="3"/>
      <c r="C582" s="3"/>
      <c r="D582" s="3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7.25" customHeight="1">
      <c r="A583" s="3"/>
      <c r="B583" s="3"/>
      <c r="C583" s="3"/>
      <c r="D583" s="3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7.25" customHeight="1">
      <c r="A584" s="3"/>
      <c r="B584" s="3"/>
      <c r="C584" s="3"/>
      <c r="D584" s="3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7.25" customHeight="1">
      <c r="A585" s="3"/>
      <c r="B585" s="3"/>
      <c r="C585" s="3"/>
      <c r="D585" s="3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7.25" customHeight="1">
      <c r="A586" s="3"/>
      <c r="B586" s="3"/>
      <c r="C586" s="3"/>
      <c r="D586" s="3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7.25" customHeight="1">
      <c r="A587" s="3"/>
      <c r="B587" s="3"/>
      <c r="C587" s="3"/>
      <c r="D587" s="3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7.25" customHeight="1">
      <c r="A588" s="3"/>
      <c r="B588" s="3"/>
      <c r="C588" s="3"/>
      <c r="D588" s="3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7.25" customHeight="1">
      <c r="A589" s="3"/>
      <c r="B589" s="3"/>
      <c r="C589" s="3"/>
      <c r="D589" s="3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7.25" customHeight="1">
      <c r="A590" s="3"/>
      <c r="B590" s="3"/>
      <c r="C590" s="3"/>
      <c r="D590" s="3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7.25" customHeight="1">
      <c r="A591" s="3"/>
      <c r="B591" s="3"/>
      <c r="C591" s="3"/>
      <c r="D591" s="3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7.25" customHeight="1">
      <c r="A592" s="3"/>
      <c r="B592" s="3"/>
      <c r="C592" s="3"/>
      <c r="D592" s="3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7.25" customHeight="1">
      <c r="A593" s="3"/>
      <c r="B593" s="3"/>
      <c r="C593" s="3"/>
      <c r="D593" s="3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7.25" customHeight="1">
      <c r="A594" s="3"/>
      <c r="B594" s="3"/>
      <c r="C594" s="3"/>
      <c r="D594" s="3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7.25" customHeight="1">
      <c r="A595" s="3"/>
      <c r="B595" s="3"/>
      <c r="C595" s="3"/>
      <c r="D595" s="3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7.25" customHeight="1">
      <c r="A596" s="3"/>
      <c r="B596" s="3"/>
      <c r="C596" s="3"/>
      <c r="D596" s="3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7.25" customHeight="1">
      <c r="A597" s="3"/>
      <c r="B597" s="3"/>
      <c r="C597" s="3"/>
      <c r="D597" s="3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7.25" customHeight="1">
      <c r="A598" s="3"/>
      <c r="B598" s="3"/>
      <c r="C598" s="3"/>
      <c r="D598" s="3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7.25" customHeight="1">
      <c r="A599" s="3"/>
      <c r="B599" s="3"/>
      <c r="C599" s="3"/>
      <c r="D599" s="3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7.25" customHeight="1">
      <c r="A600" s="3"/>
      <c r="B600" s="3"/>
      <c r="C600" s="3"/>
      <c r="D600" s="3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7.25" customHeight="1">
      <c r="A601" s="3"/>
      <c r="B601" s="3"/>
      <c r="C601" s="3"/>
      <c r="D601" s="3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7.25" customHeight="1">
      <c r="A602" s="3"/>
      <c r="B602" s="3"/>
      <c r="C602" s="3"/>
      <c r="D602" s="3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7.25" customHeight="1">
      <c r="A603" s="3"/>
      <c r="B603" s="3"/>
      <c r="C603" s="3"/>
      <c r="D603" s="3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7.25" customHeight="1">
      <c r="A604" s="3"/>
      <c r="B604" s="3"/>
      <c r="C604" s="3"/>
      <c r="D604" s="3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7.25" customHeight="1">
      <c r="A605" s="3"/>
      <c r="B605" s="3"/>
      <c r="C605" s="3"/>
      <c r="D605" s="3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7.25" customHeight="1">
      <c r="A606" s="3"/>
      <c r="B606" s="3"/>
      <c r="C606" s="3"/>
      <c r="D606" s="3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7.25" customHeight="1">
      <c r="A607" s="3"/>
      <c r="B607" s="3"/>
      <c r="C607" s="3"/>
      <c r="D607" s="3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7.25" customHeight="1">
      <c r="A608" s="3"/>
      <c r="B608" s="3"/>
      <c r="C608" s="3"/>
      <c r="D608" s="3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7.25" customHeight="1">
      <c r="A609" s="3"/>
      <c r="B609" s="3"/>
      <c r="C609" s="3"/>
      <c r="D609" s="3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7.25" customHeight="1">
      <c r="A610" s="3"/>
      <c r="B610" s="3"/>
      <c r="C610" s="3"/>
      <c r="D610" s="3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7.25" customHeight="1">
      <c r="A611" s="3"/>
      <c r="B611" s="3"/>
      <c r="C611" s="3"/>
      <c r="D611" s="3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7.25" customHeight="1">
      <c r="A612" s="3"/>
      <c r="B612" s="3"/>
      <c r="C612" s="3"/>
      <c r="D612" s="3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7.25" customHeight="1">
      <c r="A613" s="3"/>
      <c r="B613" s="3"/>
      <c r="C613" s="3"/>
      <c r="D613" s="3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7.25" customHeight="1">
      <c r="A614" s="3"/>
      <c r="B614" s="3"/>
      <c r="C614" s="3"/>
      <c r="D614" s="3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7.25" customHeight="1">
      <c r="A615" s="3"/>
      <c r="B615" s="3"/>
      <c r="C615" s="3"/>
      <c r="D615" s="3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7.25" customHeight="1">
      <c r="A616" s="3"/>
      <c r="B616" s="3"/>
      <c r="C616" s="3"/>
      <c r="D616" s="3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7.25" customHeight="1">
      <c r="A617" s="3"/>
      <c r="B617" s="3"/>
      <c r="C617" s="3"/>
      <c r="D617" s="3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7.25" customHeight="1">
      <c r="A618" s="3"/>
      <c r="B618" s="3"/>
      <c r="C618" s="3"/>
      <c r="D618" s="3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7.25" customHeight="1">
      <c r="A619" s="3"/>
      <c r="B619" s="3"/>
      <c r="C619" s="3"/>
      <c r="D619" s="3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7.25" customHeight="1">
      <c r="A620" s="3"/>
      <c r="B620" s="3"/>
      <c r="C620" s="3"/>
      <c r="D620" s="3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7.25" customHeight="1">
      <c r="A621" s="3"/>
      <c r="B621" s="3"/>
      <c r="C621" s="3"/>
      <c r="D621" s="3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7.25" customHeight="1">
      <c r="A622" s="3"/>
      <c r="B622" s="3"/>
      <c r="C622" s="3"/>
      <c r="D622" s="3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7.25" customHeight="1">
      <c r="A623" s="3"/>
      <c r="B623" s="3"/>
      <c r="C623" s="3"/>
      <c r="D623" s="3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7.25" customHeight="1">
      <c r="A624" s="3"/>
      <c r="B624" s="3"/>
      <c r="C624" s="3"/>
      <c r="D624" s="3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7.25" customHeight="1">
      <c r="A625" s="3"/>
      <c r="B625" s="3"/>
      <c r="C625" s="3"/>
      <c r="D625" s="3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7.25" customHeight="1">
      <c r="A626" s="3"/>
      <c r="B626" s="3"/>
      <c r="C626" s="3"/>
      <c r="D626" s="3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7.25" customHeight="1">
      <c r="A627" s="3"/>
      <c r="B627" s="3"/>
      <c r="C627" s="3"/>
      <c r="D627" s="3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7.25" customHeight="1">
      <c r="A628" s="3"/>
      <c r="B628" s="3"/>
      <c r="C628" s="3"/>
      <c r="D628" s="3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7.25" customHeight="1">
      <c r="A629" s="3"/>
      <c r="B629" s="3"/>
      <c r="C629" s="3"/>
      <c r="D629" s="3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7.25" customHeight="1">
      <c r="A630" s="3"/>
      <c r="B630" s="3"/>
      <c r="C630" s="3"/>
      <c r="D630" s="3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7.25" customHeight="1">
      <c r="A631" s="3"/>
      <c r="B631" s="3"/>
      <c r="C631" s="3"/>
      <c r="D631" s="3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7.25" customHeight="1">
      <c r="A632" s="3"/>
      <c r="B632" s="3"/>
      <c r="C632" s="3"/>
      <c r="D632" s="3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7.25" customHeight="1">
      <c r="A633" s="3"/>
      <c r="B633" s="3"/>
      <c r="C633" s="3"/>
      <c r="D633" s="3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7.25" customHeight="1">
      <c r="A634" s="3"/>
      <c r="B634" s="3"/>
      <c r="C634" s="3"/>
      <c r="D634" s="3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7.25" customHeight="1">
      <c r="A635" s="3"/>
      <c r="B635" s="3"/>
      <c r="C635" s="3"/>
      <c r="D635" s="3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7.25" customHeight="1">
      <c r="A636" s="3"/>
      <c r="B636" s="3"/>
      <c r="C636" s="3"/>
      <c r="D636" s="3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7.25" customHeight="1">
      <c r="A637" s="3"/>
      <c r="B637" s="3"/>
      <c r="C637" s="3"/>
      <c r="D637" s="3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7.25" customHeight="1">
      <c r="A638" s="3"/>
      <c r="B638" s="3"/>
      <c r="C638" s="3"/>
      <c r="D638" s="3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7.25" customHeight="1">
      <c r="A639" s="3"/>
      <c r="B639" s="3"/>
      <c r="C639" s="3"/>
      <c r="D639" s="3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7.25" customHeight="1">
      <c r="A640" s="3"/>
      <c r="B640" s="3"/>
      <c r="C640" s="3"/>
      <c r="D640" s="3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7.25" customHeight="1">
      <c r="A641" s="3"/>
      <c r="B641" s="3"/>
      <c r="C641" s="3"/>
      <c r="D641" s="3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7.25" customHeight="1">
      <c r="A642" s="3"/>
      <c r="B642" s="3"/>
      <c r="C642" s="3"/>
      <c r="D642" s="3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7.25" customHeight="1">
      <c r="A643" s="3"/>
      <c r="B643" s="3"/>
      <c r="C643" s="3"/>
      <c r="D643" s="3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7.25" customHeight="1">
      <c r="A644" s="3"/>
      <c r="B644" s="3"/>
      <c r="C644" s="3"/>
      <c r="D644" s="3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7.25" customHeight="1">
      <c r="A645" s="3"/>
      <c r="B645" s="3"/>
      <c r="C645" s="3"/>
      <c r="D645" s="3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7.25" customHeight="1">
      <c r="A646" s="3"/>
      <c r="B646" s="3"/>
      <c r="C646" s="3"/>
      <c r="D646" s="3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7.25" customHeight="1">
      <c r="A647" s="3"/>
      <c r="B647" s="3"/>
      <c r="C647" s="3"/>
      <c r="D647" s="3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7.25" customHeight="1">
      <c r="A648" s="3"/>
      <c r="B648" s="3"/>
      <c r="C648" s="3"/>
      <c r="D648" s="3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7.25" customHeight="1">
      <c r="A649" s="3"/>
      <c r="B649" s="3"/>
      <c r="C649" s="3"/>
      <c r="D649" s="3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7.25" customHeight="1">
      <c r="A650" s="3"/>
      <c r="B650" s="3"/>
      <c r="C650" s="3"/>
      <c r="D650" s="3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7.25" customHeight="1">
      <c r="A651" s="3"/>
      <c r="B651" s="3"/>
      <c r="C651" s="3"/>
      <c r="D651" s="3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7.25" customHeight="1">
      <c r="A652" s="3"/>
      <c r="B652" s="3"/>
      <c r="C652" s="3"/>
      <c r="D652" s="3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7.25" customHeight="1">
      <c r="A653" s="3"/>
      <c r="B653" s="3"/>
      <c r="C653" s="3"/>
      <c r="D653" s="3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7.25" customHeight="1">
      <c r="A654" s="3"/>
      <c r="B654" s="3"/>
      <c r="C654" s="3"/>
      <c r="D654" s="3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7.25" customHeight="1">
      <c r="A655" s="3"/>
      <c r="B655" s="3"/>
      <c r="C655" s="3"/>
      <c r="D655" s="3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7.25" customHeight="1">
      <c r="A656" s="3"/>
      <c r="B656" s="3"/>
      <c r="C656" s="3"/>
      <c r="D656" s="3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7.25" customHeight="1">
      <c r="A657" s="3"/>
      <c r="B657" s="3"/>
      <c r="C657" s="3"/>
      <c r="D657" s="3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7.25" customHeight="1">
      <c r="A658" s="3"/>
      <c r="B658" s="3"/>
      <c r="C658" s="3"/>
      <c r="D658" s="3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7.25" customHeight="1">
      <c r="A659" s="3"/>
      <c r="B659" s="3"/>
      <c r="C659" s="3"/>
      <c r="D659" s="3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7.25" customHeight="1">
      <c r="A660" s="3"/>
      <c r="B660" s="3"/>
      <c r="C660" s="3"/>
      <c r="D660" s="3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7.25" customHeight="1">
      <c r="A661" s="3"/>
      <c r="B661" s="3"/>
      <c r="C661" s="3"/>
      <c r="D661" s="3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7.25" customHeight="1">
      <c r="A662" s="3"/>
      <c r="B662" s="3"/>
      <c r="C662" s="3"/>
      <c r="D662" s="3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7.25" customHeight="1">
      <c r="A663" s="3"/>
      <c r="B663" s="3"/>
      <c r="C663" s="3"/>
      <c r="D663" s="3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7.25" customHeight="1">
      <c r="A664" s="3"/>
      <c r="B664" s="3"/>
      <c r="C664" s="3"/>
      <c r="D664" s="3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7.25" customHeight="1">
      <c r="A665" s="3"/>
      <c r="B665" s="3"/>
      <c r="C665" s="3"/>
      <c r="D665" s="3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7.25" customHeight="1">
      <c r="A666" s="3"/>
      <c r="B666" s="3"/>
      <c r="C666" s="3"/>
      <c r="D666" s="3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7.25" customHeight="1">
      <c r="A667" s="3"/>
      <c r="B667" s="3"/>
      <c r="C667" s="3"/>
      <c r="D667" s="3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7.25" customHeight="1">
      <c r="A668" s="3"/>
      <c r="B668" s="3"/>
      <c r="C668" s="3"/>
      <c r="D668" s="3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7.25" customHeight="1">
      <c r="A669" s="3"/>
      <c r="B669" s="3"/>
      <c r="C669" s="3"/>
      <c r="D669" s="3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7.25" customHeight="1">
      <c r="A670" s="3"/>
      <c r="B670" s="3"/>
      <c r="C670" s="3"/>
      <c r="D670" s="3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7.25" customHeight="1">
      <c r="A671" s="3"/>
      <c r="B671" s="3"/>
      <c r="C671" s="3"/>
      <c r="D671" s="3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7.25" customHeight="1">
      <c r="A672" s="3"/>
      <c r="B672" s="3"/>
      <c r="C672" s="3"/>
      <c r="D672" s="3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7.25" customHeight="1">
      <c r="A673" s="3"/>
      <c r="B673" s="3"/>
      <c r="C673" s="3"/>
      <c r="D673" s="3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7.25" customHeight="1">
      <c r="A674" s="3"/>
      <c r="B674" s="3"/>
      <c r="C674" s="3"/>
      <c r="D674" s="3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7.25" customHeight="1">
      <c r="A675" s="3"/>
      <c r="B675" s="3"/>
      <c r="C675" s="3"/>
      <c r="D675" s="3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7.25" customHeight="1">
      <c r="A676" s="3"/>
      <c r="B676" s="3"/>
      <c r="C676" s="3"/>
      <c r="D676" s="3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7.25" customHeight="1">
      <c r="A677" s="3"/>
      <c r="B677" s="3"/>
      <c r="C677" s="3"/>
      <c r="D677" s="3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7.25" customHeight="1">
      <c r="A678" s="3"/>
      <c r="B678" s="3"/>
      <c r="C678" s="3"/>
      <c r="D678" s="3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7.25" customHeight="1">
      <c r="A679" s="3"/>
      <c r="B679" s="3"/>
      <c r="C679" s="3"/>
      <c r="D679" s="3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7.25" customHeight="1">
      <c r="A680" s="3"/>
      <c r="B680" s="3"/>
      <c r="C680" s="3"/>
      <c r="D680" s="3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7.25" customHeight="1">
      <c r="A681" s="3"/>
      <c r="B681" s="3"/>
      <c r="C681" s="3"/>
      <c r="D681" s="3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7.25" customHeight="1">
      <c r="A682" s="3"/>
      <c r="B682" s="3"/>
      <c r="C682" s="3"/>
      <c r="D682" s="3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7.25" customHeight="1">
      <c r="A683" s="3"/>
      <c r="B683" s="3"/>
      <c r="C683" s="3"/>
      <c r="D683" s="3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7.25" customHeight="1">
      <c r="A684" s="3"/>
      <c r="B684" s="3"/>
      <c r="C684" s="3"/>
      <c r="D684" s="3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7.25" customHeight="1">
      <c r="A685" s="3"/>
      <c r="B685" s="3"/>
      <c r="C685" s="3"/>
      <c r="D685" s="3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7.25" customHeight="1">
      <c r="A686" s="3"/>
      <c r="B686" s="3"/>
      <c r="C686" s="3"/>
      <c r="D686" s="3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7.25" customHeight="1">
      <c r="A687" s="3"/>
      <c r="B687" s="3"/>
      <c r="C687" s="3"/>
      <c r="D687" s="3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7.25" customHeight="1">
      <c r="A688" s="3"/>
      <c r="B688" s="3"/>
      <c r="C688" s="3"/>
      <c r="D688" s="3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7.25" customHeight="1">
      <c r="A689" s="3"/>
      <c r="B689" s="3"/>
      <c r="C689" s="3"/>
      <c r="D689" s="3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7.25" customHeight="1">
      <c r="A690" s="3"/>
      <c r="B690" s="3"/>
      <c r="C690" s="3"/>
      <c r="D690" s="3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7.25" customHeight="1">
      <c r="A691" s="3"/>
      <c r="B691" s="3"/>
      <c r="C691" s="3"/>
      <c r="D691" s="3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7.25" customHeight="1">
      <c r="A692" s="3"/>
      <c r="B692" s="3"/>
      <c r="C692" s="3"/>
      <c r="D692" s="3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7.25" customHeight="1">
      <c r="A693" s="3"/>
      <c r="B693" s="3"/>
      <c r="C693" s="3"/>
      <c r="D693" s="3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7.25" customHeight="1">
      <c r="A694" s="3"/>
      <c r="B694" s="3"/>
      <c r="C694" s="3"/>
      <c r="D694" s="3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7.25" customHeight="1">
      <c r="A695" s="3"/>
      <c r="B695" s="3"/>
      <c r="C695" s="3"/>
      <c r="D695" s="3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7.25" customHeight="1">
      <c r="A696" s="3"/>
      <c r="B696" s="3"/>
      <c r="C696" s="3"/>
      <c r="D696" s="3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7.25" customHeight="1">
      <c r="A697" s="3"/>
      <c r="B697" s="3"/>
      <c r="C697" s="3"/>
      <c r="D697" s="3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7.25" customHeight="1">
      <c r="A698" s="3"/>
      <c r="B698" s="3"/>
      <c r="C698" s="3"/>
      <c r="D698" s="3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7.25" customHeight="1">
      <c r="A699" s="3"/>
      <c r="B699" s="3"/>
      <c r="C699" s="3"/>
      <c r="D699" s="3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7.25" customHeight="1">
      <c r="A700" s="3"/>
      <c r="B700" s="3"/>
      <c r="C700" s="3"/>
      <c r="D700" s="3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7.25" customHeight="1">
      <c r="A701" s="3"/>
      <c r="B701" s="3"/>
      <c r="C701" s="3"/>
      <c r="D701" s="3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7.25" customHeight="1">
      <c r="A702" s="3"/>
      <c r="B702" s="3"/>
      <c r="C702" s="3"/>
      <c r="D702" s="3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7.25" customHeight="1">
      <c r="A703" s="3"/>
      <c r="B703" s="3"/>
      <c r="C703" s="3"/>
      <c r="D703" s="3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7.25" customHeight="1">
      <c r="A704" s="3"/>
      <c r="B704" s="3"/>
      <c r="C704" s="3"/>
      <c r="D704" s="3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7.25" customHeight="1">
      <c r="A705" s="3"/>
      <c r="B705" s="3"/>
      <c r="C705" s="3"/>
      <c r="D705" s="3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7.25" customHeight="1">
      <c r="A706" s="3"/>
      <c r="B706" s="3"/>
      <c r="C706" s="3"/>
      <c r="D706" s="3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7.25" customHeight="1">
      <c r="A707" s="3"/>
      <c r="B707" s="3"/>
      <c r="C707" s="3"/>
      <c r="D707" s="3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7.25" customHeight="1">
      <c r="A708" s="3"/>
      <c r="B708" s="3"/>
      <c r="C708" s="3"/>
      <c r="D708" s="3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7.25" customHeight="1">
      <c r="A709" s="3"/>
      <c r="B709" s="3"/>
      <c r="C709" s="3"/>
      <c r="D709" s="3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7.25" customHeight="1">
      <c r="A710" s="3"/>
      <c r="B710" s="3"/>
      <c r="C710" s="3"/>
      <c r="D710" s="3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7.25" customHeight="1">
      <c r="A711" s="3"/>
      <c r="B711" s="3"/>
      <c r="C711" s="3"/>
      <c r="D711" s="3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7.25" customHeight="1">
      <c r="A712" s="3"/>
      <c r="B712" s="3"/>
      <c r="C712" s="3"/>
      <c r="D712" s="3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7.25" customHeight="1">
      <c r="A713" s="3"/>
      <c r="B713" s="3"/>
      <c r="C713" s="3"/>
      <c r="D713" s="3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7.25" customHeight="1">
      <c r="A714" s="3"/>
      <c r="B714" s="3"/>
      <c r="C714" s="3"/>
      <c r="D714" s="3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7.25" customHeight="1">
      <c r="A715" s="3"/>
      <c r="B715" s="3"/>
      <c r="C715" s="3"/>
      <c r="D715" s="3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7.25" customHeight="1">
      <c r="A716" s="3"/>
      <c r="B716" s="3"/>
      <c r="C716" s="3"/>
      <c r="D716" s="3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7.25" customHeight="1">
      <c r="A717" s="3"/>
      <c r="B717" s="3"/>
      <c r="C717" s="3"/>
      <c r="D717" s="3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7.25" customHeight="1">
      <c r="A718" s="3"/>
      <c r="B718" s="3"/>
      <c r="C718" s="3"/>
      <c r="D718" s="3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7.25" customHeight="1">
      <c r="A719" s="3"/>
      <c r="B719" s="3"/>
      <c r="C719" s="3"/>
      <c r="D719" s="3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7.25" customHeight="1">
      <c r="A720" s="3"/>
      <c r="B720" s="3"/>
      <c r="C720" s="3"/>
      <c r="D720" s="3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7.25" customHeight="1">
      <c r="A721" s="3"/>
      <c r="B721" s="3"/>
      <c r="C721" s="3"/>
      <c r="D721" s="3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7.25" customHeight="1">
      <c r="A722" s="3"/>
      <c r="B722" s="3"/>
      <c r="C722" s="3"/>
      <c r="D722" s="3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7.25" customHeight="1">
      <c r="A723" s="3"/>
      <c r="B723" s="3"/>
      <c r="C723" s="3"/>
      <c r="D723" s="3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7.25" customHeight="1">
      <c r="A724" s="3"/>
      <c r="B724" s="3"/>
      <c r="C724" s="3"/>
      <c r="D724" s="3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7.25" customHeight="1">
      <c r="A725" s="3"/>
      <c r="B725" s="3"/>
      <c r="C725" s="3"/>
      <c r="D725" s="3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7.25" customHeight="1">
      <c r="A726" s="3"/>
      <c r="B726" s="3"/>
      <c r="C726" s="3"/>
      <c r="D726" s="3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7.25" customHeight="1">
      <c r="A727" s="3"/>
      <c r="B727" s="3"/>
      <c r="C727" s="3"/>
      <c r="D727" s="3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7.25" customHeight="1">
      <c r="A728" s="3"/>
      <c r="B728" s="3"/>
      <c r="C728" s="3"/>
      <c r="D728" s="3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7.25" customHeight="1">
      <c r="A729" s="3"/>
      <c r="B729" s="3"/>
      <c r="C729" s="3"/>
      <c r="D729" s="3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7.25" customHeight="1">
      <c r="A730" s="3"/>
      <c r="B730" s="3"/>
      <c r="C730" s="3"/>
      <c r="D730" s="3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7.25" customHeight="1">
      <c r="A731" s="3"/>
      <c r="B731" s="3"/>
      <c r="C731" s="3"/>
      <c r="D731" s="3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7.25" customHeight="1">
      <c r="A732" s="3"/>
      <c r="B732" s="3"/>
      <c r="C732" s="3"/>
      <c r="D732" s="3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7.25" customHeight="1">
      <c r="A733" s="3"/>
      <c r="B733" s="3"/>
      <c r="C733" s="3"/>
      <c r="D733" s="3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7.25" customHeight="1">
      <c r="A734" s="3"/>
      <c r="B734" s="3"/>
      <c r="C734" s="3"/>
      <c r="D734" s="3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7.25" customHeight="1">
      <c r="A735" s="3"/>
      <c r="B735" s="3"/>
      <c r="C735" s="3"/>
      <c r="D735" s="3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7.25" customHeight="1">
      <c r="A736" s="3"/>
      <c r="B736" s="3"/>
      <c r="C736" s="3"/>
      <c r="D736" s="3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7.25" customHeight="1">
      <c r="A737" s="3"/>
      <c r="B737" s="3"/>
      <c r="C737" s="3"/>
      <c r="D737" s="3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7.25" customHeight="1">
      <c r="A738" s="3"/>
      <c r="B738" s="3"/>
      <c r="C738" s="3"/>
      <c r="D738" s="3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7.25" customHeight="1">
      <c r="A739" s="3"/>
      <c r="B739" s="3"/>
      <c r="C739" s="3"/>
      <c r="D739" s="3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7.25" customHeight="1">
      <c r="A740" s="3"/>
      <c r="B740" s="3"/>
      <c r="C740" s="3"/>
      <c r="D740" s="3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7.25" customHeight="1">
      <c r="A741" s="3"/>
      <c r="B741" s="3"/>
      <c r="C741" s="3"/>
      <c r="D741" s="3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7.25" customHeight="1">
      <c r="A742" s="3"/>
      <c r="B742" s="3"/>
      <c r="C742" s="3"/>
      <c r="D742" s="3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7.25" customHeight="1">
      <c r="A743" s="3"/>
      <c r="B743" s="3"/>
      <c r="C743" s="3"/>
      <c r="D743" s="3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7.25" customHeight="1">
      <c r="A744" s="3"/>
      <c r="B744" s="3"/>
      <c r="C744" s="3"/>
      <c r="D744" s="3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7.25" customHeight="1">
      <c r="A745" s="3"/>
      <c r="B745" s="3"/>
      <c r="C745" s="3"/>
      <c r="D745" s="3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7.25" customHeight="1">
      <c r="A746" s="3"/>
      <c r="B746" s="3"/>
      <c r="C746" s="3"/>
      <c r="D746" s="3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7.25" customHeight="1">
      <c r="A747" s="3"/>
      <c r="B747" s="3"/>
      <c r="C747" s="3"/>
      <c r="D747" s="3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7.25" customHeight="1">
      <c r="A748" s="3"/>
      <c r="B748" s="3"/>
      <c r="C748" s="3"/>
      <c r="D748" s="3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7.25" customHeight="1">
      <c r="A749" s="3"/>
      <c r="B749" s="3"/>
      <c r="C749" s="3"/>
      <c r="D749" s="3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7.25" customHeight="1">
      <c r="A750" s="3"/>
      <c r="B750" s="3"/>
      <c r="C750" s="3"/>
      <c r="D750" s="3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7.25" customHeight="1">
      <c r="A751" s="3"/>
      <c r="B751" s="3"/>
      <c r="C751" s="3"/>
      <c r="D751" s="3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7.25" customHeight="1">
      <c r="A752" s="3"/>
      <c r="B752" s="3"/>
      <c r="C752" s="3"/>
      <c r="D752" s="3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7.25" customHeight="1">
      <c r="A753" s="3"/>
      <c r="B753" s="3"/>
      <c r="C753" s="3"/>
      <c r="D753" s="3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7.25" customHeight="1">
      <c r="A754" s="3"/>
      <c r="B754" s="3"/>
      <c r="C754" s="3"/>
      <c r="D754" s="3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7.25" customHeight="1">
      <c r="A755" s="3"/>
      <c r="B755" s="3"/>
      <c r="C755" s="3"/>
      <c r="D755" s="3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7.25" customHeight="1">
      <c r="A756" s="3"/>
      <c r="B756" s="3"/>
      <c r="C756" s="3"/>
      <c r="D756" s="3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7.25" customHeight="1">
      <c r="A757" s="3"/>
      <c r="B757" s="3"/>
      <c r="C757" s="3"/>
      <c r="D757" s="3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7.25" customHeight="1">
      <c r="A758" s="3"/>
      <c r="B758" s="3"/>
      <c r="C758" s="3"/>
      <c r="D758" s="3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7.25" customHeight="1">
      <c r="A759" s="3"/>
      <c r="B759" s="3"/>
      <c r="C759" s="3"/>
      <c r="D759" s="3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7.25" customHeight="1">
      <c r="A760" s="3"/>
      <c r="B760" s="3"/>
      <c r="C760" s="3"/>
      <c r="D760" s="3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7.25" customHeight="1">
      <c r="A761" s="3"/>
      <c r="B761" s="3"/>
      <c r="C761" s="3"/>
      <c r="D761" s="3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7.25" customHeight="1">
      <c r="A762" s="3"/>
      <c r="B762" s="3"/>
      <c r="C762" s="3"/>
      <c r="D762" s="3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7.25" customHeight="1">
      <c r="A763" s="3"/>
      <c r="B763" s="3"/>
      <c r="C763" s="3"/>
      <c r="D763" s="3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7.25" customHeight="1">
      <c r="A764" s="3"/>
      <c r="B764" s="3"/>
      <c r="C764" s="3"/>
      <c r="D764" s="3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7.25" customHeight="1">
      <c r="A765" s="3"/>
      <c r="B765" s="3"/>
      <c r="C765" s="3"/>
      <c r="D765" s="3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7.25" customHeight="1">
      <c r="A766" s="3"/>
      <c r="B766" s="3"/>
      <c r="C766" s="3"/>
      <c r="D766" s="3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7.25" customHeight="1">
      <c r="A767" s="3"/>
      <c r="B767" s="3"/>
      <c r="C767" s="3"/>
      <c r="D767" s="3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7.25" customHeight="1">
      <c r="A768" s="3"/>
      <c r="B768" s="3"/>
      <c r="C768" s="3"/>
      <c r="D768" s="3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7.25" customHeight="1">
      <c r="A769" s="3"/>
      <c r="B769" s="3"/>
      <c r="C769" s="3"/>
      <c r="D769" s="3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7.25" customHeight="1">
      <c r="A770" s="3"/>
      <c r="B770" s="3"/>
      <c r="C770" s="3"/>
      <c r="D770" s="3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7.25" customHeight="1">
      <c r="A771" s="3"/>
      <c r="B771" s="3"/>
      <c r="C771" s="3"/>
      <c r="D771" s="3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7.25" customHeight="1">
      <c r="A772" s="3"/>
      <c r="B772" s="3"/>
      <c r="C772" s="3"/>
      <c r="D772" s="3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7.25" customHeight="1">
      <c r="A773" s="3"/>
      <c r="B773" s="3"/>
      <c r="C773" s="3"/>
      <c r="D773" s="3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7.25" customHeight="1">
      <c r="A774" s="3"/>
      <c r="B774" s="3"/>
      <c r="C774" s="3"/>
      <c r="D774" s="3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7.25" customHeight="1">
      <c r="A775" s="3"/>
      <c r="B775" s="3"/>
      <c r="C775" s="3"/>
      <c r="D775" s="3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7.25" customHeight="1">
      <c r="A776" s="3"/>
      <c r="B776" s="3"/>
      <c r="C776" s="3"/>
      <c r="D776" s="3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7.25" customHeight="1">
      <c r="A777" s="3"/>
      <c r="B777" s="3"/>
      <c r="C777" s="3"/>
      <c r="D777" s="3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7.25" customHeight="1">
      <c r="A778" s="3"/>
      <c r="B778" s="3"/>
      <c r="C778" s="3"/>
      <c r="D778" s="3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7.25" customHeight="1">
      <c r="A779" s="3"/>
      <c r="B779" s="3"/>
      <c r="C779" s="3"/>
      <c r="D779" s="3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7.25" customHeight="1">
      <c r="A780" s="3"/>
      <c r="B780" s="3"/>
      <c r="C780" s="3"/>
      <c r="D780" s="3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7.25" customHeight="1">
      <c r="A781" s="3"/>
      <c r="B781" s="3"/>
      <c r="C781" s="3"/>
      <c r="D781" s="3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7.25" customHeight="1">
      <c r="A782" s="3"/>
      <c r="B782" s="3"/>
      <c r="C782" s="3"/>
      <c r="D782" s="3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7.25" customHeight="1">
      <c r="A783" s="3"/>
      <c r="B783" s="3"/>
      <c r="C783" s="3"/>
      <c r="D783" s="3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7.25" customHeight="1">
      <c r="A784" s="3"/>
      <c r="B784" s="3"/>
      <c r="C784" s="3"/>
      <c r="D784" s="3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7.25" customHeight="1">
      <c r="A785" s="3"/>
      <c r="B785" s="3"/>
      <c r="C785" s="3"/>
      <c r="D785" s="3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7.25" customHeight="1">
      <c r="A786" s="3"/>
      <c r="B786" s="3"/>
      <c r="C786" s="3"/>
      <c r="D786" s="3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7.25" customHeight="1">
      <c r="A787" s="3"/>
      <c r="B787" s="3"/>
      <c r="C787" s="3"/>
      <c r="D787" s="3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7.25" customHeight="1">
      <c r="A788" s="3"/>
      <c r="B788" s="3"/>
      <c r="C788" s="3"/>
      <c r="D788" s="3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7.25" customHeight="1">
      <c r="A789" s="3"/>
      <c r="B789" s="3"/>
      <c r="C789" s="3"/>
      <c r="D789" s="3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7.25" customHeight="1">
      <c r="A790" s="3"/>
      <c r="B790" s="3"/>
      <c r="C790" s="3"/>
      <c r="D790" s="3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7.25" customHeight="1">
      <c r="A791" s="3"/>
      <c r="B791" s="3"/>
      <c r="C791" s="3"/>
      <c r="D791" s="3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7.25" customHeight="1">
      <c r="A792" s="3"/>
      <c r="B792" s="3"/>
      <c r="C792" s="3"/>
      <c r="D792" s="3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7.25" customHeight="1">
      <c r="A793" s="3"/>
      <c r="B793" s="3"/>
      <c r="C793" s="3"/>
      <c r="D793" s="3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7.25" customHeight="1">
      <c r="A794" s="3"/>
      <c r="B794" s="3"/>
      <c r="C794" s="3"/>
      <c r="D794" s="3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7.25" customHeight="1">
      <c r="A795" s="3"/>
      <c r="B795" s="3"/>
      <c r="C795" s="3"/>
      <c r="D795" s="3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7.25" customHeight="1">
      <c r="A796" s="3"/>
      <c r="B796" s="3"/>
      <c r="C796" s="3"/>
      <c r="D796" s="3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7.25" customHeight="1">
      <c r="A797" s="3"/>
      <c r="B797" s="3"/>
      <c r="C797" s="3"/>
      <c r="D797" s="3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7.25" customHeight="1">
      <c r="A798" s="3"/>
      <c r="B798" s="3"/>
      <c r="C798" s="3"/>
      <c r="D798" s="3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7.25" customHeight="1">
      <c r="A799" s="3"/>
      <c r="B799" s="3"/>
      <c r="C799" s="3"/>
      <c r="D799" s="3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7.25" customHeight="1">
      <c r="A800" s="3"/>
      <c r="B800" s="3"/>
      <c r="C800" s="3"/>
      <c r="D800" s="3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7.25" customHeight="1">
      <c r="A801" s="3"/>
      <c r="B801" s="3"/>
      <c r="C801" s="3"/>
      <c r="D801" s="3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7.25" customHeight="1">
      <c r="A802" s="3"/>
      <c r="B802" s="3"/>
      <c r="C802" s="3"/>
      <c r="D802" s="3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7.25" customHeight="1">
      <c r="A803" s="3"/>
      <c r="B803" s="3"/>
      <c r="C803" s="3"/>
      <c r="D803" s="3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7.25" customHeight="1">
      <c r="A804" s="3"/>
      <c r="B804" s="3"/>
      <c r="C804" s="3"/>
      <c r="D804" s="3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7.25" customHeight="1">
      <c r="A805" s="3"/>
      <c r="B805" s="3"/>
      <c r="C805" s="3"/>
      <c r="D805" s="3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7.25" customHeight="1">
      <c r="A806" s="3"/>
      <c r="B806" s="3"/>
      <c r="C806" s="3"/>
      <c r="D806" s="3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7.25" customHeight="1">
      <c r="A807" s="3"/>
      <c r="B807" s="3"/>
      <c r="C807" s="3"/>
      <c r="D807" s="3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7.25" customHeight="1">
      <c r="A808" s="3"/>
      <c r="B808" s="3"/>
      <c r="C808" s="3"/>
      <c r="D808" s="3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7.25" customHeight="1">
      <c r="A809" s="3"/>
      <c r="B809" s="3"/>
      <c r="C809" s="3"/>
      <c r="D809" s="3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7.25" customHeight="1">
      <c r="A810" s="3"/>
      <c r="B810" s="3"/>
      <c r="C810" s="3"/>
      <c r="D810" s="3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7.25" customHeight="1">
      <c r="A811" s="3"/>
      <c r="B811" s="3"/>
      <c r="C811" s="3"/>
      <c r="D811" s="3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7.25" customHeight="1">
      <c r="A812" s="3"/>
      <c r="B812" s="3"/>
      <c r="C812" s="3"/>
      <c r="D812" s="3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7.25" customHeight="1">
      <c r="A813" s="3"/>
      <c r="B813" s="3"/>
      <c r="C813" s="3"/>
      <c r="D813" s="3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7.25" customHeight="1">
      <c r="A814" s="3"/>
      <c r="B814" s="3"/>
      <c r="C814" s="3"/>
      <c r="D814" s="3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7.25" customHeight="1">
      <c r="A815" s="3"/>
      <c r="B815" s="3"/>
      <c r="C815" s="3"/>
      <c r="D815" s="3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7.25" customHeight="1">
      <c r="A816" s="3"/>
      <c r="B816" s="3"/>
      <c r="C816" s="3"/>
      <c r="D816" s="3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7.25" customHeight="1">
      <c r="A817" s="3"/>
      <c r="B817" s="3"/>
      <c r="C817" s="3"/>
      <c r="D817" s="3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7.25" customHeight="1">
      <c r="A818" s="3"/>
      <c r="B818" s="3"/>
      <c r="C818" s="3"/>
      <c r="D818" s="3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7.25" customHeight="1">
      <c r="A819" s="3"/>
      <c r="B819" s="3"/>
      <c r="C819" s="3"/>
      <c r="D819" s="3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7.25" customHeight="1">
      <c r="A820" s="3"/>
      <c r="B820" s="3"/>
      <c r="C820" s="3"/>
      <c r="D820" s="3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7.25" customHeight="1">
      <c r="A821" s="3"/>
      <c r="B821" s="3"/>
      <c r="C821" s="3"/>
      <c r="D821" s="3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7.25" customHeight="1">
      <c r="A822" s="3"/>
      <c r="B822" s="3"/>
      <c r="C822" s="3"/>
      <c r="D822" s="3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7.25" customHeight="1">
      <c r="A823" s="3"/>
      <c r="B823" s="3"/>
      <c r="C823" s="3"/>
      <c r="D823" s="3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7.25" customHeight="1">
      <c r="A824" s="3"/>
      <c r="B824" s="3"/>
      <c r="C824" s="3"/>
      <c r="D824" s="3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7.25" customHeight="1">
      <c r="A825" s="3"/>
      <c r="B825" s="3"/>
      <c r="C825" s="3"/>
      <c r="D825" s="3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7.25" customHeight="1">
      <c r="A826" s="3"/>
      <c r="B826" s="3"/>
      <c r="C826" s="3"/>
      <c r="D826" s="3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7.25" customHeight="1">
      <c r="A827" s="3"/>
      <c r="B827" s="3"/>
      <c r="C827" s="3"/>
      <c r="D827" s="3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7.25" customHeight="1">
      <c r="A828" s="3"/>
      <c r="B828" s="3"/>
      <c r="C828" s="3"/>
      <c r="D828" s="3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7.25" customHeight="1">
      <c r="A829" s="3"/>
      <c r="B829" s="3"/>
      <c r="C829" s="3"/>
      <c r="D829" s="3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7.25" customHeight="1">
      <c r="A830" s="3"/>
      <c r="B830" s="3"/>
      <c r="C830" s="3"/>
      <c r="D830" s="3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7.25" customHeight="1">
      <c r="A831" s="3"/>
      <c r="B831" s="3"/>
      <c r="C831" s="3"/>
      <c r="D831" s="3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7.25" customHeight="1">
      <c r="A832" s="3"/>
      <c r="B832" s="3"/>
      <c r="C832" s="3"/>
      <c r="D832" s="3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7.25" customHeight="1">
      <c r="A833" s="3"/>
      <c r="B833" s="3"/>
      <c r="C833" s="3"/>
      <c r="D833" s="3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7.25" customHeight="1">
      <c r="A834" s="3"/>
      <c r="B834" s="3"/>
      <c r="C834" s="3"/>
      <c r="D834" s="3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7.25" customHeight="1">
      <c r="A835" s="3"/>
      <c r="B835" s="3"/>
      <c r="C835" s="3"/>
      <c r="D835" s="3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7.25" customHeight="1">
      <c r="A836" s="3"/>
      <c r="B836" s="3"/>
      <c r="C836" s="3"/>
      <c r="D836" s="3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7.25" customHeight="1">
      <c r="A837" s="3"/>
      <c r="B837" s="3"/>
      <c r="C837" s="3"/>
      <c r="D837" s="3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7.25" customHeight="1">
      <c r="A838" s="3"/>
      <c r="B838" s="3"/>
      <c r="C838" s="3"/>
      <c r="D838" s="3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7.25" customHeight="1">
      <c r="A839" s="3"/>
      <c r="B839" s="3"/>
      <c r="C839" s="3"/>
      <c r="D839" s="3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7.25" customHeight="1">
      <c r="A840" s="3"/>
      <c r="B840" s="3"/>
      <c r="C840" s="3"/>
      <c r="D840" s="3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7.25" customHeight="1">
      <c r="A841" s="3"/>
      <c r="B841" s="3"/>
      <c r="C841" s="3"/>
      <c r="D841" s="3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7.25" customHeight="1">
      <c r="A842" s="3"/>
      <c r="B842" s="3"/>
      <c r="C842" s="3"/>
      <c r="D842" s="3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7.25" customHeight="1">
      <c r="A843" s="3"/>
      <c r="B843" s="3"/>
      <c r="C843" s="3"/>
      <c r="D843" s="3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7.25" customHeight="1">
      <c r="A844" s="3"/>
      <c r="B844" s="3"/>
      <c r="C844" s="3"/>
      <c r="D844" s="3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7.25" customHeight="1">
      <c r="A845" s="3"/>
      <c r="B845" s="3"/>
      <c r="C845" s="3"/>
      <c r="D845" s="3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7.25" customHeight="1">
      <c r="A846" s="3"/>
      <c r="B846" s="3"/>
      <c r="C846" s="3"/>
      <c r="D846" s="3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7.25" customHeight="1">
      <c r="A847" s="3"/>
      <c r="B847" s="3"/>
      <c r="C847" s="3"/>
      <c r="D847" s="3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7.25" customHeight="1">
      <c r="A848" s="3"/>
      <c r="B848" s="3"/>
      <c r="C848" s="3"/>
      <c r="D848" s="3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7.25" customHeight="1">
      <c r="A849" s="3"/>
      <c r="B849" s="3"/>
      <c r="C849" s="3"/>
      <c r="D849" s="3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7.25" customHeight="1">
      <c r="A850" s="3"/>
      <c r="B850" s="3"/>
      <c r="C850" s="3"/>
      <c r="D850" s="3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7.25" customHeight="1">
      <c r="A851" s="3"/>
      <c r="B851" s="3"/>
      <c r="C851" s="3"/>
      <c r="D851" s="3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7.25" customHeight="1">
      <c r="A852" s="3"/>
      <c r="B852" s="3"/>
      <c r="C852" s="3"/>
      <c r="D852" s="3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7.25" customHeight="1">
      <c r="A853" s="3"/>
      <c r="B853" s="3"/>
      <c r="C853" s="3"/>
      <c r="D853" s="3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7.25" customHeight="1">
      <c r="A854" s="3"/>
      <c r="B854" s="3"/>
      <c r="C854" s="3"/>
      <c r="D854" s="3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7.25" customHeight="1">
      <c r="A855" s="3"/>
      <c r="B855" s="3"/>
      <c r="C855" s="3"/>
      <c r="D855" s="3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7.25" customHeight="1">
      <c r="A856" s="3"/>
      <c r="B856" s="3"/>
      <c r="C856" s="3"/>
      <c r="D856" s="3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7.25" customHeight="1">
      <c r="A857" s="3"/>
      <c r="B857" s="3"/>
      <c r="C857" s="3"/>
      <c r="D857" s="3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7.25" customHeight="1">
      <c r="A858" s="3"/>
      <c r="B858" s="3"/>
      <c r="C858" s="3"/>
      <c r="D858" s="3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7.25" customHeight="1">
      <c r="A859" s="3"/>
      <c r="B859" s="3"/>
      <c r="C859" s="3"/>
      <c r="D859" s="3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7.25" customHeight="1">
      <c r="A860" s="3"/>
      <c r="B860" s="3"/>
      <c r="C860" s="3"/>
      <c r="D860" s="3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7.25" customHeight="1">
      <c r="A861" s="3"/>
      <c r="B861" s="3"/>
      <c r="C861" s="3"/>
      <c r="D861" s="3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7.25" customHeight="1">
      <c r="A862" s="3"/>
      <c r="B862" s="3"/>
      <c r="C862" s="3"/>
      <c r="D862" s="3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7.25" customHeight="1">
      <c r="A863" s="3"/>
      <c r="B863" s="3"/>
      <c r="C863" s="3"/>
      <c r="D863" s="3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7.25" customHeight="1">
      <c r="A864" s="3"/>
      <c r="B864" s="3"/>
      <c r="C864" s="3"/>
      <c r="D864" s="3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7.25" customHeight="1">
      <c r="A865" s="3"/>
      <c r="B865" s="3"/>
      <c r="C865" s="3"/>
      <c r="D865" s="3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7.25" customHeight="1">
      <c r="A866" s="3"/>
      <c r="B866" s="3"/>
      <c r="C866" s="3"/>
      <c r="D866" s="3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7.25" customHeight="1">
      <c r="A867" s="3"/>
      <c r="B867" s="3"/>
      <c r="C867" s="3"/>
      <c r="D867" s="3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7.25" customHeight="1">
      <c r="A868" s="3"/>
      <c r="B868" s="3"/>
      <c r="C868" s="3"/>
      <c r="D868" s="3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7.25" customHeight="1">
      <c r="A869" s="3"/>
      <c r="B869" s="3"/>
      <c r="C869" s="3"/>
      <c r="D869" s="3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7.25" customHeight="1">
      <c r="A870" s="3"/>
      <c r="B870" s="3"/>
      <c r="C870" s="3"/>
      <c r="D870" s="3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7.25" customHeight="1">
      <c r="A871" s="3"/>
      <c r="B871" s="3"/>
      <c r="C871" s="3"/>
      <c r="D871" s="3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7.25" customHeight="1">
      <c r="A872" s="3"/>
      <c r="B872" s="3"/>
      <c r="C872" s="3"/>
      <c r="D872" s="3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7.25" customHeight="1">
      <c r="A873" s="3"/>
      <c r="B873" s="3"/>
      <c r="C873" s="3"/>
      <c r="D873" s="3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7.25" customHeight="1">
      <c r="A874" s="3"/>
      <c r="B874" s="3"/>
      <c r="C874" s="3"/>
      <c r="D874" s="3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7.25" customHeight="1">
      <c r="A875" s="3"/>
      <c r="B875" s="3"/>
      <c r="C875" s="3"/>
      <c r="D875" s="3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7.25" customHeight="1">
      <c r="A876" s="3"/>
      <c r="B876" s="3"/>
      <c r="C876" s="3"/>
      <c r="D876" s="3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7.25" customHeight="1">
      <c r="A877" s="3"/>
      <c r="B877" s="3"/>
      <c r="C877" s="3"/>
      <c r="D877" s="3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7.25" customHeight="1">
      <c r="A878" s="3"/>
      <c r="B878" s="3"/>
      <c r="C878" s="3"/>
      <c r="D878" s="3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7.25" customHeight="1">
      <c r="A879" s="3"/>
      <c r="B879" s="3"/>
      <c r="C879" s="3"/>
      <c r="D879" s="3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7.25" customHeight="1">
      <c r="A880" s="3"/>
      <c r="B880" s="3"/>
      <c r="C880" s="3"/>
      <c r="D880" s="3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7.25" customHeight="1">
      <c r="A881" s="3"/>
      <c r="B881" s="3"/>
      <c r="C881" s="3"/>
      <c r="D881" s="3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7.25" customHeight="1">
      <c r="A882" s="3"/>
      <c r="B882" s="3"/>
      <c r="C882" s="3"/>
      <c r="D882" s="3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7.25" customHeight="1">
      <c r="A883" s="3"/>
      <c r="B883" s="3"/>
      <c r="C883" s="3"/>
      <c r="D883" s="3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7.25" customHeight="1">
      <c r="A884" s="3"/>
      <c r="B884" s="3"/>
      <c r="C884" s="3"/>
      <c r="D884" s="3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7.25" customHeight="1">
      <c r="A885" s="3"/>
      <c r="B885" s="3"/>
      <c r="C885" s="3"/>
      <c r="D885" s="3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7.25" customHeight="1">
      <c r="A886" s="3"/>
      <c r="B886" s="3"/>
      <c r="C886" s="3"/>
      <c r="D886" s="3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7.25" customHeight="1">
      <c r="A887" s="3"/>
      <c r="B887" s="3"/>
      <c r="C887" s="3"/>
      <c r="D887" s="3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7.25" customHeight="1">
      <c r="A888" s="3"/>
      <c r="B888" s="3"/>
      <c r="C888" s="3"/>
      <c r="D888" s="3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7.25" customHeight="1">
      <c r="A889" s="3"/>
      <c r="B889" s="3"/>
      <c r="C889" s="3"/>
      <c r="D889" s="3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7.25" customHeight="1">
      <c r="A890" s="3"/>
      <c r="B890" s="3"/>
      <c r="C890" s="3"/>
      <c r="D890" s="3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7.25" customHeight="1">
      <c r="A891" s="3"/>
      <c r="B891" s="3"/>
      <c r="C891" s="3"/>
      <c r="D891" s="3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7.25" customHeight="1">
      <c r="A892" s="3"/>
      <c r="B892" s="3"/>
      <c r="C892" s="3"/>
      <c r="D892" s="3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7.25" customHeight="1">
      <c r="A893" s="3"/>
      <c r="B893" s="3"/>
      <c r="C893" s="3"/>
      <c r="D893" s="3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7.25" customHeight="1">
      <c r="A894" s="3"/>
      <c r="B894" s="3"/>
      <c r="C894" s="3"/>
      <c r="D894" s="3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7.25" customHeight="1">
      <c r="A895" s="3"/>
      <c r="B895" s="3"/>
      <c r="C895" s="3"/>
      <c r="D895" s="3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7.25" customHeight="1">
      <c r="A896" s="3"/>
      <c r="B896" s="3"/>
      <c r="C896" s="3"/>
      <c r="D896" s="3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7.25" customHeight="1">
      <c r="A897" s="3"/>
      <c r="B897" s="3"/>
      <c r="C897" s="3"/>
      <c r="D897" s="3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7.25" customHeight="1">
      <c r="A898" s="3"/>
      <c r="B898" s="3"/>
      <c r="C898" s="3"/>
      <c r="D898" s="3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7.25" customHeight="1">
      <c r="A899" s="3"/>
      <c r="B899" s="3"/>
      <c r="C899" s="3"/>
      <c r="D899" s="3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7.25" customHeight="1">
      <c r="A900" s="3"/>
      <c r="B900" s="3"/>
      <c r="C900" s="3"/>
      <c r="D900" s="3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7.25" customHeight="1">
      <c r="A901" s="3"/>
      <c r="B901" s="3"/>
      <c r="C901" s="3"/>
      <c r="D901" s="3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7.25" customHeight="1">
      <c r="A902" s="3"/>
      <c r="B902" s="3"/>
      <c r="C902" s="3"/>
      <c r="D902" s="3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7.25" customHeight="1">
      <c r="A903" s="3"/>
      <c r="B903" s="3"/>
      <c r="C903" s="3"/>
      <c r="D903" s="3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7.25" customHeight="1">
      <c r="A904" s="3"/>
      <c r="B904" s="3"/>
      <c r="C904" s="3"/>
      <c r="D904" s="3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7.25" customHeight="1">
      <c r="A905" s="3"/>
      <c r="B905" s="3"/>
      <c r="C905" s="3"/>
      <c r="D905" s="3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7.25" customHeight="1">
      <c r="A906" s="3"/>
      <c r="B906" s="3"/>
      <c r="C906" s="3"/>
      <c r="D906" s="3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7.25" customHeight="1">
      <c r="A907" s="3"/>
      <c r="B907" s="3"/>
      <c r="C907" s="3"/>
      <c r="D907" s="3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7.25" customHeight="1">
      <c r="A908" s="3"/>
      <c r="B908" s="3"/>
      <c r="C908" s="3"/>
      <c r="D908" s="3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7.25" customHeight="1">
      <c r="A909" s="3"/>
      <c r="B909" s="3"/>
      <c r="C909" s="3"/>
      <c r="D909" s="3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7.25" customHeight="1">
      <c r="A910" s="3"/>
      <c r="B910" s="3"/>
      <c r="C910" s="3"/>
      <c r="D910" s="3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7.25" customHeight="1">
      <c r="A911" s="3"/>
      <c r="B911" s="3"/>
      <c r="C911" s="3"/>
      <c r="D911" s="3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7.25" customHeight="1">
      <c r="A912" s="3"/>
      <c r="B912" s="3"/>
      <c r="C912" s="3"/>
      <c r="D912" s="3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7.25" customHeight="1">
      <c r="A913" s="3"/>
      <c r="B913" s="3"/>
      <c r="C913" s="3"/>
      <c r="D913" s="3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7.25" customHeight="1">
      <c r="A914" s="3"/>
      <c r="B914" s="3"/>
      <c r="C914" s="3"/>
      <c r="D914" s="3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7.25" customHeight="1">
      <c r="A915" s="3"/>
      <c r="B915" s="3"/>
      <c r="C915" s="3"/>
      <c r="D915" s="3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7.25" customHeight="1">
      <c r="A916" s="3"/>
      <c r="B916" s="3"/>
      <c r="C916" s="3"/>
      <c r="D916" s="3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7.25" customHeight="1">
      <c r="A917" s="3"/>
      <c r="B917" s="3"/>
      <c r="C917" s="3"/>
      <c r="D917" s="3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7.25" customHeight="1">
      <c r="A918" s="3"/>
      <c r="B918" s="3"/>
      <c r="C918" s="3"/>
      <c r="D918" s="3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7.25" customHeight="1">
      <c r="A919" s="3"/>
      <c r="B919" s="3"/>
      <c r="C919" s="3"/>
      <c r="D919" s="3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7.25" customHeight="1">
      <c r="A920" s="3"/>
      <c r="B920" s="3"/>
      <c r="C920" s="3"/>
      <c r="D920" s="3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7.25" customHeight="1">
      <c r="A921" s="3"/>
      <c r="B921" s="3"/>
      <c r="C921" s="3"/>
      <c r="D921" s="3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7.25" customHeight="1">
      <c r="A922" s="3"/>
      <c r="B922" s="3"/>
      <c r="C922" s="3"/>
      <c r="D922" s="3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7.25" customHeight="1">
      <c r="A923" s="3"/>
      <c r="B923" s="3"/>
      <c r="C923" s="3"/>
      <c r="D923" s="3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7.25" customHeight="1">
      <c r="A924" s="3"/>
      <c r="B924" s="3"/>
      <c r="C924" s="3"/>
      <c r="D924" s="3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7.25" customHeight="1">
      <c r="A925" s="3"/>
      <c r="B925" s="3"/>
      <c r="C925" s="3"/>
      <c r="D925" s="3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7.25" customHeight="1">
      <c r="A926" s="3"/>
      <c r="B926" s="3"/>
      <c r="C926" s="3"/>
      <c r="D926" s="3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7.25" customHeight="1">
      <c r="A927" s="3"/>
      <c r="B927" s="3"/>
      <c r="C927" s="3"/>
      <c r="D927" s="3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7.25" customHeight="1">
      <c r="A928" s="3"/>
      <c r="B928" s="3"/>
      <c r="C928" s="3"/>
      <c r="D928" s="3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7.25" customHeight="1">
      <c r="A929" s="3"/>
      <c r="B929" s="3"/>
      <c r="C929" s="3"/>
      <c r="D929" s="3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7.25" customHeight="1">
      <c r="A930" s="3"/>
      <c r="B930" s="3"/>
      <c r="C930" s="3"/>
      <c r="D930" s="3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7.25" customHeight="1">
      <c r="A931" s="3"/>
      <c r="B931" s="3"/>
      <c r="C931" s="3"/>
      <c r="D931" s="3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7.25" customHeight="1">
      <c r="A932" s="3"/>
      <c r="B932" s="3"/>
      <c r="C932" s="3"/>
      <c r="D932" s="3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7.25" customHeight="1">
      <c r="A933" s="3"/>
      <c r="B933" s="3"/>
      <c r="C933" s="3"/>
      <c r="D933" s="3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7.25" customHeight="1">
      <c r="A934" s="3"/>
      <c r="B934" s="3"/>
      <c r="C934" s="3"/>
      <c r="D934" s="3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7.25" customHeight="1">
      <c r="A935" s="3"/>
      <c r="B935" s="3"/>
      <c r="C935" s="3"/>
      <c r="D935" s="3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7.25" customHeight="1">
      <c r="A936" s="3"/>
      <c r="B936" s="3"/>
      <c r="C936" s="3"/>
      <c r="D936" s="3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7.25" customHeight="1">
      <c r="A937" s="3"/>
      <c r="B937" s="3"/>
      <c r="C937" s="3"/>
      <c r="D937" s="3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7.25" customHeight="1">
      <c r="A938" s="3"/>
      <c r="B938" s="3"/>
      <c r="C938" s="3"/>
      <c r="D938" s="3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7.25" customHeight="1">
      <c r="A939" s="3"/>
      <c r="B939" s="3"/>
      <c r="C939" s="3"/>
      <c r="D939" s="3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7.25" customHeight="1">
      <c r="A940" s="3"/>
      <c r="B940" s="3"/>
      <c r="C940" s="3"/>
      <c r="D940" s="3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7.25" customHeight="1">
      <c r="A941" s="3"/>
      <c r="B941" s="3"/>
      <c r="C941" s="3"/>
      <c r="D941" s="3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7.25" customHeight="1">
      <c r="A942" s="3"/>
      <c r="B942" s="3"/>
      <c r="C942" s="3"/>
      <c r="D942" s="3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7.25" customHeight="1">
      <c r="A943" s="3"/>
      <c r="B943" s="3"/>
      <c r="C943" s="3"/>
      <c r="D943" s="3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7.25" customHeight="1">
      <c r="A944" s="3"/>
      <c r="B944" s="3"/>
      <c r="C944" s="3"/>
      <c r="D944" s="3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7.25" customHeight="1">
      <c r="A945" s="3"/>
      <c r="B945" s="3"/>
      <c r="C945" s="3"/>
      <c r="D945" s="3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7.25" customHeight="1">
      <c r="A946" s="3"/>
      <c r="B946" s="3"/>
      <c r="C946" s="3"/>
      <c r="D946" s="3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7.25" customHeight="1">
      <c r="A947" s="3"/>
      <c r="B947" s="3"/>
      <c r="C947" s="3"/>
      <c r="D947" s="3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7.25" customHeight="1">
      <c r="A948" s="3"/>
      <c r="B948" s="3"/>
      <c r="C948" s="3"/>
      <c r="D948" s="3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7.25" customHeight="1">
      <c r="A949" s="3"/>
      <c r="B949" s="3"/>
      <c r="C949" s="3"/>
      <c r="D949" s="3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7.25" customHeight="1">
      <c r="A950" s="3"/>
      <c r="B950" s="3"/>
      <c r="C950" s="3"/>
      <c r="D950" s="3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7.25" customHeight="1">
      <c r="A951" s="3"/>
      <c r="B951" s="3"/>
      <c r="C951" s="3"/>
      <c r="D951" s="3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7.25" customHeight="1">
      <c r="A952" s="3"/>
      <c r="B952" s="3"/>
      <c r="C952" s="3"/>
      <c r="D952" s="3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7.25" customHeight="1">
      <c r="A953" s="3"/>
      <c r="B953" s="3"/>
      <c r="C953" s="3"/>
      <c r="D953" s="3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7.25" customHeight="1">
      <c r="A954" s="3"/>
      <c r="B954" s="3"/>
      <c r="C954" s="3"/>
      <c r="D954" s="3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7.25" customHeight="1">
      <c r="A955" s="3"/>
      <c r="B955" s="3"/>
      <c r="C955" s="3"/>
      <c r="D955" s="3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7.25" customHeight="1">
      <c r="A956" s="3"/>
      <c r="B956" s="3"/>
      <c r="C956" s="3"/>
      <c r="D956" s="3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7.25" customHeight="1">
      <c r="A957" s="3"/>
      <c r="B957" s="3"/>
      <c r="C957" s="3"/>
      <c r="D957" s="3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7.25" customHeight="1">
      <c r="A958" s="3"/>
      <c r="B958" s="3"/>
      <c r="C958" s="3"/>
      <c r="D958" s="3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7.25" customHeight="1">
      <c r="A959" s="3"/>
      <c r="B959" s="3"/>
      <c r="C959" s="3"/>
      <c r="D959" s="3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7.25" customHeight="1">
      <c r="A960" s="3"/>
      <c r="B960" s="3"/>
      <c r="C960" s="3"/>
      <c r="D960" s="3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7.25" customHeight="1">
      <c r="A961" s="3"/>
      <c r="B961" s="3"/>
      <c r="C961" s="3"/>
      <c r="D961" s="3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7.25" customHeight="1">
      <c r="A962" s="3"/>
      <c r="B962" s="3"/>
      <c r="C962" s="3"/>
      <c r="D962" s="3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7.25" customHeight="1">
      <c r="A963" s="3"/>
      <c r="B963" s="3"/>
      <c r="C963" s="3"/>
      <c r="D963" s="3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7.25" customHeight="1">
      <c r="A964" s="3"/>
      <c r="B964" s="3"/>
      <c r="C964" s="3"/>
      <c r="D964" s="3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7.25" customHeight="1">
      <c r="A965" s="3"/>
      <c r="B965" s="3"/>
      <c r="C965" s="3"/>
      <c r="D965" s="3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7.25" customHeight="1">
      <c r="A966" s="3"/>
      <c r="B966" s="3"/>
      <c r="C966" s="3"/>
      <c r="D966" s="3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7.25" customHeight="1">
      <c r="A967" s="3"/>
      <c r="B967" s="3"/>
      <c r="C967" s="3"/>
      <c r="D967" s="3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7.25" customHeight="1">
      <c r="A968" s="3"/>
      <c r="B968" s="3"/>
      <c r="C968" s="3"/>
      <c r="D968" s="3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7.25" customHeight="1">
      <c r="A969" s="3"/>
      <c r="B969" s="3"/>
      <c r="C969" s="3"/>
      <c r="D969" s="3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7.25" customHeight="1">
      <c r="A970" s="3"/>
      <c r="B970" s="3"/>
      <c r="C970" s="3"/>
      <c r="D970" s="3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7.25" customHeight="1">
      <c r="A971" s="3"/>
      <c r="B971" s="3"/>
      <c r="C971" s="3"/>
      <c r="D971" s="3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7.25" customHeight="1">
      <c r="A972" s="3"/>
      <c r="B972" s="3"/>
      <c r="C972" s="3"/>
      <c r="D972" s="3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7.25" customHeight="1">
      <c r="A973" s="3"/>
      <c r="B973" s="3"/>
      <c r="C973" s="3"/>
      <c r="D973" s="3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7.25" customHeight="1">
      <c r="A974" s="3"/>
      <c r="B974" s="3"/>
      <c r="C974" s="3"/>
      <c r="D974" s="3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7.25" customHeight="1">
      <c r="A975" s="3"/>
      <c r="B975" s="3"/>
      <c r="C975" s="3"/>
      <c r="D975" s="3"/>
      <c r="E975" s="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7.25" customHeight="1">
      <c r="A976" s="3"/>
      <c r="B976" s="3"/>
      <c r="C976" s="3"/>
      <c r="D976" s="3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7.25" customHeight="1">
      <c r="A977" s="3"/>
      <c r="B977" s="3"/>
      <c r="C977" s="3"/>
      <c r="D977" s="3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7.25" customHeight="1">
      <c r="A978" s="3"/>
      <c r="B978" s="3"/>
      <c r="C978" s="3"/>
      <c r="D978" s="3"/>
      <c r="E978" s="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7.25" customHeight="1">
      <c r="A979" s="3"/>
      <c r="B979" s="3"/>
      <c r="C979" s="3"/>
      <c r="D979" s="3"/>
      <c r="E979" s="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7.25" customHeight="1">
      <c r="A980" s="3"/>
      <c r="B980" s="3"/>
      <c r="C980" s="3"/>
      <c r="D980" s="3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7.25" customHeight="1">
      <c r="A981" s="3"/>
      <c r="B981" s="3"/>
      <c r="C981" s="3"/>
      <c r="D981" s="3"/>
      <c r="E981" s="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7.25" customHeight="1">
      <c r="A982" s="3"/>
      <c r="B982" s="3"/>
      <c r="C982" s="3"/>
      <c r="D982" s="3"/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7.25" customHeight="1">
      <c r="A983" s="3"/>
      <c r="B983" s="3"/>
      <c r="C983" s="3"/>
      <c r="D983" s="3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7.25" customHeight="1">
      <c r="A984" s="3"/>
      <c r="B984" s="3"/>
      <c r="C984" s="3"/>
      <c r="D984" s="3"/>
      <c r="E984" s="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7.25" customHeight="1">
      <c r="A985" s="3"/>
      <c r="B985" s="3"/>
      <c r="C985" s="3"/>
      <c r="D985" s="3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7.25" customHeight="1">
      <c r="A986" s="3"/>
      <c r="B986" s="3"/>
      <c r="C986" s="3"/>
      <c r="D986" s="3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7.25" customHeight="1">
      <c r="A987" s="3"/>
      <c r="B987" s="3"/>
      <c r="C987" s="3"/>
      <c r="D987" s="3"/>
      <c r="E987" s="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7.25" customHeight="1">
      <c r="A988" s="3"/>
      <c r="B988" s="3"/>
      <c r="C988" s="3"/>
      <c r="D988" s="3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7.25" customHeight="1">
      <c r="A989" s="3"/>
      <c r="B989" s="3"/>
      <c r="C989" s="3"/>
      <c r="D989" s="3"/>
      <c r="E989" s="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7.25" customHeight="1">
      <c r="A990" s="3"/>
      <c r="B990" s="3"/>
      <c r="C990" s="3"/>
      <c r="D990" s="3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7.25" customHeight="1">
      <c r="A991" s="3"/>
      <c r="B991" s="3"/>
      <c r="C991" s="3"/>
      <c r="D991" s="3"/>
      <c r="E991" s="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7.25" customHeight="1">
      <c r="A992" s="3"/>
      <c r="B992" s="3"/>
      <c r="C992" s="3"/>
      <c r="D992" s="3"/>
      <c r="E992" s="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7.25" customHeight="1">
      <c r="A993" s="3"/>
      <c r="B993" s="3"/>
      <c r="C993" s="3"/>
      <c r="D993" s="3"/>
      <c r="E993" s="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7.25" customHeight="1">
      <c r="A994" s="3"/>
      <c r="B994" s="3"/>
      <c r="C994" s="3"/>
      <c r="D994" s="3"/>
      <c r="E994" s="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7.25" customHeight="1">
      <c r="A995" s="3"/>
      <c r="B995" s="3"/>
      <c r="C995" s="3"/>
      <c r="D995" s="3"/>
      <c r="E995" s="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7.25" customHeight="1">
      <c r="A996" s="3"/>
      <c r="B996" s="3"/>
      <c r="C996" s="3"/>
      <c r="D996" s="3"/>
      <c r="E996" s="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7.25" customHeight="1">
      <c r="A997" s="3"/>
      <c r="B997" s="3"/>
      <c r="C997" s="3"/>
      <c r="D997" s="3"/>
      <c r="E997" s="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7.25" customHeight="1">
      <c r="A998" s="3"/>
      <c r="B998" s="3"/>
      <c r="C998" s="3"/>
      <c r="D998" s="3"/>
      <c r="E998" s="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7.25" customHeight="1">
      <c r="A999" s="3"/>
      <c r="B999" s="3"/>
      <c r="C999" s="3"/>
      <c r="D999" s="3"/>
      <c r="E999" s="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7.25" customHeight="1">
      <c r="A1000" s="3"/>
      <c r="B1000" s="3"/>
      <c r="C1000" s="3"/>
      <c r="D1000" s="3"/>
      <c r="E1000" s="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J$258">
    <filterColumn colId="4">
      <customFilters>
        <customFilter operator="notEqual" val=" "/>
      </custom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6.25"/>
    <col customWidth="1" min="3" max="3" width="24.13"/>
    <col customWidth="1" min="4" max="4" width="29.0"/>
    <col customWidth="1" min="5" max="5" width="31.25"/>
    <col customWidth="1" min="6" max="6" width="15.25"/>
    <col customWidth="1" min="7" max="7" width="19.13"/>
    <col customWidth="1" min="8" max="8" width="41.38"/>
    <col customWidth="1" min="9" max="22" width="11.0"/>
    <col customWidth="1" min="23" max="26" width="7.63"/>
  </cols>
  <sheetData>
    <row r="1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1.5" customHeight="1">
      <c r="A2" s="7"/>
      <c r="B2" s="8" t="s">
        <v>498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9"/>
      <c r="B5" s="10" t="s">
        <v>499</v>
      </c>
      <c r="C5" s="10" t="s">
        <v>500</v>
      </c>
      <c r="D5" s="10" t="s">
        <v>501</v>
      </c>
      <c r="E5" s="10" t="s">
        <v>502</v>
      </c>
      <c r="F5" s="10" t="s">
        <v>503</v>
      </c>
      <c r="G5" s="10" t="s">
        <v>504</v>
      </c>
      <c r="H5" s="10" t="s">
        <v>505</v>
      </c>
      <c r="I5" s="10" t="s">
        <v>506</v>
      </c>
      <c r="J5" s="10" t="s">
        <v>507</v>
      </c>
      <c r="K5" s="10" t="s">
        <v>508</v>
      </c>
      <c r="L5" s="10" t="s">
        <v>509</v>
      </c>
      <c r="M5" s="10" t="s">
        <v>510</v>
      </c>
      <c r="N5" s="10" t="s">
        <v>511</v>
      </c>
      <c r="O5" s="10" t="s">
        <v>512</v>
      </c>
      <c r="P5" s="10" t="s">
        <v>513</v>
      </c>
      <c r="Q5" s="10" t="s">
        <v>514</v>
      </c>
      <c r="R5" s="10" t="s">
        <v>515</v>
      </c>
      <c r="S5" s="10" t="s">
        <v>516</v>
      </c>
      <c r="T5" s="10" t="s">
        <v>517</v>
      </c>
      <c r="U5" s="10" t="s">
        <v>518</v>
      </c>
      <c r="V5" s="10" t="s">
        <v>519</v>
      </c>
      <c r="W5" s="9"/>
      <c r="X5" s="9"/>
      <c r="Y5" s="9"/>
      <c r="Z5" s="9"/>
    </row>
    <row r="6" ht="15.75" customHeight="1">
      <c r="A6" s="9"/>
      <c r="B6" s="11" t="s">
        <v>3</v>
      </c>
      <c r="C6" s="11" t="s">
        <v>520</v>
      </c>
      <c r="D6" s="11" t="s">
        <v>521</v>
      </c>
      <c r="E6" s="11" t="s">
        <v>522</v>
      </c>
      <c r="F6" s="11" t="s">
        <v>523</v>
      </c>
      <c r="G6" s="11" t="s">
        <v>524</v>
      </c>
      <c r="H6" s="11" t="s">
        <v>525</v>
      </c>
      <c r="I6" s="12" t="s">
        <v>526</v>
      </c>
      <c r="J6" s="11" t="s">
        <v>527</v>
      </c>
      <c r="K6" s="11" t="s">
        <v>528</v>
      </c>
      <c r="L6" s="11" t="s">
        <v>529</v>
      </c>
      <c r="M6" s="11" t="s">
        <v>530</v>
      </c>
      <c r="N6" s="11" t="s">
        <v>531</v>
      </c>
      <c r="O6" s="11" t="s">
        <v>532</v>
      </c>
      <c r="P6" s="11" t="s">
        <v>533</v>
      </c>
      <c r="Q6" s="11" t="s">
        <v>534</v>
      </c>
      <c r="R6" s="11" t="s">
        <v>535</v>
      </c>
      <c r="S6" s="11" t="s">
        <v>536</v>
      </c>
      <c r="T6" s="11" t="s">
        <v>537</v>
      </c>
      <c r="U6" s="11" t="s">
        <v>538</v>
      </c>
      <c r="V6" s="11" t="s">
        <v>539</v>
      </c>
      <c r="W6" s="9"/>
      <c r="X6" s="9"/>
      <c r="Y6" s="9"/>
      <c r="Z6" s="9"/>
    </row>
    <row r="7" ht="15.75" customHeight="1">
      <c r="A7" s="6"/>
      <c r="B7" s="13" t="s">
        <v>0</v>
      </c>
      <c r="C7" s="14" t="s">
        <v>153</v>
      </c>
      <c r="D7" s="14" t="s">
        <v>418</v>
      </c>
      <c r="E7" s="14" t="s">
        <v>540</v>
      </c>
      <c r="F7" s="14" t="s">
        <v>287</v>
      </c>
      <c r="G7" s="14" t="s">
        <v>88</v>
      </c>
      <c r="H7" s="14" t="s">
        <v>541</v>
      </c>
      <c r="I7" s="14" t="s">
        <v>542</v>
      </c>
      <c r="J7" s="14" t="s">
        <v>149</v>
      </c>
      <c r="K7" s="14" t="s">
        <v>149</v>
      </c>
      <c r="L7" s="14" t="s">
        <v>109</v>
      </c>
      <c r="M7" s="14" t="s">
        <v>128</v>
      </c>
      <c r="N7" s="14" t="s">
        <v>92</v>
      </c>
      <c r="O7" s="14" t="s">
        <v>146</v>
      </c>
      <c r="P7" s="14" t="s">
        <v>40</v>
      </c>
      <c r="Q7" s="14" t="s">
        <v>43</v>
      </c>
      <c r="R7" s="14" t="s">
        <v>43</v>
      </c>
      <c r="S7" s="14" t="s">
        <v>37</v>
      </c>
      <c r="T7" s="14" t="s">
        <v>33</v>
      </c>
      <c r="U7" s="14" t="s">
        <v>10</v>
      </c>
      <c r="V7" s="14" t="s">
        <v>95</v>
      </c>
      <c r="W7" s="6"/>
      <c r="X7" s="6"/>
      <c r="Y7" s="6"/>
      <c r="Z7" s="6"/>
    </row>
    <row r="8" ht="15.75" customHeight="1">
      <c r="A8" s="6"/>
      <c r="B8" s="13" t="s">
        <v>1</v>
      </c>
      <c r="C8" s="14" t="s">
        <v>154</v>
      </c>
      <c r="D8" s="14" t="s">
        <v>419</v>
      </c>
      <c r="E8" s="14" t="s">
        <v>187</v>
      </c>
      <c r="F8" s="14" t="s">
        <v>288</v>
      </c>
      <c r="G8" s="14" t="s">
        <v>89</v>
      </c>
      <c r="H8" s="14" t="s">
        <v>26</v>
      </c>
      <c r="I8" s="14" t="s">
        <v>22</v>
      </c>
      <c r="J8" s="14" t="s">
        <v>150</v>
      </c>
      <c r="K8" s="14" t="s">
        <v>150</v>
      </c>
      <c r="L8" s="14" t="s">
        <v>110</v>
      </c>
      <c r="M8" s="14" t="s">
        <v>129</v>
      </c>
      <c r="N8" s="14" t="s">
        <v>93</v>
      </c>
      <c r="O8" s="14" t="s">
        <v>147</v>
      </c>
      <c r="P8" s="14" t="s">
        <v>41</v>
      </c>
      <c r="Q8" s="14" t="s">
        <v>44</v>
      </c>
      <c r="R8" s="14" t="s">
        <v>44</v>
      </c>
      <c r="S8" s="14" t="s">
        <v>38</v>
      </c>
      <c r="T8" s="14" t="s">
        <v>34</v>
      </c>
      <c r="U8" s="14" t="s">
        <v>11</v>
      </c>
      <c r="V8" s="14" t="s">
        <v>96</v>
      </c>
      <c r="W8" s="6"/>
      <c r="X8" s="6"/>
      <c r="Y8" s="6"/>
      <c r="Z8" s="6"/>
    </row>
    <row r="9" ht="15.75" hidden="1" customHeight="1">
      <c r="A9" s="6"/>
      <c r="B9" s="13" t="s">
        <v>2</v>
      </c>
      <c r="C9" s="14" t="s">
        <v>12</v>
      </c>
      <c r="D9" s="14" t="s">
        <v>20</v>
      </c>
      <c r="E9" s="14" t="s">
        <v>12</v>
      </c>
      <c r="F9" s="14" t="s">
        <v>12</v>
      </c>
      <c r="G9" s="14" t="s">
        <v>12</v>
      </c>
      <c r="H9" s="14" t="s">
        <v>12</v>
      </c>
      <c r="I9" s="14" t="s">
        <v>12</v>
      </c>
      <c r="J9" s="14" t="s">
        <v>12</v>
      </c>
      <c r="K9" s="14" t="s">
        <v>12</v>
      </c>
      <c r="L9" s="14" t="s">
        <v>12</v>
      </c>
      <c r="M9" s="14" t="s">
        <v>12</v>
      </c>
      <c r="N9" s="14" t="s">
        <v>12</v>
      </c>
      <c r="O9" s="14" t="s">
        <v>12</v>
      </c>
      <c r="P9" s="14" t="s">
        <v>12</v>
      </c>
      <c r="Q9" s="14" t="s">
        <v>12</v>
      </c>
      <c r="R9" s="14" t="s">
        <v>12</v>
      </c>
      <c r="S9" s="14" t="s">
        <v>12</v>
      </c>
      <c r="T9" s="14" t="s">
        <v>12</v>
      </c>
      <c r="U9" s="14" t="s">
        <v>12</v>
      </c>
      <c r="V9" s="14" t="s">
        <v>12</v>
      </c>
      <c r="W9" s="6"/>
      <c r="X9" s="6"/>
      <c r="Y9" s="6"/>
      <c r="Z9" s="6"/>
    </row>
    <row r="10" ht="15.75" customHeight="1">
      <c r="A10" s="6"/>
      <c r="B10" s="15" t="s">
        <v>543</v>
      </c>
      <c r="C10" s="14" t="s">
        <v>544</v>
      </c>
      <c r="D10" s="14" t="s">
        <v>545</v>
      </c>
      <c r="E10" s="14" t="s">
        <v>546</v>
      </c>
      <c r="F10" s="14" t="s">
        <v>545</v>
      </c>
      <c r="G10" s="14" t="s">
        <v>547</v>
      </c>
      <c r="H10" s="14" t="s">
        <v>547</v>
      </c>
      <c r="I10" s="14" t="s">
        <v>547</v>
      </c>
      <c r="J10" s="14" t="s">
        <v>547</v>
      </c>
      <c r="K10" s="14" t="s">
        <v>547</v>
      </c>
      <c r="L10" s="14" t="s">
        <v>547</v>
      </c>
      <c r="M10" s="14" t="s">
        <v>547</v>
      </c>
      <c r="N10" s="14" t="s">
        <v>545</v>
      </c>
      <c r="O10" s="14" t="s">
        <v>545</v>
      </c>
      <c r="P10" s="14" t="s">
        <v>545</v>
      </c>
      <c r="Q10" s="14" t="s">
        <v>545</v>
      </c>
      <c r="R10" s="14" t="s">
        <v>545</v>
      </c>
      <c r="S10" s="14" t="s">
        <v>545</v>
      </c>
      <c r="T10" s="14" t="s">
        <v>548</v>
      </c>
      <c r="U10" s="14" t="s">
        <v>545</v>
      </c>
      <c r="V10" s="14" t="s">
        <v>545</v>
      </c>
      <c r="W10" s="6"/>
      <c r="X10" s="6"/>
      <c r="Y10" s="6"/>
      <c r="Z10" s="6"/>
    </row>
    <row r="11" ht="15.75" customHeight="1">
      <c r="A11" s="6"/>
      <c r="B11" s="15" t="s">
        <v>549</v>
      </c>
      <c r="C11" s="16" t="s">
        <v>550</v>
      </c>
      <c r="D11" s="14" t="s">
        <v>551</v>
      </c>
      <c r="E11" s="16" t="s">
        <v>552</v>
      </c>
      <c r="F11" s="14"/>
      <c r="G11" s="16" t="s">
        <v>550</v>
      </c>
      <c r="H11" s="16" t="s">
        <v>550</v>
      </c>
      <c r="I11" s="16" t="s">
        <v>550</v>
      </c>
      <c r="J11" s="16" t="s">
        <v>550</v>
      </c>
      <c r="K11" s="16" t="s">
        <v>550</v>
      </c>
      <c r="L11" s="16" t="s">
        <v>550</v>
      </c>
      <c r="M11" s="16" t="s">
        <v>550</v>
      </c>
      <c r="N11" s="14" t="s">
        <v>553</v>
      </c>
      <c r="O11" s="14" t="s">
        <v>553</v>
      </c>
      <c r="P11" s="14" t="s">
        <v>553</v>
      </c>
      <c r="Q11" s="14" t="s">
        <v>553</v>
      </c>
      <c r="R11" s="14" t="s">
        <v>553</v>
      </c>
      <c r="S11" s="14" t="s">
        <v>553</v>
      </c>
      <c r="T11" s="14" t="s">
        <v>553</v>
      </c>
      <c r="U11" s="14" t="s">
        <v>553</v>
      </c>
      <c r="V11" s="14" t="s">
        <v>553</v>
      </c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1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18" t="s">
        <v>554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6"/>
      <c r="X13" s="6"/>
      <c r="Y13" s="6"/>
      <c r="Z13" s="6"/>
    </row>
    <row r="14" ht="14.25" customHeight="1">
      <c r="A14" s="6"/>
      <c r="B14" s="15" t="s">
        <v>555</v>
      </c>
      <c r="C14" s="20" t="s">
        <v>556</v>
      </c>
      <c r="D14" s="20" t="s">
        <v>556</v>
      </c>
      <c r="E14" s="20" t="s">
        <v>557</v>
      </c>
      <c r="F14" s="20" t="s">
        <v>556</v>
      </c>
      <c r="G14" s="20" t="s">
        <v>556</v>
      </c>
      <c r="H14" s="20" t="s">
        <v>556</v>
      </c>
      <c r="I14" s="20" t="s">
        <v>556</v>
      </c>
      <c r="J14" s="20" t="s">
        <v>556</v>
      </c>
      <c r="K14" s="20" t="s">
        <v>556</v>
      </c>
      <c r="L14" s="20" t="s">
        <v>556</v>
      </c>
      <c r="M14" s="20" t="s">
        <v>556</v>
      </c>
      <c r="N14" s="20" t="s">
        <v>556</v>
      </c>
      <c r="O14" s="20" t="s">
        <v>556</v>
      </c>
      <c r="P14" s="20" t="s">
        <v>556</v>
      </c>
      <c r="Q14" s="20" t="s">
        <v>556</v>
      </c>
      <c r="R14" s="20" t="s">
        <v>556</v>
      </c>
      <c r="S14" s="20" t="s">
        <v>556</v>
      </c>
      <c r="T14" s="20"/>
      <c r="U14" s="20" t="s">
        <v>556</v>
      </c>
      <c r="V14" s="20" t="s">
        <v>556</v>
      </c>
      <c r="W14" s="6"/>
      <c r="X14" s="6"/>
      <c r="Y14" s="6"/>
      <c r="Z14" s="6"/>
    </row>
    <row r="15" ht="14.25" customHeight="1">
      <c r="A15" s="6"/>
      <c r="B15" s="15" t="s">
        <v>558</v>
      </c>
      <c r="C15" s="20" t="s">
        <v>556</v>
      </c>
      <c r="D15" s="20"/>
      <c r="E15" s="20" t="s">
        <v>559</v>
      </c>
      <c r="F15" s="20" t="s">
        <v>556</v>
      </c>
      <c r="G15" s="20" t="s">
        <v>556</v>
      </c>
      <c r="H15" s="20" t="s">
        <v>556</v>
      </c>
      <c r="I15" s="20" t="s">
        <v>556</v>
      </c>
      <c r="J15" s="20" t="s">
        <v>556</v>
      </c>
      <c r="K15" s="20" t="s">
        <v>556</v>
      </c>
      <c r="L15" s="20" t="s">
        <v>556</v>
      </c>
      <c r="M15" s="20" t="s">
        <v>556</v>
      </c>
      <c r="N15" s="20" t="s">
        <v>556</v>
      </c>
      <c r="O15" s="20" t="s">
        <v>556</v>
      </c>
      <c r="P15" s="20" t="s">
        <v>556</v>
      </c>
      <c r="Q15" s="20"/>
      <c r="R15" s="20"/>
      <c r="S15" s="20"/>
      <c r="T15" s="20"/>
      <c r="U15" s="20"/>
      <c r="V15" s="20"/>
      <c r="W15" s="6"/>
      <c r="X15" s="6"/>
      <c r="Y15" s="6"/>
      <c r="Z15" s="6"/>
    </row>
    <row r="16" ht="14.25" customHeight="1">
      <c r="A16" s="6"/>
      <c r="B16" s="15" t="s">
        <v>560</v>
      </c>
      <c r="C16" s="20" t="s">
        <v>561</v>
      </c>
      <c r="D16" s="20" t="s">
        <v>556</v>
      </c>
      <c r="E16" s="20" t="s">
        <v>562</v>
      </c>
      <c r="F16" s="20" t="s">
        <v>556</v>
      </c>
      <c r="G16" s="20" t="s">
        <v>556</v>
      </c>
      <c r="H16" s="20" t="s">
        <v>556</v>
      </c>
      <c r="I16" s="20" t="s">
        <v>556</v>
      </c>
      <c r="J16" s="20" t="s">
        <v>556</v>
      </c>
      <c r="K16" s="20" t="s">
        <v>556</v>
      </c>
      <c r="L16" s="20" t="s">
        <v>556</v>
      </c>
      <c r="M16" s="20" t="s">
        <v>556</v>
      </c>
      <c r="N16" s="20" t="s">
        <v>556</v>
      </c>
      <c r="O16" s="20" t="s">
        <v>556</v>
      </c>
      <c r="P16" s="20" t="s">
        <v>556</v>
      </c>
      <c r="Q16" s="20" t="s">
        <v>556</v>
      </c>
      <c r="R16" s="20" t="s">
        <v>556</v>
      </c>
      <c r="S16" s="20" t="s">
        <v>556</v>
      </c>
      <c r="T16" s="20" t="s">
        <v>556</v>
      </c>
      <c r="U16" s="20" t="s">
        <v>556</v>
      </c>
      <c r="V16" s="20" t="s">
        <v>556</v>
      </c>
      <c r="W16" s="6"/>
      <c r="X16" s="6"/>
      <c r="Y16" s="6"/>
      <c r="Z16" s="6"/>
    </row>
    <row r="17" ht="14.25" customHeight="1">
      <c r="A17" s="6"/>
      <c r="B17" s="15" t="s">
        <v>563</v>
      </c>
      <c r="C17" s="20"/>
      <c r="D17" s="20" t="s">
        <v>561</v>
      </c>
      <c r="E17" s="20" t="s">
        <v>564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 t="s">
        <v>556</v>
      </c>
      <c r="R17" s="20" t="s">
        <v>556</v>
      </c>
      <c r="S17" s="20"/>
      <c r="T17" s="20"/>
      <c r="U17" s="20" t="s">
        <v>556</v>
      </c>
      <c r="V17" s="20"/>
      <c r="W17" s="6"/>
      <c r="X17" s="6"/>
      <c r="Y17" s="6"/>
      <c r="Z17" s="6"/>
    </row>
    <row r="18" ht="14.25" customHeight="1">
      <c r="A18" s="6"/>
      <c r="B18" s="15" t="s">
        <v>565</v>
      </c>
      <c r="C18" s="20"/>
      <c r="D18" s="20"/>
      <c r="E18" s="20"/>
      <c r="F18" s="20"/>
      <c r="G18" s="20"/>
      <c r="H18" s="20" t="s">
        <v>561</v>
      </c>
      <c r="I18" s="20"/>
      <c r="J18" s="20"/>
      <c r="K18" s="20"/>
      <c r="L18" s="20"/>
      <c r="M18" s="20"/>
      <c r="N18" s="20"/>
      <c r="O18" s="20"/>
      <c r="P18" s="20"/>
      <c r="Q18" s="20" t="s">
        <v>556</v>
      </c>
      <c r="R18" s="20" t="s">
        <v>556</v>
      </c>
      <c r="S18" s="20"/>
      <c r="T18" s="20" t="s">
        <v>556</v>
      </c>
      <c r="U18" s="20" t="s">
        <v>561</v>
      </c>
      <c r="V18" s="20" t="s">
        <v>556</v>
      </c>
      <c r="W18" s="6"/>
      <c r="X18" s="6"/>
      <c r="Y18" s="6"/>
      <c r="Z18" s="6"/>
    </row>
    <row r="19" ht="13.5" customHeight="1">
      <c r="A19" s="6"/>
      <c r="B19" s="21" t="s">
        <v>566</v>
      </c>
      <c r="C19" s="20"/>
      <c r="D19" s="22" t="s">
        <v>567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 t="s">
        <v>568</v>
      </c>
      <c r="Q19" s="20"/>
      <c r="R19" s="20"/>
      <c r="S19" s="20"/>
      <c r="T19" s="20"/>
      <c r="U19" s="20" t="s">
        <v>569</v>
      </c>
      <c r="V19" s="20"/>
      <c r="W19" s="6"/>
      <c r="X19" s="6"/>
      <c r="Y19" s="6"/>
      <c r="Z19" s="6"/>
    </row>
    <row r="20" ht="13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3.5" customHeight="1">
      <c r="A21" s="6"/>
      <c r="B21" s="18" t="s">
        <v>570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6"/>
      <c r="X21" s="6"/>
      <c r="Y21" s="6"/>
      <c r="Z21" s="6"/>
    </row>
    <row r="22" ht="13.5" customHeight="1">
      <c r="A22" s="6"/>
      <c r="B22" s="6"/>
      <c r="C22" s="6" t="s">
        <v>571</v>
      </c>
      <c r="D22" s="6" t="s">
        <v>572</v>
      </c>
      <c r="E22" s="6" t="s">
        <v>192</v>
      </c>
      <c r="F22" s="6" t="s">
        <v>573</v>
      </c>
      <c r="G22" s="24" t="s">
        <v>574</v>
      </c>
      <c r="H22" s="6" t="s">
        <v>575</v>
      </c>
      <c r="I22" s="6" t="s">
        <v>575</v>
      </c>
      <c r="J22" s="6" t="s">
        <v>576</v>
      </c>
      <c r="K22" s="6" t="s">
        <v>576</v>
      </c>
      <c r="L22" s="25" t="s">
        <v>577</v>
      </c>
      <c r="M22" s="25" t="s">
        <v>577</v>
      </c>
      <c r="N22" s="6" t="s">
        <v>578</v>
      </c>
      <c r="O22" s="6" t="s">
        <v>578</v>
      </c>
      <c r="P22" s="6"/>
      <c r="Q22" s="6" t="s">
        <v>579</v>
      </c>
      <c r="R22" s="6" t="s">
        <v>579</v>
      </c>
      <c r="S22" s="6" t="s">
        <v>580</v>
      </c>
      <c r="T22" s="6" t="s">
        <v>581</v>
      </c>
      <c r="U22" s="6" t="s">
        <v>582</v>
      </c>
      <c r="V22" s="6" t="s">
        <v>583</v>
      </c>
      <c r="W22" s="6"/>
      <c r="X22" s="6"/>
      <c r="Y22" s="6"/>
      <c r="Z22" s="6"/>
    </row>
    <row r="23" ht="13.5" customHeight="1">
      <c r="A23" s="6"/>
      <c r="B23" s="6"/>
      <c r="C23" s="6"/>
      <c r="D23" s="6" t="s">
        <v>584</v>
      </c>
      <c r="E23" s="6" t="s">
        <v>585</v>
      </c>
      <c r="F23" s="6" t="s">
        <v>287</v>
      </c>
      <c r="G23" s="24" t="s">
        <v>586</v>
      </c>
      <c r="H23" s="6" t="s">
        <v>587</v>
      </c>
      <c r="I23" s="6" t="s">
        <v>588</v>
      </c>
      <c r="J23" s="6" t="s">
        <v>589</v>
      </c>
      <c r="K23" s="6" t="s">
        <v>589</v>
      </c>
      <c r="L23" s="25" t="s">
        <v>590</v>
      </c>
      <c r="M23" s="25" t="s">
        <v>590</v>
      </c>
      <c r="N23" s="6" t="s">
        <v>591</v>
      </c>
      <c r="O23" s="6" t="s">
        <v>591</v>
      </c>
      <c r="P23" s="6"/>
      <c r="Q23" s="6" t="s">
        <v>592</v>
      </c>
      <c r="R23" s="6" t="s">
        <v>592</v>
      </c>
      <c r="S23" s="6" t="s">
        <v>593</v>
      </c>
      <c r="T23" s="6"/>
      <c r="U23" s="6" t="s">
        <v>594</v>
      </c>
      <c r="V23" s="6" t="s">
        <v>595</v>
      </c>
      <c r="W23" s="6"/>
      <c r="X23" s="6"/>
      <c r="Y23" s="6"/>
      <c r="Z23" s="6"/>
    </row>
    <row r="24" ht="13.5" customHeight="1">
      <c r="A24" s="6"/>
      <c r="B24" s="6"/>
      <c r="C24" s="6"/>
      <c r="D24" s="6"/>
      <c r="E24" s="6" t="s">
        <v>186</v>
      </c>
      <c r="F24" s="6"/>
      <c r="G24" s="24" t="s">
        <v>596</v>
      </c>
      <c r="H24" s="6"/>
      <c r="I24" s="6" t="s">
        <v>597</v>
      </c>
      <c r="J24" s="6" t="s">
        <v>598</v>
      </c>
      <c r="K24" s="6" t="s">
        <v>598</v>
      </c>
      <c r="L24" s="25" t="s">
        <v>599</v>
      </c>
      <c r="M24" s="25" t="s">
        <v>599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6"/>
      <c r="B25" s="6"/>
      <c r="C25" s="6"/>
      <c r="D25" s="6"/>
      <c r="E25" s="6" t="s">
        <v>440</v>
      </c>
      <c r="F25" s="6"/>
      <c r="G25" s="24" t="s">
        <v>600</v>
      </c>
      <c r="H25" s="6"/>
      <c r="I25" s="6"/>
      <c r="J25" s="6" t="s">
        <v>600</v>
      </c>
      <c r="K25" s="6" t="s">
        <v>600</v>
      </c>
      <c r="L25" s="25" t="s">
        <v>601</v>
      </c>
      <c r="M25" s="25" t="s">
        <v>601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6"/>
      <c r="B26" s="6"/>
      <c r="C26" s="6"/>
      <c r="D26" s="6"/>
      <c r="E26" s="6" t="s">
        <v>602</v>
      </c>
      <c r="F26" s="6"/>
      <c r="G26" s="6"/>
      <c r="H26" s="6"/>
      <c r="I26" s="6"/>
      <c r="J26" s="6" t="s">
        <v>596</v>
      </c>
      <c r="K26" s="6" t="s">
        <v>596</v>
      </c>
      <c r="L26" s="25" t="s">
        <v>603</v>
      </c>
      <c r="M26" s="25" t="s">
        <v>603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6"/>
      <c r="B27" s="6"/>
      <c r="C27" s="6"/>
      <c r="D27" s="6"/>
      <c r="E27" s="6" t="s">
        <v>435</v>
      </c>
      <c r="F27" s="6"/>
      <c r="G27" s="6"/>
      <c r="H27" s="6"/>
      <c r="I27" s="6"/>
      <c r="J27" s="6" t="s">
        <v>604</v>
      </c>
      <c r="K27" s="6" t="s">
        <v>604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6"/>
      <c r="B28" s="6"/>
      <c r="C28" s="6"/>
      <c r="D28" s="6"/>
      <c r="E28" s="6" t="s">
        <v>493</v>
      </c>
      <c r="F28" s="6"/>
      <c r="G28" s="6"/>
      <c r="H28" s="6"/>
      <c r="I28" s="6"/>
      <c r="J28" s="6" t="s">
        <v>605</v>
      </c>
      <c r="K28" s="6" t="s">
        <v>605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6"/>
      <c r="B29" s="6"/>
      <c r="C29" s="6"/>
      <c r="D29" s="6"/>
      <c r="E29" s="6" t="s">
        <v>375</v>
      </c>
      <c r="F29" s="6"/>
      <c r="G29" s="6"/>
      <c r="H29" s="6"/>
      <c r="I29" s="6"/>
      <c r="J29" s="6" t="s">
        <v>606</v>
      </c>
      <c r="K29" s="6" t="s">
        <v>606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6"/>
      <c r="B30" s="6"/>
      <c r="C30" s="6"/>
      <c r="D30" s="6"/>
      <c r="E30" s="6" t="s">
        <v>607</v>
      </c>
      <c r="F30" s="6"/>
      <c r="G30" s="6"/>
      <c r="H30" s="6"/>
      <c r="I30" s="6"/>
      <c r="J30" s="6" t="s">
        <v>608</v>
      </c>
      <c r="K30" s="6" t="s">
        <v>608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6"/>
      <c r="B31" s="6"/>
      <c r="C31" s="6"/>
      <c r="D31" s="6"/>
      <c r="E31" s="6" t="s">
        <v>609</v>
      </c>
      <c r="F31" s="6"/>
      <c r="G31" s="6"/>
      <c r="H31" s="6"/>
      <c r="I31" s="6"/>
      <c r="J31" s="6" t="s">
        <v>610</v>
      </c>
      <c r="K31" s="6" t="s">
        <v>610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>
      <c r="A32" s="6"/>
      <c r="B32" s="6"/>
      <c r="C32" s="6"/>
      <c r="D32" s="6"/>
      <c r="E32" s="6" t="s">
        <v>611</v>
      </c>
      <c r="F32" s="6"/>
      <c r="G32" s="6"/>
      <c r="H32" s="6"/>
      <c r="I32" s="6"/>
      <c r="J32" s="6" t="s">
        <v>612</v>
      </c>
      <c r="K32" s="6" t="s">
        <v>612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6"/>
      <c r="B33" s="6"/>
      <c r="C33" s="6"/>
      <c r="D33" s="6"/>
      <c r="E33" s="6" t="s">
        <v>613</v>
      </c>
      <c r="F33" s="6"/>
      <c r="G33" s="6"/>
      <c r="H33" s="6"/>
      <c r="I33" s="6"/>
      <c r="J33" s="6" t="s">
        <v>614</v>
      </c>
      <c r="K33" s="6" t="s">
        <v>614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6"/>
      <c r="B34" s="6"/>
      <c r="C34" s="6"/>
      <c r="D34" s="6"/>
      <c r="E34" s="6" t="s">
        <v>615</v>
      </c>
      <c r="F34" s="6"/>
      <c r="G34" s="6"/>
      <c r="H34" s="6"/>
      <c r="I34" s="6"/>
      <c r="J34" s="6" t="s">
        <v>616</v>
      </c>
      <c r="K34" s="6" t="s">
        <v>616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6"/>
      <c r="B35" s="6"/>
      <c r="C35" s="6"/>
      <c r="D35" s="6"/>
      <c r="E35" s="6" t="s">
        <v>617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6"/>
      <c r="B36" s="6"/>
      <c r="C36" s="6"/>
      <c r="D36" s="6"/>
      <c r="E36" s="6" t="s">
        <v>618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6"/>
      <c r="B37" s="6"/>
      <c r="C37" s="6"/>
      <c r="D37" s="6"/>
      <c r="E37" s="6" t="s">
        <v>619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6"/>
      <c r="B38" s="6"/>
      <c r="C38" s="6"/>
      <c r="D38" s="6"/>
      <c r="E38" s="6" t="s">
        <v>620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6"/>
      <c r="B39" s="6"/>
      <c r="C39" s="6"/>
      <c r="D39" s="6"/>
      <c r="E39" s="6" t="s">
        <v>621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6"/>
      <c r="B40" s="6"/>
      <c r="C40" s="6"/>
      <c r="D40" s="6"/>
      <c r="E40" s="6" t="s">
        <v>622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>
      <c r="A41" s="6"/>
      <c r="B41" s="6"/>
      <c r="C41" s="6"/>
      <c r="D41" s="6"/>
      <c r="E41" s="6" t="s">
        <v>385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>
      <c r="A42" s="6"/>
      <c r="B42" s="6"/>
      <c r="C42" s="6"/>
      <c r="D42" s="6"/>
      <c r="E42" s="6" t="s">
        <v>623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6"/>
      <c r="B43" s="6"/>
      <c r="C43" s="6"/>
      <c r="D43" s="6"/>
      <c r="E43" s="6" t="s">
        <v>462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6"/>
      <c r="B44" s="6"/>
      <c r="C44" s="6"/>
      <c r="D44" s="6"/>
      <c r="E44" s="6" t="s">
        <v>624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6"/>
      <c r="B47" s="18" t="s">
        <v>625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6"/>
      <c r="X47" s="6"/>
      <c r="Y47" s="6"/>
      <c r="Z47" s="6"/>
    </row>
    <row r="48" ht="13.5" customHeight="1">
      <c r="A48" s="6"/>
      <c r="B48" s="6"/>
      <c r="C48" s="6" t="s">
        <v>626</v>
      </c>
      <c r="D48" s="6" t="s">
        <v>627</v>
      </c>
      <c r="E48" s="6" t="s">
        <v>192</v>
      </c>
      <c r="F48" s="6" t="s">
        <v>573</v>
      </c>
      <c r="G48" s="24" t="s">
        <v>586</v>
      </c>
      <c r="H48" s="6" t="s">
        <v>575</v>
      </c>
      <c r="I48" s="6" t="s">
        <v>575</v>
      </c>
      <c r="J48" s="6" t="s">
        <v>628</v>
      </c>
      <c r="K48" s="6" t="s">
        <v>629</v>
      </c>
      <c r="L48" s="25" t="s">
        <v>577</v>
      </c>
      <c r="M48" s="25" t="s">
        <v>590</v>
      </c>
      <c r="N48" s="6" t="s">
        <v>578</v>
      </c>
      <c r="O48" s="6" t="s">
        <v>591</v>
      </c>
      <c r="P48" s="6"/>
      <c r="Q48" s="6" t="s">
        <v>630</v>
      </c>
      <c r="R48" s="6" t="s">
        <v>630</v>
      </c>
      <c r="S48" s="6" t="s">
        <v>580</v>
      </c>
      <c r="T48" s="6" t="s">
        <v>581</v>
      </c>
      <c r="U48" s="6" t="s">
        <v>631</v>
      </c>
      <c r="V48" s="6" t="s">
        <v>632</v>
      </c>
      <c r="W48" s="6"/>
      <c r="X48" s="6"/>
      <c r="Y48" s="6"/>
      <c r="Z48" s="6"/>
    </row>
    <row r="49" ht="13.5" customHeight="1">
      <c r="A49" s="6"/>
      <c r="B49" s="6"/>
      <c r="C49" s="6" t="s">
        <v>633</v>
      </c>
      <c r="D49" s="6"/>
      <c r="E49" s="6" t="s">
        <v>186</v>
      </c>
      <c r="F49" s="6" t="s">
        <v>287</v>
      </c>
      <c r="G49" s="6"/>
      <c r="H49" s="6" t="s">
        <v>634</v>
      </c>
      <c r="I49" s="6" t="s">
        <v>588</v>
      </c>
      <c r="J49" s="6"/>
      <c r="K49" s="6"/>
      <c r="L49" s="6"/>
      <c r="M49" s="6"/>
      <c r="N49" s="6"/>
      <c r="O49" s="6"/>
      <c r="P49" s="6"/>
      <c r="Q49" s="6"/>
      <c r="R49" s="6"/>
      <c r="S49" s="6" t="s">
        <v>593</v>
      </c>
      <c r="T49" s="6"/>
      <c r="U49" s="6" t="s">
        <v>631</v>
      </c>
      <c r="V49" s="6" t="s">
        <v>635</v>
      </c>
      <c r="W49" s="6"/>
      <c r="X49" s="6"/>
      <c r="Y49" s="6"/>
      <c r="Z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 t="s">
        <v>597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/>
      <c r="B53" s="18" t="s">
        <v>636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6"/>
      <c r="X53" s="6"/>
      <c r="Y53" s="6"/>
      <c r="Z53" s="6"/>
    </row>
    <row r="54" ht="13.5" customHeight="1">
      <c r="A54" s="6"/>
      <c r="B54" s="6" t="s">
        <v>637</v>
      </c>
      <c r="C54" s="6" t="s">
        <v>638</v>
      </c>
      <c r="D54" s="6"/>
      <c r="E54" s="6" t="s">
        <v>639</v>
      </c>
      <c r="F54" s="6"/>
      <c r="G54" s="6" t="s">
        <v>640</v>
      </c>
      <c r="H54" s="6" t="s">
        <v>640</v>
      </c>
      <c r="I54" s="6" t="s">
        <v>640</v>
      </c>
      <c r="J54" s="6" t="s">
        <v>640</v>
      </c>
      <c r="K54" s="6" t="s">
        <v>640</v>
      </c>
      <c r="L54" s="6" t="s">
        <v>641</v>
      </c>
      <c r="M54" s="6" t="s">
        <v>641</v>
      </c>
      <c r="N54" s="6"/>
      <c r="O54" s="6"/>
      <c r="P54" s="6"/>
      <c r="Q54" s="6" t="s">
        <v>642</v>
      </c>
      <c r="R54" s="6" t="s">
        <v>642</v>
      </c>
      <c r="S54" s="6" t="s">
        <v>642</v>
      </c>
      <c r="T54" s="6" t="s">
        <v>643</v>
      </c>
      <c r="U54" s="6" t="s">
        <v>643</v>
      </c>
      <c r="V54" s="6" t="s">
        <v>644</v>
      </c>
      <c r="W54" s="6"/>
      <c r="X54" s="6"/>
      <c r="Y54" s="6"/>
      <c r="Z54" s="6"/>
    </row>
    <row r="55" ht="13.5" customHeight="1">
      <c r="A55" s="6"/>
      <c r="B55" s="6" t="s">
        <v>645</v>
      </c>
      <c r="C55" s="6" t="s">
        <v>640</v>
      </c>
      <c r="D55" s="6"/>
      <c r="E55" s="6" t="s">
        <v>640</v>
      </c>
      <c r="F55" s="6"/>
      <c r="G55" s="6"/>
      <c r="H55" s="6" t="s">
        <v>639</v>
      </c>
      <c r="I55" s="6" t="s">
        <v>639</v>
      </c>
      <c r="J55" s="6" t="s">
        <v>639</v>
      </c>
      <c r="K55" s="6" t="s">
        <v>639</v>
      </c>
      <c r="L55" s="6" t="s">
        <v>646</v>
      </c>
      <c r="M55" s="6" t="s">
        <v>646</v>
      </c>
      <c r="N55" s="6"/>
      <c r="O55" s="6"/>
      <c r="P55" s="6"/>
      <c r="Q55" s="6" t="s">
        <v>647</v>
      </c>
      <c r="R55" s="6" t="s">
        <v>647</v>
      </c>
      <c r="S55" s="6" t="s">
        <v>647</v>
      </c>
      <c r="T55" s="6" t="s">
        <v>648</v>
      </c>
      <c r="U55" s="6"/>
      <c r="V55" s="6"/>
      <c r="W55" s="6"/>
      <c r="X55" s="6"/>
      <c r="Y55" s="6"/>
      <c r="Z55" s="6"/>
    </row>
    <row r="56" ht="13.5" customHeight="1">
      <c r="A56" s="6"/>
      <c r="B56" s="6" t="s">
        <v>649</v>
      </c>
      <c r="C56" s="6" t="s">
        <v>650</v>
      </c>
      <c r="D56" s="6"/>
      <c r="E56" s="6" t="s">
        <v>651</v>
      </c>
      <c r="F56" s="6"/>
      <c r="G56" s="6"/>
      <c r="H56" s="6" t="s">
        <v>652</v>
      </c>
      <c r="I56" s="6" t="s">
        <v>650</v>
      </c>
      <c r="J56" s="6" t="s">
        <v>652</v>
      </c>
      <c r="K56" s="6" t="s">
        <v>652</v>
      </c>
      <c r="L56" s="6" t="s">
        <v>650</v>
      </c>
      <c r="M56" s="6" t="s">
        <v>650</v>
      </c>
      <c r="N56" s="6"/>
      <c r="O56" s="6"/>
      <c r="P56" s="6"/>
      <c r="Q56" s="6" t="s">
        <v>653</v>
      </c>
      <c r="R56" s="6" t="s">
        <v>653</v>
      </c>
      <c r="S56" s="6" t="s">
        <v>653</v>
      </c>
      <c r="T56" s="6" t="s">
        <v>654</v>
      </c>
      <c r="U56" s="6"/>
      <c r="V56" s="6"/>
      <c r="W56" s="6"/>
      <c r="X56" s="6"/>
      <c r="Y56" s="6"/>
      <c r="Z56" s="6"/>
    </row>
    <row r="57" ht="13.5" customHeight="1">
      <c r="A57" s="6"/>
      <c r="B57" s="6" t="s">
        <v>655</v>
      </c>
      <c r="C57" s="6"/>
      <c r="D57" s="6"/>
      <c r="E57" s="6" t="s">
        <v>650</v>
      </c>
      <c r="F57" s="6"/>
      <c r="G57" s="6"/>
      <c r="H57" s="6" t="s">
        <v>650</v>
      </c>
      <c r="I57" s="6"/>
      <c r="J57" s="6" t="s">
        <v>650</v>
      </c>
      <c r="K57" s="6" t="s">
        <v>650</v>
      </c>
      <c r="L57" s="6"/>
      <c r="M57" s="6"/>
      <c r="N57" s="6"/>
      <c r="O57" s="6"/>
      <c r="P57" s="6"/>
      <c r="Q57" s="6"/>
      <c r="R57" s="6"/>
      <c r="S57" s="6"/>
      <c r="T57" s="6" t="s">
        <v>656</v>
      </c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18" t="s">
        <v>657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6"/>
      <c r="X60" s="6"/>
      <c r="Y60" s="6"/>
      <c r="Z60" s="6"/>
    </row>
    <row r="61" ht="13.5" customHeight="1">
      <c r="A61" s="6"/>
      <c r="B61" s="6" t="s">
        <v>658</v>
      </c>
      <c r="C61" s="6" t="s">
        <v>659</v>
      </c>
      <c r="D61" s="6" t="s">
        <v>659</v>
      </c>
      <c r="E61" s="6" t="s">
        <v>659</v>
      </c>
      <c r="F61" s="6" t="s">
        <v>659</v>
      </c>
      <c r="G61" s="6" t="s">
        <v>659</v>
      </c>
      <c r="H61" s="6" t="s">
        <v>659</v>
      </c>
      <c r="I61" s="6" t="s">
        <v>659</v>
      </c>
      <c r="J61" s="6" t="s">
        <v>659</v>
      </c>
      <c r="K61" s="6" t="s">
        <v>659</v>
      </c>
      <c r="L61" s="6" t="s">
        <v>659</v>
      </c>
      <c r="M61" s="6" t="s">
        <v>659</v>
      </c>
      <c r="N61" s="6" t="s">
        <v>659</v>
      </c>
      <c r="O61" s="6" t="s">
        <v>659</v>
      </c>
      <c r="P61" s="6" t="s">
        <v>659</v>
      </c>
      <c r="Q61" s="6" t="s">
        <v>659</v>
      </c>
      <c r="R61" s="6" t="s">
        <v>659</v>
      </c>
      <c r="S61" s="6" t="s">
        <v>659</v>
      </c>
      <c r="T61" s="6" t="s">
        <v>659</v>
      </c>
      <c r="U61" s="6" t="s">
        <v>659</v>
      </c>
      <c r="V61" s="6" t="s">
        <v>659</v>
      </c>
      <c r="W61" s="6"/>
      <c r="X61" s="6"/>
      <c r="Y61" s="6"/>
      <c r="Z61" s="6"/>
    </row>
    <row r="62" ht="13.5" customHeight="1">
      <c r="A62" s="6"/>
      <c r="B62" s="6" t="s">
        <v>660</v>
      </c>
      <c r="C62" s="6" t="s">
        <v>661</v>
      </c>
      <c r="D62" s="6" t="s">
        <v>661</v>
      </c>
      <c r="E62" s="6" t="s">
        <v>661</v>
      </c>
      <c r="F62" s="6" t="s">
        <v>662</v>
      </c>
      <c r="G62" s="6" t="s">
        <v>661</v>
      </c>
      <c r="H62" s="6" t="s">
        <v>661</v>
      </c>
      <c r="I62" s="6" t="s">
        <v>662</v>
      </c>
      <c r="J62" s="6" t="s">
        <v>661</v>
      </c>
      <c r="K62" s="6" t="s">
        <v>661</v>
      </c>
      <c r="L62" s="6" t="s">
        <v>661</v>
      </c>
      <c r="M62" s="6" t="s">
        <v>662</v>
      </c>
      <c r="N62" s="6" t="s">
        <v>662</v>
      </c>
      <c r="O62" s="6" t="s">
        <v>662</v>
      </c>
      <c r="P62" s="6" t="s">
        <v>662</v>
      </c>
      <c r="Q62" s="6" t="s">
        <v>661</v>
      </c>
      <c r="R62" s="6" t="s">
        <v>661</v>
      </c>
      <c r="S62" s="6" t="s">
        <v>662</v>
      </c>
      <c r="T62" s="6" t="s">
        <v>662</v>
      </c>
      <c r="U62" s="6" t="s">
        <v>661</v>
      </c>
      <c r="V62" s="6" t="s">
        <v>661</v>
      </c>
      <c r="W62" s="6"/>
      <c r="X62" s="6"/>
      <c r="Y62" s="6"/>
      <c r="Z62" s="6"/>
    </row>
    <row r="63" ht="13.5" customHeight="1">
      <c r="A63" s="6"/>
      <c r="B63" s="6" t="s">
        <v>663</v>
      </c>
      <c r="C63" s="6" t="s">
        <v>664</v>
      </c>
      <c r="D63" s="6" t="s">
        <v>664</v>
      </c>
      <c r="E63" s="6" t="s">
        <v>664</v>
      </c>
      <c r="F63" s="6" t="s">
        <v>664</v>
      </c>
      <c r="G63" s="6" t="s">
        <v>664</v>
      </c>
      <c r="H63" s="6" t="s">
        <v>664</v>
      </c>
      <c r="I63" s="6" t="s">
        <v>664</v>
      </c>
      <c r="J63" s="6" t="s">
        <v>664</v>
      </c>
      <c r="K63" s="6" t="s">
        <v>664</v>
      </c>
      <c r="L63" s="6" t="s">
        <v>664</v>
      </c>
      <c r="M63" s="6" t="s">
        <v>664</v>
      </c>
      <c r="N63" s="6" t="s">
        <v>664</v>
      </c>
      <c r="O63" s="6" t="s">
        <v>664</v>
      </c>
      <c r="P63" s="6" t="s">
        <v>664</v>
      </c>
      <c r="Q63" s="6" t="s">
        <v>664</v>
      </c>
      <c r="R63" s="6" t="s">
        <v>664</v>
      </c>
      <c r="S63" s="6" t="s">
        <v>664</v>
      </c>
      <c r="T63" s="6" t="s">
        <v>664</v>
      </c>
      <c r="U63" s="6" t="s">
        <v>664</v>
      </c>
      <c r="V63" s="6" t="s">
        <v>664</v>
      </c>
      <c r="W63" s="6"/>
      <c r="X63" s="6"/>
      <c r="Y63" s="6"/>
      <c r="Z63" s="6"/>
    </row>
    <row r="64" ht="13.5" customHeight="1">
      <c r="A64" s="6"/>
      <c r="B64" s="6" t="s">
        <v>665</v>
      </c>
      <c r="C64" s="6" t="s">
        <v>666</v>
      </c>
      <c r="D64" s="6" t="s">
        <v>667</v>
      </c>
      <c r="E64" s="6" t="s">
        <v>668</v>
      </c>
      <c r="F64" s="6" t="s">
        <v>669</v>
      </c>
      <c r="G64" s="6" t="s">
        <v>670</v>
      </c>
      <c r="H64" s="6" t="s">
        <v>671</v>
      </c>
      <c r="I64" s="6" t="s">
        <v>672</v>
      </c>
      <c r="J64" s="6" t="s">
        <v>673</v>
      </c>
      <c r="K64" s="6" t="s">
        <v>674</v>
      </c>
      <c r="L64" s="6" t="s">
        <v>675</v>
      </c>
      <c r="M64" s="6" t="s">
        <v>676</v>
      </c>
      <c r="N64" s="6" t="s">
        <v>677</v>
      </c>
      <c r="O64" s="6" t="s">
        <v>678</v>
      </c>
      <c r="P64" s="6" t="s">
        <v>679</v>
      </c>
      <c r="Q64" s="6" t="s">
        <v>680</v>
      </c>
      <c r="R64" s="6" t="s">
        <v>681</v>
      </c>
      <c r="S64" s="6" t="s">
        <v>682</v>
      </c>
      <c r="T64" s="6" t="s">
        <v>683</v>
      </c>
      <c r="U64" s="6" t="s">
        <v>684</v>
      </c>
      <c r="V64" s="6" t="s">
        <v>685</v>
      </c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8" width="18.88"/>
    <col customWidth="1" min="9" max="26" width="7.63"/>
  </cols>
  <sheetData>
    <row r="1" ht="17.25" customHeight="1">
      <c r="A1" s="26"/>
      <c r="B1" s="27" t="s">
        <v>547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7.25" customHeight="1">
      <c r="A2" s="8"/>
      <c r="B2" s="8" t="s">
        <v>686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7.25" customHeight="1"/>
    <row r="4" ht="17.25" customHeight="1"/>
    <row r="5" ht="17.25" customHeight="1">
      <c r="B5" s="28" t="s">
        <v>687</v>
      </c>
      <c r="C5" s="28" t="s">
        <v>688</v>
      </c>
      <c r="D5" s="28" t="s">
        <v>689</v>
      </c>
      <c r="E5" s="28" t="s">
        <v>690</v>
      </c>
      <c r="F5" s="28" t="s">
        <v>691</v>
      </c>
      <c r="G5" s="29" t="s">
        <v>692</v>
      </c>
      <c r="H5" s="29" t="s">
        <v>693</v>
      </c>
    </row>
    <row r="6" ht="17.25" customHeight="1">
      <c r="B6" s="28" t="s">
        <v>571</v>
      </c>
      <c r="C6" s="28" t="s">
        <v>694</v>
      </c>
      <c r="D6" s="28" t="s">
        <v>695</v>
      </c>
      <c r="E6" s="28" t="s">
        <v>696</v>
      </c>
      <c r="F6" s="28" t="s">
        <v>695</v>
      </c>
      <c r="G6" s="28" t="s">
        <v>697</v>
      </c>
      <c r="H6" s="28" t="s">
        <v>698</v>
      </c>
    </row>
    <row r="7" ht="17.25" customHeight="1">
      <c r="B7" s="28" t="s">
        <v>571</v>
      </c>
      <c r="C7" s="28" t="s">
        <v>694</v>
      </c>
      <c r="D7" s="28" t="s">
        <v>699</v>
      </c>
      <c r="E7" s="28" t="s">
        <v>700</v>
      </c>
      <c r="F7" s="28" t="s">
        <v>699</v>
      </c>
      <c r="G7" s="28" t="s">
        <v>697</v>
      </c>
      <c r="H7" s="28" t="s">
        <v>698</v>
      </c>
    </row>
    <row r="8" ht="17.25" customHeight="1">
      <c r="B8" s="28" t="s">
        <v>571</v>
      </c>
      <c r="C8" s="28" t="s">
        <v>694</v>
      </c>
      <c r="D8" s="28" t="s">
        <v>701</v>
      </c>
      <c r="E8" s="28" t="s">
        <v>702</v>
      </c>
      <c r="F8" s="28" t="s">
        <v>701</v>
      </c>
      <c r="G8" s="28" t="s">
        <v>697</v>
      </c>
      <c r="H8" s="28" t="s">
        <v>698</v>
      </c>
    </row>
    <row r="9" ht="17.25" customHeight="1">
      <c r="B9" s="28" t="s">
        <v>571</v>
      </c>
      <c r="C9" s="28" t="s">
        <v>703</v>
      </c>
      <c r="D9" s="28" t="s">
        <v>695</v>
      </c>
      <c r="E9" s="28" t="s">
        <v>696</v>
      </c>
      <c r="F9" s="28" t="s">
        <v>695</v>
      </c>
      <c r="G9" s="28" t="s">
        <v>697</v>
      </c>
      <c r="H9" s="28" t="s">
        <v>698</v>
      </c>
    </row>
    <row r="10" ht="17.25" customHeight="1">
      <c r="B10" s="28" t="s">
        <v>571</v>
      </c>
      <c r="C10" s="28" t="s">
        <v>703</v>
      </c>
      <c r="D10" s="28" t="s">
        <v>699</v>
      </c>
      <c r="E10" s="28" t="s">
        <v>700</v>
      </c>
      <c r="F10" s="28" t="s">
        <v>699</v>
      </c>
      <c r="G10" s="28" t="s">
        <v>697</v>
      </c>
      <c r="H10" s="28" t="s">
        <v>698</v>
      </c>
    </row>
    <row r="11" ht="17.25" customHeight="1">
      <c r="B11" s="28" t="s">
        <v>571</v>
      </c>
      <c r="C11" s="28" t="s">
        <v>703</v>
      </c>
      <c r="D11" s="28" t="s">
        <v>701</v>
      </c>
      <c r="E11" s="28" t="s">
        <v>702</v>
      </c>
      <c r="F11" s="28" t="s">
        <v>701</v>
      </c>
      <c r="G11" s="28" t="s">
        <v>697</v>
      </c>
      <c r="H11" s="28" t="s">
        <v>698</v>
      </c>
    </row>
    <row r="12" ht="17.25" customHeight="1">
      <c r="B12" s="28" t="s">
        <v>571</v>
      </c>
      <c r="C12" s="28" t="s">
        <v>704</v>
      </c>
      <c r="D12" s="28" t="s">
        <v>705</v>
      </c>
      <c r="E12" s="28" t="s">
        <v>706</v>
      </c>
      <c r="F12" s="28" t="s">
        <v>705</v>
      </c>
      <c r="G12" s="28" t="s">
        <v>697</v>
      </c>
      <c r="H12" s="28" t="s">
        <v>707</v>
      </c>
    </row>
    <row r="13" ht="17.25" customHeight="1">
      <c r="B13" s="28" t="s">
        <v>571</v>
      </c>
      <c r="C13" s="28" t="s">
        <v>704</v>
      </c>
      <c r="D13" s="28" t="s">
        <v>708</v>
      </c>
      <c r="E13" s="28" t="s">
        <v>709</v>
      </c>
      <c r="F13" s="28" t="s">
        <v>708</v>
      </c>
      <c r="G13" s="28" t="s">
        <v>697</v>
      </c>
      <c r="H13" s="28" t="s">
        <v>707</v>
      </c>
    </row>
    <row r="14" ht="17.25" customHeight="1">
      <c r="B14" s="28" t="s">
        <v>571</v>
      </c>
      <c r="C14" s="28" t="s">
        <v>704</v>
      </c>
      <c r="D14" s="28" t="s">
        <v>710</v>
      </c>
      <c r="E14" s="28" t="s">
        <v>711</v>
      </c>
      <c r="F14" s="28" t="s">
        <v>712</v>
      </c>
      <c r="G14" s="28" t="s">
        <v>697</v>
      </c>
      <c r="H14" s="28" t="s">
        <v>707</v>
      </c>
    </row>
    <row r="15" ht="17.25" customHeight="1">
      <c r="B15" s="28" t="s">
        <v>571</v>
      </c>
      <c r="C15" s="28" t="s">
        <v>704</v>
      </c>
      <c r="D15" s="28" t="s">
        <v>713</v>
      </c>
      <c r="E15" s="28" t="s">
        <v>714</v>
      </c>
      <c r="F15" s="28" t="s">
        <v>713</v>
      </c>
      <c r="G15" s="28" t="s">
        <v>697</v>
      </c>
      <c r="H15" s="28" t="s">
        <v>707</v>
      </c>
    </row>
    <row r="16" ht="17.25" customHeight="1">
      <c r="B16" s="28" t="s">
        <v>571</v>
      </c>
      <c r="C16" s="28" t="s">
        <v>704</v>
      </c>
      <c r="D16" s="28" t="s">
        <v>715</v>
      </c>
      <c r="E16" s="28" t="s">
        <v>716</v>
      </c>
      <c r="F16" s="28" t="s">
        <v>715</v>
      </c>
      <c r="G16" s="28" t="s">
        <v>697</v>
      </c>
      <c r="H16" s="28" t="s">
        <v>707</v>
      </c>
    </row>
    <row r="17" ht="17.25" customHeight="1">
      <c r="B17" s="28" t="s">
        <v>571</v>
      </c>
      <c r="C17" s="28" t="s">
        <v>704</v>
      </c>
      <c r="D17" s="28" t="s">
        <v>717</v>
      </c>
      <c r="E17" s="28" t="s">
        <v>718</v>
      </c>
      <c r="F17" s="28" t="s">
        <v>717</v>
      </c>
      <c r="G17" s="28" t="s">
        <v>697</v>
      </c>
      <c r="H17" s="28" t="s">
        <v>707</v>
      </c>
    </row>
    <row r="18" ht="17.25" customHeight="1">
      <c r="B18" s="28" t="s">
        <v>571</v>
      </c>
      <c r="C18" s="28" t="s">
        <v>719</v>
      </c>
      <c r="D18" s="28" t="s">
        <v>720</v>
      </c>
      <c r="E18" s="28" t="s">
        <v>721</v>
      </c>
      <c r="F18" s="28" t="s">
        <v>722</v>
      </c>
      <c r="G18" s="28" t="s">
        <v>723</v>
      </c>
      <c r="H18" s="28" t="s">
        <v>724</v>
      </c>
    </row>
    <row r="19" ht="17.25" customHeight="1">
      <c r="B19" s="28" t="s">
        <v>571</v>
      </c>
      <c r="C19" s="28" t="s">
        <v>725</v>
      </c>
      <c r="D19" s="28" t="s">
        <v>726</v>
      </c>
      <c r="E19" s="28" t="s">
        <v>727</v>
      </c>
      <c r="F19" s="28" t="s">
        <v>726</v>
      </c>
      <c r="G19" s="28" t="s">
        <v>723</v>
      </c>
      <c r="H19" s="28" t="s">
        <v>698</v>
      </c>
    </row>
    <row r="20" ht="17.25" customHeight="1">
      <c r="B20" s="28" t="s">
        <v>571</v>
      </c>
      <c r="C20" s="28" t="s">
        <v>725</v>
      </c>
      <c r="D20" s="28" t="s">
        <v>728</v>
      </c>
      <c r="E20" s="28" t="s">
        <v>729</v>
      </c>
      <c r="F20" s="28" t="s">
        <v>728</v>
      </c>
      <c r="G20" s="28" t="s">
        <v>723</v>
      </c>
      <c r="H20" s="28" t="s">
        <v>698</v>
      </c>
    </row>
    <row r="21" ht="17.25" customHeight="1">
      <c r="B21" s="28" t="s">
        <v>571</v>
      </c>
      <c r="C21" s="28" t="s">
        <v>725</v>
      </c>
      <c r="D21" s="28" t="s">
        <v>730</v>
      </c>
      <c r="E21" s="28" t="s">
        <v>731</v>
      </c>
      <c r="F21" s="28" t="s">
        <v>730</v>
      </c>
      <c r="G21" s="28" t="s">
        <v>723</v>
      </c>
      <c r="H21" s="28" t="s">
        <v>698</v>
      </c>
    </row>
    <row r="22" ht="17.25" customHeight="1">
      <c r="B22" s="28" t="s">
        <v>571</v>
      </c>
      <c r="C22" s="28" t="s">
        <v>725</v>
      </c>
      <c r="D22" s="28" t="s">
        <v>732</v>
      </c>
      <c r="E22" s="28" t="s">
        <v>733</v>
      </c>
      <c r="F22" s="28" t="s">
        <v>732</v>
      </c>
      <c r="G22" s="28" t="s">
        <v>723</v>
      </c>
      <c r="H22" s="28" t="s">
        <v>698</v>
      </c>
    </row>
    <row r="23" ht="17.25" customHeight="1">
      <c r="B23" s="28" t="s">
        <v>571</v>
      </c>
      <c r="C23" s="28" t="s">
        <v>725</v>
      </c>
      <c r="D23" s="28" t="s">
        <v>734</v>
      </c>
      <c r="E23" s="28" t="s">
        <v>735</v>
      </c>
      <c r="F23" s="28" t="s">
        <v>734</v>
      </c>
      <c r="G23" s="28" t="s">
        <v>723</v>
      </c>
      <c r="H23" s="28" t="s">
        <v>698</v>
      </c>
    </row>
    <row r="24" ht="17.25" customHeight="1">
      <c r="B24" s="28" t="s">
        <v>571</v>
      </c>
      <c r="C24" s="28" t="s">
        <v>725</v>
      </c>
      <c r="D24" s="28" t="s">
        <v>736</v>
      </c>
      <c r="E24" s="28" t="s">
        <v>737</v>
      </c>
      <c r="F24" s="28" t="s">
        <v>736</v>
      </c>
      <c r="G24" s="28" t="s">
        <v>723</v>
      </c>
      <c r="H24" s="28" t="s">
        <v>698</v>
      </c>
    </row>
    <row r="25" ht="17.25" customHeight="1">
      <c r="B25" s="28" t="s">
        <v>571</v>
      </c>
      <c r="C25" s="28" t="s">
        <v>738</v>
      </c>
      <c r="D25" s="28" t="s">
        <v>739</v>
      </c>
      <c r="E25" s="28" t="s">
        <v>740</v>
      </c>
      <c r="F25" s="28" t="s">
        <v>739</v>
      </c>
      <c r="G25" s="28" t="s">
        <v>723</v>
      </c>
      <c r="H25" s="28" t="s">
        <v>698</v>
      </c>
    </row>
    <row r="26" ht="17.25" customHeight="1">
      <c r="B26" s="28" t="s">
        <v>571</v>
      </c>
      <c r="C26" s="28" t="s">
        <v>738</v>
      </c>
      <c r="D26" s="28" t="s">
        <v>695</v>
      </c>
      <c r="E26" s="28" t="s">
        <v>741</v>
      </c>
      <c r="F26" s="28" t="s">
        <v>695</v>
      </c>
      <c r="G26" s="28" t="s">
        <v>723</v>
      </c>
      <c r="H26" s="28" t="s">
        <v>698</v>
      </c>
    </row>
    <row r="27" ht="17.25" customHeight="1">
      <c r="B27" s="28" t="s">
        <v>571</v>
      </c>
      <c r="C27" s="28" t="s">
        <v>738</v>
      </c>
      <c r="D27" s="28" t="s">
        <v>742</v>
      </c>
      <c r="E27" s="28" t="s">
        <v>743</v>
      </c>
      <c r="F27" s="28" t="s">
        <v>742</v>
      </c>
      <c r="G27" s="28" t="s">
        <v>723</v>
      </c>
      <c r="H27" s="28" t="s">
        <v>698</v>
      </c>
    </row>
    <row r="28" ht="17.25" customHeight="1">
      <c r="B28" s="28" t="s">
        <v>571</v>
      </c>
      <c r="C28" s="28" t="s">
        <v>738</v>
      </c>
      <c r="D28" s="28" t="s">
        <v>744</v>
      </c>
      <c r="E28" s="28" t="s">
        <v>745</v>
      </c>
      <c r="F28" s="28" t="s">
        <v>744</v>
      </c>
      <c r="G28" s="28" t="s">
        <v>723</v>
      </c>
      <c r="H28" s="28" t="s">
        <v>698</v>
      </c>
    </row>
    <row r="29" ht="17.25" customHeight="1">
      <c r="B29" s="28" t="s">
        <v>571</v>
      </c>
      <c r="C29" s="28" t="s">
        <v>738</v>
      </c>
      <c r="D29" s="28" t="s">
        <v>746</v>
      </c>
      <c r="E29" s="28" t="s">
        <v>747</v>
      </c>
      <c r="F29" s="28" t="s">
        <v>746</v>
      </c>
      <c r="G29" s="28" t="s">
        <v>723</v>
      </c>
      <c r="H29" s="28" t="s">
        <v>698</v>
      </c>
    </row>
    <row r="30" ht="17.25" customHeight="1">
      <c r="B30" s="28" t="s">
        <v>571</v>
      </c>
      <c r="C30" s="28" t="s">
        <v>738</v>
      </c>
      <c r="D30" s="28" t="s">
        <v>705</v>
      </c>
      <c r="E30" s="28" t="s">
        <v>748</v>
      </c>
      <c r="F30" s="28" t="s">
        <v>705</v>
      </c>
      <c r="G30" s="28" t="s">
        <v>723</v>
      </c>
      <c r="H30" s="28" t="s">
        <v>698</v>
      </c>
    </row>
    <row r="31" ht="17.25" customHeight="1">
      <c r="B31" s="28" t="s">
        <v>571</v>
      </c>
      <c r="C31" s="28" t="s">
        <v>738</v>
      </c>
      <c r="D31" s="28" t="s">
        <v>749</v>
      </c>
      <c r="E31" s="28" t="s">
        <v>750</v>
      </c>
      <c r="F31" s="28" t="s">
        <v>749</v>
      </c>
      <c r="G31" s="28" t="s">
        <v>723</v>
      </c>
      <c r="H31" s="28" t="s">
        <v>698</v>
      </c>
    </row>
    <row r="32" ht="17.25" customHeight="1">
      <c r="B32" s="28" t="s">
        <v>571</v>
      </c>
      <c r="C32" s="28" t="s">
        <v>738</v>
      </c>
      <c r="D32" s="28" t="s">
        <v>751</v>
      </c>
      <c r="E32" s="28" t="s">
        <v>752</v>
      </c>
      <c r="F32" s="28" t="s">
        <v>751</v>
      </c>
      <c r="G32" s="28" t="s">
        <v>723</v>
      </c>
      <c r="H32" s="28" t="s">
        <v>698</v>
      </c>
    </row>
    <row r="33" ht="17.25" customHeight="1">
      <c r="B33" s="28" t="s">
        <v>571</v>
      </c>
      <c r="C33" s="28" t="s">
        <v>738</v>
      </c>
      <c r="D33" s="28" t="s">
        <v>753</v>
      </c>
      <c r="E33" s="28" t="s">
        <v>754</v>
      </c>
      <c r="F33" s="28" t="s">
        <v>753</v>
      </c>
      <c r="G33" s="28" t="s">
        <v>723</v>
      </c>
      <c r="H33" s="28" t="s">
        <v>698</v>
      </c>
    </row>
    <row r="34" ht="17.25" customHeight="1">
      <c r="B34" s="28" t="s">
        <v>571</v>
      </c>
      <c r="C34" s="28" t="s">
        <v>738</v>
      </c>
      <c r="D34" s="28" t="s">
        <v>755</v>
      </c>
      <c r="E34" s="28" t="s">
        <v>756</v>
      </c>
      <c r="F34" s="28" t="s">
        <v>755</v>
      </c>
      <c r="G34" s="28" t="s">
        <v>723</v>
      </c>
      <c r="H34" s="28" t="s">
        <v>698</v>
      </c>
    </row>
    <row r="35" ht="17.25" customHeight="1">
      <c r="B35" s="28" t="s">
        <v>571</v>
      </c>
      <c r="C35" s="28" t="s">
        <v>738</v>
      </c>
      <c r="D35" s="28" t="s">
        <v>757</v>
      </c>
      <c r="E35" s="28" t="s">
        <v>758</v>
      </c>
      <c r="F35" s="28" t="s">
        <v>757</v>
      </c>
      <c r="G35" s="28" t="s">
        <v>723</v>
      </c>
      <c r="H35" s="28" t="s">
        <v>698</v>
      </c>
    </row>
    <row r="36" ht="17.25" customHeight="1">
      <c r="B36" s="28" t="s">
        <v>571</v>
      </c>
      <c r="C36" s="28" t="s">
        <v>738</v>
      </c>
      <c r="D36" s="28" t="s">
        <v>759</v>
      </c>
      <c r="E36" s="28" t="s">
        <v>760</v>
      </c>
      <c r="F36" s="28" t="s">
        <v>759</v>
      </c>
      <c r="G36" s="28" t="s">
        <v>723</v>
      </c>
      <c r="H36" s="28" t="s">
        <v>698</v>
      </c>
    </row>
    <row r="37" ht="17.25" customHeight="1">
      <c r="B37" s="28" t="s">
        <v>571</v>
      </c>
      <c r="C37" s="28" t="s">
        <v>738</v>
      </c>
      <c r="D37" s="28" t="s">
        <v>761</v>
      </c>
      <c r="E37" s="28" t="s">
        <v>762</v>
      </c>
      <c r="F37" s="28" t="s">
        <v>761</v>
      </c>
      <c r="G37" s="28" t="s">
        <v>723</v>
      </c>
      <c r="H37" s="28" t="s">
        <v>698</v>
      </c>
    </row>
    <row r="38" ht="17.25" customHeight="1">
      <c r="B38" s="28" t="s">
        <v>571</v>
      </c>
      <c r="C38" s="28" t="s">
        <v>738</v>
      </c>
      <c r="D38" s="28" t="s">
        <v>763</v>
      </c>
      <c r="E38" s="28" t="s">
        <v>764</v>
      </c>
      <c r="F38" s="28" t="s">
        <v>763</v>
      </c>
      <c r="G38" s="28" t="s">
        <v>723</v>
      </c>
      <c r="H38" s="28" t="s">
        <v>698</v>
      </c>
    </row>
    <row r="39" ht="17.25" customHeight="1">
      <c r="B39" s="28" t="s">
        <v>571</v>
      </c>
      <c r="C39" s="28" t="s">
        <v>738</v>
      </c>
      <c r="D39" s="28" t="s">
        <v>765</v>
      </c>
      <c r="E39" s="28" t="s">
        <v>766</v>
      </c>
      <c r="F39" s="28" t="s">
        <v>765</v>
      </c>
      <c r="G39" s="28" t="s">
        <v>723</v>
      </c>
      <c r="H39" s="28" t="s">
        <v>698</v>
      </c>
    </row>
    <row r="40" ht="17.25" customHeight="1">
      <c r="B40" s="28" t="s">
        <v>571</v>
      </c>
      <c r="C40" s="28" t="s">
        <v>738</v>
      </c>
      <c r="D40" s="28" t="s">
        <v>765</v>
      </c>
      <c r="E40" s="28" t="s">
        <v>767</v>
      </c>
      <c r="F40" s="28" t="s">
        <v>768</v>
      </c>
      <c r="G40" s="28" t="s">
        <v>723</v>
      </c>
      <c r="H40" s="28" t="s">
        <v>698</v>
      </c>
    </row>
    <row r="41" ht="17.25" customHeight="1">
      <c r="B41" s="28" t="s">
        <v>571</v>
      </c>
      <c r="C41" s="28" t="s">
        <v>738</v>
      </c>
      <c r="D41" s="28" t="s">
        <v>768</v>
      </c>
      <c r="E41" s="28" t="s">
        <v>769</v>
      </c>
      <c r="F41" s="28" t="s">
        <v>768</v>
      </c>
      <c r="G41" s="28" t="s">
        <v>723</v>
      </c>
      <c r="H41" s="28" t="s">
        <v>698</v>
      </c>
    </row>
    <row r="42" ht="17.25" customHeight="1">
      <c r="B42" s="28" t="s">
        <v>571</v>
      </c>
      <c r="C42" s="28" t="s">
        <v>738</v>
      </c>
      <c r="D42" s="28" t="s">
        <v>770</v>
      </c>
      <c r="E42" s="28" t="s">
        <v>771</v>
      </c>
      <c r="F42" s="28" t="s">
        <v>770</v>
      </c>
      <c r="G42" s="28" t="s">
        <v>723</v>
      </c>
      <c r="H42" s="28" t="s">
        <v>698</v>
      </c>
    </row>
    <row r="43" ht="17.25" customHeight="1">
      <c r="B43" s="28" t="s">
        <v>571</v>
      </c>
      <c r="C43" s="28" t="s">
        <v>738</v>
      </c>
      <c r="D43" s="28" t="s">
        <v>772</v>
      </c>
      <c r="E43" s="28" t="s">
        <v>773</v>
      </c>
      <c r="F43" s="28" t="s">
        <v>772</v>
      </c>
      <c r="G43" s="28" t="s">
        <v>723</v>
      </c>
      <c r="H43" s="28" t="s">
        <v>698</v>
      </c>
    </row>
    <row r="44" ht="17.25" customHeight="1">
      <c r="B44" s="28" t="s">
        <v>571</v>
      </c>
      <c r="C44" s="28" t="s">
        <v>738</v>
      </c>
      <c r="D44" s="28" t="s">
        <v>726</v>
      </c>
      <c r="E44" s="28" t="s">
        <v>727</v>
      </c>
      <c r="F44" s="28" t="s">
        <v>726</v>
      </c>
      <c r="G44" s="28" t="s">
        <v>723</v>
      </c>
      <c r="H44" s="28" t="s">
        <v>698</v>
      </c>
    </row>
    <row r="45" ht="17.25" customHeight="1">
      <c r="B45" s="28" t="s">
        <v>571</v>
      </c>
      <c r="C45" s="28" t="s">
        <v>738</v>
      </c>
      <c r="D45" s="28" t="s">
        <v>774</v>
      </c>
      <c r="E45" s="28" t="s">
        <v>775</v>
      </c>
      <c r="F45" s="28" t="s">
        <v>774</v>
      </c>
      <c r="G45" s="28" t="s">
        <v>723</v>
      </c>
      <c r="H45" s="28" t="s">
        <v>698</v>
      </c>
    </row>
    <row r="46" ht="17.25" customHeight="1">
      <c r="B46" s="28" t="s">
        <v>571</v>
      </c>
      <c r="C46" s="28" t="s">
        <v>738</v>
      </c>
      <c r="D46" s="28" t="s">
        <v>776</v>
      </c>
      <c r="E46" s="28" t="s">
        <v>777</v>
      </c>
      <c r="F46" s="28" t="s">
        <v>776</v>
      </c>
      <c r="G46" s="28" t="s">
        <v>723</v>
      </c>
      <c r="H46" s="28" t="s">
        <v>698</v>
      </c>
    </row>
    <row r="47" ht="17.25" customHeight="1">
      <c r="B47" s="28" t="s">
        <v>571</v>
      </c>
      <c r="C47" s="28" t="s">
        <v>738</v>
      </c>
      <c r="D47" s="28" t="s">
        <v>720</v>
      </c>
      <c r="E47" s="28" t="s">
        <v>778</v>
      </c>
      <c r="F47" s="28" t="s">
        <v>720</v>
      </c>
      <c r="G47" s="28" t="s">
        <v>723</v>
      </c>
      <c r="H47" s="28" t="s">
        <v>698</v>
      </c>
    </row>
    <row r="48" ht="17.25" customHeight="1">
      <c r="B48" s="28" t="s">
        <v>571</v>
      </c>
      <c r="C48" s="28" t="s">
        <v>738</v>
      </c>
      <c r="D48" s="28" t="s">
        <v>779</v>
      </c>
      <c r="E48" s="28" t="s">
        <v>780</v>
      </c>
      <c r="F48" s="28" t="s">
        <v>779</v>
      </c>
      <c r="G48" s="28" t="s">
        <v>723</v>
      </c>
      <c r="H48" s="28" t="s">
        <v>698</v>
      </c>
    </row>
    <row r="49" ht="17.25" customHeight="1">
      <c r="B49" s="28" t="s">
        <v>571</v>
      </c>
      <c r="C49" s="28" t="s">
        <v>738</v>
      </c>
      <c r="D49" s="28" t="s">
        <v>781</v>
      </c>
      <c r="E49" s="28" t="s">
        <v>782</v>
      </c>
      <c r="F49" s="28" t="s">
        <v>781</v>
      </c>
      <c r="G49" s="28" t="s">
        <v>723</v>
      </c>
      <c r="H49" s="28" t="s">
        <v>698</v>
      </c>
    </row>
    <row r="50" ht="17.25" customHeight="1">
      <c r="B50" s="28" t="s">
        <v>571</v>
      </c>
      <c r="C50" s="28" t="s">
        <v>738</v>
      </c>
      <c r="D50" s="28" t="s">
        <v>783</v>
      </c>
      <c r="E50" s="28" t="s">
        <v>784</v>
      </c>
      <c r="F50" s="28" t="s">
        <v>783</v>
      </c>
      <c r="G50" s="28" t="s">
        <v>723</v>
      </c>
      <c r="H50" s="28" t="s">
        <v>698</v>
      </c>
    </row>
    <row r="51" ht="17.25" customHeight="1">
      <c r="B51" s="28" t="s">
        <v>571</v>
      </c>
      <c r="C51" s="28" t="s">
        <v>738</v>
      </c>
      <c r="D51" s="28" t="s">
        <v>708</v>
      </c>
      <c r="E51" s="28" t="s">
        <v>785</v>
      </c>
      <c r="F51" s="28" t="s">
        <v>708</v>
      </c>
      <c r="G51" s="28" t="s">
        <v>723</v>
      </c>
      <c r="H51" s="28" t="s">
        <v>698</v>
      </c>
    </row>
    <row r="52" ht="17.25" customHeight="1">
      <c r="B52" s="28" t="s">
        <v>571</v>
      </c>
      <c r="C52" s="28" t="s">
        <v>738</v>
      </c>
      <c r="D52" s="28" t="s">
        <v>786</v>
      </c>
      <c r="E52" s="28" t="s">
        <v>787</v>
      </c>
      <c r="F52" s="28" t="s">
        <v>786</v>
      </c>
      <c r="G52" s="28" t="s">
        <v>723</v>
      </c>
      <c r="H52" s="28" t="s">
        <v>698</v>
      </c>
    </row>
    <row r="53" ht="17.25" customHeight="1">
      <c r="B53" s="28" t="s">
        <v>571</v>
      </c>
      <c r="C53" s="28" t="s">
        <v>738</v>
      </c>
      <c r="D53" s="28" t="s">
        <v>788</v>
      </c>
      <c r="E53" s="28" t="s">
        <v>789</v>
      </c>
      <c r="F53" s="28" t="s">
        <v>788</v>
      </c>
      <c r="G53" s="28" t="s">
        <v>723</v>
      </c>
      <c r="H53" s="28" t="s">
        <v>698</v>
      </c>
    </row>
    <row r="54" ht="17.25" customHeight="1">
      <c r="B54" s="28" t="s">
        <v>571</v>
      </c>
      <c r="C54" s="28" t="s">
        <v>738</v>
      </c>
      <c r="D54" s="28" t="s">
        <v>790</v>
      </c>
      <c r="E54" s="28" t="s">
        <v>791</v>
      </c>
      <c r="F54" s="28" t="s">
        <v>790</v>
      </c>
      <c r="G54" s="28" t="s">
        <v>723</v>
      </c>
      <c r="H54" s="28" t="s">
        <v>698</v>
      </c>
    </row>
    <row r="55" ht="17.25" customHeight="1">
      <c r="B55" s="28" t="s">
        <v>571</v>
      </c>
      <c r="C55" s="28" t="s">
        <v>738</v>
      </c>
      <c r="D55" s="28" t="s">
        <v>792</v>
      </c>
      <c r="E55" s="28" t="s">
        <v>793</v>
      </c>
      <c r="F55" s="28" t="s">
        <v>792</v>
      </c>
      <c r="G55" s="28" t="s">
        <v>723</v>
      </c>
      <c r="H55" s="28" t="s">
        <v>698</v>
      </c>
    </row>
    <row r="56" ht="17.25" customHeight="1">
      <c r="B56" s="28" t="s">
        <v>571</v>
      </c>
      <c r="C56" s="28" t="s">
        <v>738</v>
      </c>
      <c r="D56" s="28" t="s">
        <v>794</v>
      </c>
      <c r="E56" s="28" t="s">
        <v>795</v>
      </c>
      <c r="F56" s="28" t="s">
        <v>794</v>
      </c>
      <c r="G56" s="28" t="s">
        <v>723</v>
      </c>
      <c r="H56" s="28" t="s">
        <v>698</v>
      </c>
    </row>
    <row r="57" ht="17.25" customHeight="1">
      <c r="B57" s="28" t="s">
        <v>571</v>
      </c>
      <c r="C57" s="28" t="s">
        <v>738</v>
      </c>
      <c r="D57" s="28" t="s">
        <v>796</v>
      </c>
      <c r="E57" s="28" t="s">
        <v>797</v>
      </c>
      <c r="F57" s="28" t="s">
        <v>796</v>
      </c>
      <c r="G57" s="28" t="s">
        <v>723</v>
      </c>
      <c r="H57" s="28" t="s">
        <v>698</v>
      </c>
    </row>
    <row r="58" ht="17.25" customHeight="1">
      <c r="B58" s="28" t="s">
        <v>571</v>
      </c>
      <c r="C58" s="28" t="s">
        <v>738</v>
      </c>
      <c r="D58" s="28" t="s">
        <v>798</v>
      </c>
      <c r="E58" s="28" t="s">
        <v>799</v>
      </c>
      <c r="F58" s="28" t="s">
        <v>798</v>
      </c>
      <c r="G58" s="28" t="s">
        <v>723</v>
      </c>
      <c r="H58" s="28" t="s">
        <v>698</v>
      </c>
    </row>
    <row r="59" ht="17.25" customHeight="1">
      <c r="B59" s="28" t="s">
        <v>571</v>
      </c>
      <c r="C59" s="28" t="s">
        <v>738</v>
      </c>
      <c r="D59" s="28" t="s">
        <v>800</v>
      </c>
      <c r="E59" s="28" t="s">
        <v>801</v>
      </c>
      <c r="F59" s="28" t="s">
        <v>800</v>
      </c>
      <c r="G59" s="28" t="s">
        <v>723</v>
      </c>
      <c r="H59" s="28" t="s">
        <v>698</v>
      </c>
    </row>
    <row r="60" ht="17.25" customHeight="1">
      <c r="B60" s="28" t="s">
        <v>571</v>
      </c>
      <c r="C60" s="28" t="s">
        <v>738</v>
      </c>
      <c r="D60" s="28" t="s">
        <v>802</v>
      </c>
      <c r="E60" s="28" t="s">
        <v>803</v>
      </c>
      <c r="F60" s="28" t="s">
        <v>802</v>
      </c>
      <c r="G60" s="28" t="s">
        <v>723</v>
      </c>
      <c r="H60" s="28" t="s">
        <v>698</v>
      </c>
    </row>
    <row r="61" ht="17.25" customHeight="1">
      <c r="B61" s="28" t="s">
        <v>571</v>
      </c>
      <c r="C61" s="28" t="s">
        <v>738</v>
      </c>
      <c r="D61" s="28" t="s">
        <v>804</v>
      </c>
      <c r="E61" s="28" t="s">
        <v>805</v>
      </c>
      <c r="F61" s="28" t="s">
        <v>804</v>
      </c>
      <c r="G61" s="28" t="s">
        <v>723</v>
      </c>
      <c r="H61" s="28" t="s">
        <v>698</v>
      </c>
    </row>
    <row r="62" ht="17.25" customHeight="1">
      <c r="B62" s="28" t="s">
        <v>571</v>
      </c>
      <c r="C62" s="28" t="s">
        <v>738</v>
      </c>
      <c r="D62" s="28" t="s">
        <v>806</v>
      </c>
      <c r="E62" s="28" t="s">
        <v>807</v>
      </c>
      <c r="F62" s="28" t="s">
        <v>806</v>
      </c>
      <c r="G62" s="28" t="s">
        <v>723</v>
      </c>
      <c r="H62" s="28" t="s">
        <v>698</v>
      </c>
    </row>
    <row r="63" ht="17.25" customHeight="1">
      <c r="B63" s="28" t="s">
        <v>571</v>
      </c>
      <c r="C63" s="28" t="s">
        <v>738</v>
      </c>
      <c r="D63" s="28" t="s">
        <v>808</v>
      </c>
      <c r="E63" s="28" t="s">
        <v>809</v>
      </c>
      <c r="F63" s="28" t="s">
        <v>808</v>
      </c>
      <c r="G63" s="28" t="s">
        <v>723</v>
      </c>
      <c r="H63" s="28" t="s">
        <v>698</v>
      </c>
    </row>
    <row r="64" ht="17.25" customHeight="1">
      <c r="B64" s="28" t="s">
        <v>571</v>
      </c>
      <c r="C64" s="28" t="s">
        <v>738</v>
      </c>
      <c r="D64" s="28" t="s">
        <v>810</v>
      </c>
      <c r="E64" s="28" t="s">
        <v>811</v>
      </c>
      <c r="F64" s="28" t="s">
        <v>810</v>
      </c>
      <c r="G64" s="28" t="s">
        <v>723</v>
      </c>
      <c r="H64" s="28" t="s">
        <v>698</v>
      </c>
    </row>
    <row r="65" ht="17.25" customHeight="1">
      <c r="B65" s="28" t="s">
        <v>571</v>
      </c>
      <c r="C65" s="28" t="s">
        <v>738</v>
      </c>
      <c r="D65" s="28" t="s">
        <v>812</v>
      </c>
      <c r="E65" s="28" t="s">
        <v>813</v>
      </c>
      <c r="F65" s="28" t="s">
        <v>812</v>
      </c>
      <c r="G65" s="28" t="s">
        <v>723</v>
      </c>
      <c r="H65" s="28" t="s">
        <v>698</v>
      </c>
    </row>
    <row r="66" ht="17.25" customHeight="1">
      <c r="B66" s="28" t="s">
        <v>571</v>
      </c>
      <c r="C66" s="28" t="s">
        <v>738</v>
      </c>
      <c r="D66" s="28" t="s">
        <v>814</v>
      </c>
      <c r="E66" s="28" t="s">
        <v>815</v>
      </c>
      <c r="F66" s="28" t="s">
        <v>814</v>
      </c>
      <c r="G66" s="28" t="s">
        <v>723</v>
      </c>
      <c r="H66" s="28" t="s">
        <v>698</v>
      </c>
    </row>
    <row r="67" ht="17.25" customHeight="1">
      <c r="B67" s="28" t="s">
        <v>571</v>
      </c>
      <c r="C67" s="28" t="s">
        <v>738</v>
      </c>
      <c r="D67" s="28" t="s">
        <v>816</v>
      </c>
      <c r="E67" s="28" t="s">
        <v>817</v>
      </c>
      <c r="F67" s="28" t="s">
        <v>816</v>
      </c>
      <c r="G67" s="28" t="s">
        <v>723</v>
      </c>
      <c r="H67" s="28" t="s">
        <v>698</v>
      </c>
    </row>
    <row r="68" ht="17.25" customHeight="1">
      <c r="B68" s="28" t="s">
        <v>571</v>
      </c>
      <c r="C68" s="28" t="s">
        <v>738</v>
      </c>
      <c r="D68" s="28" t="s">
        <v>818</v>
      </c>
      <c r="E68" s="28" t="s">
        <v>819</v>
      </c>
      <c r="F68" s="28" t="s">
        <v>818</v>
      </c>
      <c r="G68" s="28" t="s">
        <v>723</v>
      </c>
      <c r="H68" s="28" t="s">
        <v>698</v>
      </c>
    </row>
    <row r="69" ht="17.25" customHeight="1">
      <c r="B69" s="28" t="s">
        <v>571</v>
      </c>
      <c r="C69" s="28" t="s">
        <v>738</v>
      </c>
      <c r="D69" s="28" t="s">
        <v>820</v>
      </c>
      <c r="E69" s="28" t="s">
        <v>821</v>
      </c>
      <c r="F69" s="28" t="s">
        <v>820</v>
      </c>
      <c r="G69" s="28" t="s">
        <v>723</v>
      </c>
      <c r="H69" s="28" t="s">
        <v>698</v>
      </c>
    </row>
    <row r="70" ht="17.25" customHeight="1">
      <c r="B70" s="28" t="s">
        <v>571</v>
      </c>
      <c r="C70" s="28" t="s">
        <v>738</v>
      </c>
      <c r="D70" s="28" t="s">
        <v>822</v>
      </c>
      <c r="E70" s="28" t="s">
        <v>823</v>
      </c>
      <c r="F70" s="28" t="s">
        <v>822</v>
      </c>
      <c r="G70" s="28" t="s">
        <v>723</v>
      </c>
      <c r="H70" s="28" t="s">
        <v>698</v>
      </c>
    </row>
    <row r="71" ht="17.25" customHeight="1">
      <c r="B71" s="28" t="s">
        <v>571</v>
      </c>
      <c r="C71" s="28" t="s">
        <v>738</v>
      </c>
      <c r="D71" s="28" t="s">
        <v>824</v>
      </c>
      <c r="E71" s="28" t="s">
        <v>825</v>
      </c>
      <c r="F71" s="28" t="s">
        <v>824</v>
      </c>
      <c r="G71" s="28" t="s">
        <v>723</v>
      </c>
      <c r="H71" s="28" t="s">
        <v>698</v>
      </c>
    </row>
    <row r="72" ht="17.25" customHeight="1">
      <c r="B72" s="28" t="s">
        <v>571</v>
      </c>
      <c r="C72" s="28" t="s">
        <v>738</v>
      </c>
      <c r="D72" s="28" t="s">
        <v>826</v>
      </c>
      <c r="E72" s="28" t="s">
        <v>827</v>
      </c>
      <c r="F72" s="28" t="s">
        <v>826</v>
      </c>
      <c r="G72" s="28" t="s">
        <v>723</v>
      </c>
      <c r="H72" s="28" t="s">
        <v>698</v>
      </c>
    </row>
    <row r="73" ht="17.25" customHeight="1">
      <c r="B73" s="28" t="s">
        <v>571</v>
      </c>
      <c r="C73" s="28" t="s">
        <v>738</v>
      </c>
      <c r="D73" s="28" t="s">
        <v>828</v>
      </c>
      <c r="E73" s="28" t="s">
        <v>829</v>
      </c>
      <c r="F73" s="28" t="s">
        <v>828</v>
      </c>
      <c r="G73" s="28" t="s">
        <v>723</v>
      </c>
      <c r="H73" s="28" t="s">
        <v>698</v>
      </c>
    </row>
    <row r="74" ht="17.25" customHeight="1">
      <c r="B74" s="28" t="s">
        <v>571</v>
      </c>
      <c r="C74" s="28" t="s">
        <v>738</v>
      </c>
      <c r="D74" s="28" t="s">
        <v>830</v>
      </c>
      <c r="E74" s="28" t="s">
        <v>831</v>
      </c>
      <c r="F74" s="28" t="s">
        <v>830</v>
      </c>
      <c r="G74" s="28" t="s">
        <v>723</v>
      </c>
      <c r="H74" s="28" t="s">
        <v>698</v>
      </c>
    </row>
    <row r="75" ht="17.25" customHeight="1">
      <c r="B75" s="28" t="s">
        <v>571</v>
      </c>
      <c r="C75" s="28" t="s">
        <v>738</v>
      </c>
      <c r="D75" s="28" t="s">
        <v>830</v>
      </c>
      <c r="E75" s="28" t="s">
        <v>832</v>
      </c>
      <c r="F75" s="28" t="s">
        <v>833</v>
      </c>
      <c r="G75" s="28" t="s">
        <v>723</v>
      </c>
      <c r="H75" s="28" t="s">
        <v>698</v>
      </c>
    </row>
    <row r="76" ht="17.25" customHeight="1">
      <c r="B76" s="28" t="s">
        <v>571</v>
      </c>
      <c r="C76" s="28" t="s">
        <v>738</v>
      </c>
      <c r="D76" s="28" t="s">
        <v>834</v>
      </c>
      <c r="E76" s="28" t="s">
        <v>835</v>
      </c>
      <c r="F76" s="28" t="s">
        <v>834</v>
      </c>
      <c r="G76" s="28" t="s">
        <v>723</v>
      </c>
      <c r="H76" s="28" t="s">
        <v>698</v>
      </c>
    </row>
    <row r="77" ht="17.25" customHeight="1">
      <c r="B77" s="28" t="s">
        <v>571</v>
      </c>
      <c r="C77" s="28" t="s">
        <v>738</v>
      </c>
      <c r="D77" s="28" t="s">
        <v>836</v>
      </c>
      <c r="E77" s="28" t="s">
        <v>837</v>
      </c>
      <c r="F77" s="28" t="s">
        <v>838</v>
      </c>
      <c r="G77" s="28" t="s">
        <v>723</v>
      </c>
      <c r="H77" s="28" t="s">
        <v>698</v>
      </c>
    </row>
    <row r="78" ht="17.25" customHeight="1">
      <c r="B78" s="28" t="s">
        <v>571</v>
      </c>
      <c r="C78" s="28" t="s">
        <v>738</v>
      </c>
      <c r="D78" s="28" t="s">
        <v>839</v>
      </c>
      <c r="E78" s="28" t="s">
        <v>840</v>
      </c>
      <c r="F78" s="28" t="s">
        <v>839</v>
      </c>
      <c r="G78" s="28" t="s">
        <v>723</v>
      </c>
      <c r="H78" s="28" t="s">
        <v>698</v>
      </c>
    </row>
    <row r="79" ht="17.25" customHeight="1">
      <c r="B79" s="28" t="s">
        <v>571</v>
      </c>
      <c r="C79" s="28" t="s">
        <v>738</v>
      </c>
      <c r="D79" s="28" t="s">
        <v>710</v>
      </c>
      <c r="E79" s="28" t="s">
        <v>841</v>
      </c>
      <c r="F79" s="28" t="s">
        <v>710</v>
      </c>
      <c r="G79" s="28" t="s">
        <v>723</v>
      </c>
      <c r="H79" s="28" t="s">
        <v>698</v>
      </c>
    </row>
    <row r="80" ht="17.25" customHeight="1">
      <c r="B80" s="28" t="s">
        <v>571</v>
      </c>
      <c r="C80" s="28" t="s">
        <v>738</v>
      </c>
      <c r="D80" s="28" t="s">
        <v>842</v>
      </c>
      <c r="E80" s="28" t="s">
        <v>843</v>
      </c>
      <c r="F80" s="28" t="s">
        <v>842</v>
      </c>
      <c r="G80" s="28" t="s">
        <v>723</v>
      </c>
      <c r="H80" s="28" t="s">
        <v>698</v>
      </c>
    </row>
    <row r="81" ht="17.25" customHeight="1">
      <c r="B81" s="28" t="s">
        <v>571</v>
      </c>
      <c r="C81" s="28" t="s">
        <v>738</v>
      </c>
      <c r="D81" s="28" t="s">
        <v>844</v>
      </c>
      <c r="E81" s="28" t="s">
        <v>845</v>
      </c>
      <c r="F81" s="28" t="s">
        <v>844</v>
      </c>
      <c r="G81" s="28" t="s">
        <v>723</v>
      </c>
      <c r="H81" s="28" t="s">
        <v>698</v>
      </c>
    </row>
    <row r="82" ht="17.25" customHeight="1">
      <c r="B82" s="28" t="s">
        <v>571</v>
      </c>
      <c r="C82" s="28" t="s">
        <v>738</v>
      </c>
      <c r="D82" s="28" t="s">
        <v>846</v>
      </c>
      <c r="E82" s="28" t="s">
        <v>847</v>
      </c>
      <c r="F82" s="28" t="s">
        <v>846</v>
      </c>
      <c r="G82" s="28" t="s">
        <v>723</v>
      </c>
      <c r="H82" s="28" t="s">
        <v>698</v>
      </c>
    </row>
    <row r="83" ht="17.25" customHeight="1">
      <c r="B83" s="28" t="s">
        <v>571</v>
      </c>
      <c r="C83" s="28" t="s">
        <v>738</v>
      </c>
      <c r="D83" s="28" t="s">
        <v>848</v>
      </c>
      <c r="E83" s="28" t="s">
        <v>849</v>
      </c>
      <c r="F83" s="28" t="s">
        <v>848</v>
      </c>
      <c r="G83" s="28" t="s">
        <v>723</v>
      </c>
      <c r="H83" s="28" t="s">
        <v>698</v>
      </c>
    </row>
    <row r="84" ht="17.25" customHeight="1">
      <c r="B84" s="28" t="s">
        <v>571</v>
      </c>
      <c r="C84" s="28" t="s">
        <v>738</v>
      </c>
      <c r="D84" s="28" t="s">
        <v>850</v>
      </c>
      <c r="E84" s="28" t="s">
        <v>851</v>
      </c>
      <c r="F84" s="28" t="s">
        <v>850</v>
      </c>
      <c r="G84" s="28" t="s">
        <v>723</v>
      </c>
      <c r="H84" s="28" t="s">
        <v>698</v>
      </c>
    </row>
    <row r="85" ht="17.25" customHeight="1">
      <c r="B85" s="28" t="s">
        <v>571</v>
      </c>
      <c r="C85" s="28" t="s">
        <v>738</v>
      </c>
      <c r="D85" s="28" t="s">
        <v>852</v>
      </c>
      <c r="E85" s="28" t="s">
        <v>853</v>
      </c>
      <c r="F85" s="28" t="s">
        <v>852</v>
      </c>
      <c r="G85" s="28" t="s">
        <v>723</v>
      </c>
      <c r="H85" s="28" t="s">
        <v>698</v>
      </c>
    </row>
    <row r="86" ht="17.25" customHeight="1">
      <c r="B86" s="28" t="s">
        <v>571</v>
      </c>
      <c r="C86" s="28" t="s">
        <v>738</v>
      </c>
      <c r="D86" s="28" t="s">
        <v>854</v>
      </c>
      <c r="E86" s="28" t="s">
        <v>855</v>
      </c>
      <c r="F86" s="28" t="s">
        <v>854</v>
      </c>
      <c r="G86" s="28" t="s">
        <v>723</v>
      </c>
      <c r="H86" s="28" t="s">
        <v>698</v>
      </c>
    </row>
    <row r="87" ht="17.25" customHeight="1">
      <c r="B87" s="28" t="s">
        <v>571</v>
      </c>
      <c r="C87" s="28" t="s">
        <v>738</v>
      </c>
      <c r="D87" s="28" t="s">
        <v>856</v>
      </c>
      <c r="E87" s="28" t="s">
        <v>857</v>
      </c>
      <c r="F87" s="28" t="s">
        <v>856</v>
      </c>
      <c r="G87" s="28" t="s">
        <v>723</v>
      </c>
      <c r="H87" s="28" t="s">
        <v>698</v>
      </c>
    </row>
    <row r="88" ht="17.25" customHeight="1">
      <c r="B88" s="28" t="s">
        <v>571</v>
      </c>
      <c r="C88" s="28" t="s">
        <v>738</v>
      </c>
      <c r="D88" s="28" t="s">
        <v>858</v>
      </c>
      <c r="E88" s="28" t="s">
        <v>859</v>
      </c>
      <c r="F88" s="28" t="s">
        <v>858</v>
      </c>
      <c r="G88" s="28" t="s">
        <v>723</v>
      </c>
      <c r="H88" s="28" t="s">
        <v>698</v>
      </c>
    </row>
    <row r="89" ht="17.25" customHeight="1">
      <c r="B89" s="28" t="s">
        <v>571</v>
      </c>
      <c r="C89" s="28" t="s">
        <v>738</v>
      </c>
      <c r="D89" s="28" t="s">
        <v>860</v>
      </c>
      <c r="E89" s="28" t="s">
        <v>861</v>
      </c>
      <c r="F89" s="28" t="s">
        <v>860</v>
      </c>
      <c r="G89" s="28" t="s">
        <v>723</v>
      </c>
      <c r="H89" s="28" t="s">
        <v>698</v>
      </c>
    </row>
    <row r="90" ht="17.25" customHeight="1">
      <c r="B90" s="28" t="s">
        <v>571</v>
      </c>
      <c r="C90" s="28" t="s">
        <v>738</v>
      </c>
      <c r="D90" s="28" t="s">
        <v>862</v>
      </c>
      <c r="E90" s="28" t="s">
        <v>863</v>
      </c>
      <c r="F90" s="28" t="s">
        <v>862</v>
      </c>
      <c r="G90" s="28" t="s">
        <v>723</v>
      </c>
      <c r="H90" s="28" t="s">
        <v>698</v>
      </c>
    </row>
    <row r="91" ht="17.25" customHeight="1">
      <c r="B91" s="28" t="s">
        <v>571</v>
      </c>
      <c r="C91" s="28" t="s">
        <v>738</v>
      </c>
      <c r="D91" s="28" t="s">
        <v>713</v>
      </c>
      <c r="E91" s="28" t="s">
        <v>864</v>
      </c>
      <c r="F91" s="28" t="s">
        <v>713</v>
      </c>
      <c r="G91" s="28" t="s">
        <v>723</v>
      </c>
      <c r="H91" s="28" t="s">
        <v>698</v>
      </c>
    </row>
    <row r="92" ht="17.25" customHeight="1">
      <c r="B92" s="28" t="s">
        <v>571</v>
      </c>
      <c r="C92" s="28" t="s">
        <v>738</v>
      </c>
      <c r="D92" s="28" t="s">
        <v>715</v>
      </c>
      <c r="E92" s="28" t="s">
        <v>865</v>
      </c>
      <c r="F92" s="28" t="s">
        <v>715</v>
      </c>
      <c r="G92" s="28" t="s">
        <v>723</v>
      </c>
      <c r="H92" s="28" t="s">
        <v>698</v>
      </c>
    </row>
    <row r="93" ht="17.25" customHeight="1">
      <c r="B93" s="28" t="s">
        <v>571</v>
      </c>
      <c r="C93" s="28" t="s">
        <v>738</v>
      </c>
      <c r="D93" s="28" t="s">
        <v>866</v>
      </c>
      <c r="E93" s="28" t="s">
        <v>867</v>
      </c>
      <c r="F93" s="28" t="s">
        <v>866</v>
      </c>
      <c r="G93" s="28" t="s">
        <v>723</v>
      </c>
      <c r="H93" s="28" t="s">
        <v>698</v>
      </c>
    </row>
    <row r="94" ht="17.25" customHeight="1">
      <c r="B94" s="28" t="s">
        <v>571</v>
      </c>
      <c r="C94" s="28" t="s">
        <v>738</v>
      </c>
      <c r="D94" s="28" t="s">
        <v>868</v>
      </c>
      <c r="E94" s="28" t="s">
        <v>869</v>
      </c>
      <c r="F94" s="28" t="s">
        <v>868</v>
      </c>
      <c r="G94" s="28" t="s">
        <v>723</v>
      </c>
      <c r="H94" s="28" t="s">
        <v>698</v>
      </c>
    </row>
    <row r="95" ht="17.25" customHeight="1">
      <c r="B95" s="28" t="s">
        <v>571</v>
      </c>
      <c r="C95" s="28" t="s">
        <v>738</v>
      </c>
      <c r="D95" s="28" t="s">
        <v>870</v>
      </c>
      <c r="E95" s="28" t="s">
        <v>871</v>
      </c>
      <c r="F95" s="28" t="s">
        <v>870</v>
      </c>
      <c r="G95" s="28" t="s">
        <v>723</v>
      </c>
      <c r="H95" s="28" t="s">
        <v>698</v>
      </c>
    </row>
    <row r="96" ht="17.25" customHeight="1">
      <c r="B96" s="28" t="s">
        <v>571</v>
      </c>
      <c r="C96" s="28" t="s">
        <v>738</v>
      </c>
      <c r="D96" s="28" t="s">
        <v>872</v>
      </c>
      <c r="E96" s="28" t="s">
        <v>873</v>
      </c>
      <c r="F96" s="28" t="s">
        <v>872</v>
      </c>
      <c r="G96" s="28" t="s">
        <v>723</v>
      </c>
      <c r="H96" s="28" t="s">
        <v>698</v>
      </c>
    </row>
    <row r="97" ht="17.25" customHeight="1">
      <c r="B97" s="28" t="s">
        <v>571</v>
      </c>
      <c r="C97" s="28" t="s">
        <v>738</v>
      </c>
      <c r="D97" s="28" t="s">
        <v>734</v>
      </c>
      <c r="E97" s="28" t="s">
        <v>735</v>
      </c>
      <c r="F97" s="28" t="s">
        <v>734</v>
      </c>
      <c r="G97" s="28" t="s">
        <v>723</v>
      </c>
      <c r="H97" s="28" t="s">
        <v>698</v>
      </c>
    </row>
    <row r="98" ht="17.25" customHeight="1">
      <c r="B98" s="28" t="s">
        <v>571</v>
      </c>
      <c r="C98" s="28" t="s">
        <v>738</v>
      </c>
      <c r="D98" s="28" t="s">
        <v>874</v>
      </c>
      <c r="E98" s="28" t="s">
        <v>875</v>
      </c>
      <c r="F98" s="28" t="s">
        <v>874</v>
      </c>
      <c r="G98" s="28" t="s">
        <v>723</v>
      </c>
      <c r="H98" s="28" t="s">
        <v>698</v>
      </c>
    </row>
    <row r="99" ht="17.25" customHeight="1">
      <c r="B99" s="28" t="s">
        <v>571</v>
      </c>
      <c r="C99" s="28" t="s">
        <v>738</v>
      </c>
      <c r="D99" s="28" t="s">
        <v>876</v>
      </c>
      <c r="E99" s="28" t="s">
        <v>877</v>
      </c>
      <c r="F99" s="28" t="s">
        <v>876</v>
      </c>
      <c r="G99" s="28" t="s">
        <v>723</v>
      </c>
      <c r="H99" s="28" t="s">
        <v>698</v>
      </c>
    </row>
    <row r="100" ht="17.25" customHeight="1">
      <c r="B100" s="28" t="s">
        <v>571</v>
      </c>
      <c r="C100" s="28" t="s">
        <v>738</v>
      </c>
      <c r="D100" s="28" t="s">
        <v>878</v>
      </c>
      <c r="E100" s="28" t="s">
        <v>879</v>
      </c>
      <c r="F100" s="28" t="s">
        <v>878</v>
      </c>
      <c r="G100" s="28" t="s">
        <v>723</v>
      </c>
      <c r="H100" s="28" t="s">
        <v>698</v>
      </c>
    </row>
    <row r="101" ht="17.25" customHeight="1">
      <c r="B101" s="28" t="s">
        <v>571</v>
      </c>
      <c r="C101" s="28" t="s">
        <v>738</v>
      </c>
      <c r="D101" s="28" t="s">
        <v>880</v>
      </c>
      <c r="E101" s="28" t="s">
        <v>881</v>
      </c>
      <c r="F101" s="28" t="s">
        <v>880</v>
      </c>
      <c r="G101" s="28" t="s">
        <v>723</v>
      </c>
      <c r="H101" s="28" t="s">
        <v>698</v>
      </c>
    </row>
    <row r="102" ht="17.25" customHeight="1">
      <c r="B102" s="28" t="s">
        <v>571</v>
      </c>
      <c r="C102" s="28" t="s">
        <v>738</v>
      </c>
      <c r="D102" s="28" t="s">
        <v>882</v>
      </c>
      <c r="E102" s="28" t="s">
        <v>883</v>
      </c>
      <c r="F102" s="28" t="s">
        <v>882</v>
      </c>
      <c r="G102" s="28" t="s">
        <v>723</v>
      </c>
      <c r="H102" s="28" t="s">
        <v>698</v>
      </c>
    </row>
    <row r="103" ht="17.25" customHeight="1">
      <c r="B103" s="28" t="s">
        <v>571</v>
      </c>
      <c r="C103" s="28" t="s">
        <v>738</v>
      </c>
      <c r="D103" s="28" t="s">
        <v>884</v>
      </c>
      <c r="E103" s="28" t="s">
        <v>885</v>
      </c>
      <c r="F103" s="28" t="s">
        <v>884</v>
      </c>
      <c r="G103" s="28" t="s">
        <v>723</v>
      </c>
      <c r="H103" s="28" t="s">
        <v>698</v>
      </c>
    </row>
    <row r="104" ht="17.25" customHeight="1">
      <c r="B104" s="28" t="s">
        <v>571</v>
      </c>
      <c r="C104" s="28" t="s">
        <v>738</v>
      </c>
      <c r="D104" s="28" t="s">
        <v>886</v>
      </c>
      <c r="E104" s="28" t="s">
        <v>887</v>
      </c>
      <c r="F104" s="28" t="s">
        <v>886</v>
      </c>
      <c r="G104" s="28" t="s">
        <v>723</v>
      </c>
      <c r="H104" s="28" t="s">
        <v>698</v>
      </c>
    </row>
    <row r="105" ht="17.25" customHeight="1">
      <c r="B105" s="28" t="s">
        <v>571</v>
      </c>
      <c r="C105" s="28" t="s">
        <v>738</v>
      </c>
      <c r="D105" s="28" t="s">
        <v>888</v>
      </c>
      <c r="E105" s="28" t="s">
        <v>889</v>
      </c>
      <c r="F105" s="28" t="s">
        <v>888</v>
      </c>
      <c r="G105" s="28" t="s">
        <v>723</v>
      </c>
      <c r="H105" s="28" t="s">
        <v>698</v>
      </c>
    </row>
    <row r="106" ht="17.25" customHeight="1">
      <c r="B106" s="28" t="s">
        <v>571</v>
      </c>
      <c r="C106" s="28" t="s">
        <v>738</v>
      </c>
      <c r="D106" s="28" t="s">
        <v>890</v>
      </c>
      <c r="E106" s="28" t="s">
        <v>891</v>
      </c>
      <c r="F106" s="28" t="s">
        <v>890</v>
      </c>
      <c r="G106" s="28" t="s">
        <v>723</v>
      </c>
      <c r="H106" s="28" t="s">
        <v>698</v>
      </c>
    </row>
    <row r="107" ht="17.25" customHeight="1">
      <c r="B107" s="28" t="s">
        <v>571</v>
      </c>
      <c r="C107" s="28" t="s">
        <v>738</v>
      </c>
      <c r="D107" s="28" t="s">
        <v>892</v>
      </c>
      <c r="E107" s="28" t="s">
        <v>893</v>
      </c>
      <c r="F107" s="28" t="s">
        <v>892</v>
      </c>
      <c r="G107" s="28" t="s">
        <v>723</v>
      </c>
      <c r="H107" s="28" t="s">
        <v>698</v>
      </c>
    </row>
    <row r="108" ht="17.25" customHeight="1">
      <c r="B108" s="28" t="s">
        <v>571</v>
      </c>
      <c r="C108" s="28" t="s">
        <v>738</v>
      </c>
      <c r="D108" s="28" t="s">
        <v>894</v>
      </c>
      <c r="E108" s="28" t="s">
        <v>895</v>
      </c>
      <c r="F108" s="28" t="s">
        <v>894</v>
      </c>
      <c r="G108" s="28" t="s">
        <v>723</v>
      </c>
      <c r="H108" s="28" t="s">
        <v>698</v>
      </c>
    </row>
    <row r="109" ht="17.25" customHeight="1">
      <c r="B109" s="28" t="s">
        <v>571</v>
      </c>
      <c r="C109" s="28" t="s">
        <v>738</v>
      </c>
      <c r="D109" s="28" t="s">
        <v>896</v>
      </c>
      <c r="E109" s="28" t="s">
        <v>897</v>
      </c>
      <c r="F109" s="28" t="s">
        <v>896</v>
      </c>
      <c r="G109" s="28" t="s">
        <v>723</v>
      </c>
      <c r="H109" s="28" t="s">
        <v>698</v>
      </c>
    </row>
    <row r="110" ht="17.25" customHeight="1">
      <c r="B110" s="28" t="s">
        <v>571</v>
      </c>
      <c r="C110" s="28" t="s">
        <v>738</v>
      </c>
      <c r="D110" s="28" t="s">
        <v>898</v>
      </c>
      <c r="E110" s="28" t="s">
        <v>899</v>
      </c>
      <c r="F110" s="28" t="s">
        <v>898</v>
      </c>
      <c r="G110" s="28" t="s">
        <v>723</v>
      </c>
      <c r="H110" s="28" t="s">
        <v>698</v>
      </c>
    </row>
    <row r="111" ht="17.25" customHeight="1">
      <c r="B111" s="28" t="s">
        <v>571</v>
      </c>
      <c r="C111" s="28" t="s">
        <v>738</v>
      </c>
      <c r="D111" s="28" t="s">
        <v>900</v>
      </c>
      <c r="E111" s="28" t="s">
        <v>901</v>
      </c>
      <c r="F111" s="28" t="s">
        <v>900</v>
      </c>
      <c r="G111" s="28" t="s">
        <v>723</v>
      </c>
      <c r="H111" s="28" t="s">
        <v>698</v>
      </c>
    </row>
    <row r="112" ht="17.25" customHeight="1">
      <c r="B112" s="28" t="s">
        <v>571</v>
      </c>
      <c r="C112" s="28" t="s">
        <v>738</v>
      </c>
      <c r="D112" s="28" t="s">
        <v>902</v>
      </c>
      <c r="E112" s="28" t="s">
        <v>903</v>
      </c>
      <c r="F112" s="28" t="s">
        <v>902</v>
      </c>
      <c r="G112" s="28" t="s">
        <v>723</v>
      </c>
      <c r="H112" s="28" t="s">
        <v>698</v>
      </c>
    </row>
    <row r="113" ht="17.25" customHeight="1">
      <c r="B113" s="28" t="s">
        <v>571</v>
      </c>
      <c r="C113" s="28" t="s">
        <v>738</v>
      </c>
      <c r="D113" s="28" t="s">
        <v>904</v>
      </c>
      <c r="E113" s="28" t="s">
        <v>905</v>
      </c>
      <c r="F113" s="28" t="s">
        <v>904</v>
      </c>
      <c r="G113" s="28" t="s">
        <v>723</v>
      </c>
      <c r="H113" s="28" t="s">
        <v>698</v>
      </c>
    </row>
    <row r="114" ht="17.25" customHeight="1">
      <c r="B114" s="28" t="s">
        <v>571</v>
      </c>
      <c r="C114" s="28" t="s">
        <v>738</v>
      </c>
      <c r="D114" s="28" t="s">
        <v>906</v>
      </c>
      <c r="E114" s="28" t="s">
        <v>907</v>
      </c>
      <c r="F114" s="28" t="s">
        <v>906</v>
      </c>
      <c r="G114" s="28" t="s">
        <v>723</v>
      </c>
      <c r="H114" s="28" t="s">
        <v>698</v>
      </c>
    </row>
    <row r="115" ht="17.25" customHeight="1">
      <c r="B115" s="28" t="s">
        <v>571</v>
      </c>
      <c r="C115" s="28" t="s">
        <v>738</v>
      </c>
      <c r="D115" s="28" t="s">
        <v>908</v>
      </c>
      <c r="E115" s="28" t="s">
        <v>909</v>
      </c>
      <c r="F115" s="28" t="s">
        <v>908</v>
      </c>
      <c r="G115" s="28" t="s">
        <v>723</v>
      </c>
      <c r="H115" s="28" t="s">
        <v>698</v>
      </c>
    </row>
    <row r="116" ht="17.25" customHeight="1">
      <c r="B116" s="28" t="s">
        <v>571</v>
      </c>
      <c r="C116" s="28" t="s">
        <v>738</v>
      </c>
      <c r="D116" s="28" t="s">
        <v>910</v>
      </c>
      <c r="E116" s="28" t="s">
        <v>911</v>
      </c>
      <c r="F116" s="28" t="s">
        <v>910</v>
      </c>
      <c r="G116" s="28" t="s">
        <v>723</v>
      </c>
      <c r="H116" s="28" t="s">
        <v>698</v>
      </c>
    </row>
    <row r="117" ht="17.25" customHeight="1">
      <c r="B117" s="28" t="s">
        <v>571</v>
      </c>
      <c r="C117" s="28" t="s">
        <v>738</v>
      </c>
      <c r="D117" s="28" t="s">
        <v>717</v>
      </c>
      <c r="E117" s="28" t="s">
        <v>912</v>
      </c>
      <c r="F117" s="28" t="s">
        <v>717</v>
      </c>
      <c r="G117" s="28" t="s">
        <v>723</v>
      </c>
      <c r="H117" s="28" t="s">
        <v>698</v>
      </c>
    </row>
    <row r="118" ht="17.25" customHeight="1">
      <c r="B118" s="28" t="s">
        <v>571</v>
      </c>
      <c r="C118" s="28" t="s">
        <v>738</v>
      </c>
      <c r="D118" s="28" t="s">
        <v>913</v>
      </c>
      <c r="E118" s="28" t="s">
        <v>914</v>
      </c>
      <c r="F118" s="28" t="s">
        <v>913</v>
      </c>
      <c r="G118" s="28" t="s">
        <v>723</v>
      </c>
      <c r="H118" s="28" t="s">
        <v>698</v>
      </c>
    </row>
    <row r="119" ht="17.25" customHeight="1">
      <c r="B119" s="28" t="s">
        <v>571</v>
      </c>
      <c r="C119" s="28" t="s">
        <v>738</v>
      </c>
      <c r="D119" s="28" t="s">
        <v>915</v>
      </c>
      <c r="E119" s="28" t="s">
        <v>916</v>
      </c>
      <c r="F119" s="28" t="s">
        <v>915</v>
      </c>
      <c r="G119" s="28" t="s">
        <v>723</v>
      </c>
      <c r="H119" s="28" t="s">
        <v>698</v>
      </c>
    </row>
    <row r="120" ht="17.25" customHeight="1">
      <c r="B120" s="28" t="s">
        <v>571</v>
      </c>
      <c r="C120" s="28" t="s">
        <v>738</v>
      </c>
      <c r="D120" s="28" t="s">
        <v>917</v>
      </c>
      <c r="E120" s="28" t="s">
        <v>918</v>
      </c>
      <c r="F120" s="28" t="s">
        <v>917</v>
      </c>
      <c r="G120" s="28" t="s">
        <v>723</v>
      </c>
      <c r="H120" s="28" t="s">
        <v>698</v>
      </c>
    </row>
    <row r="121" ht="17.25" customHeight="1">
      <c r="B121" s="28" t="s">
        <v>571</v>
      </c>
      <c r="C121" s="28" t="s">
        <v>738</v>
      </c>
      <c r="D121" s="28" t="s">
        <v>919</v>
      </c>
      <c r="E121" s="28" t="s">
        <v>920</v>
      </c>
      <c r="F121" s="28" t="s">
        <v>919</v>
      </c>
      <c r="G121" s="28" t="s">
        <v>723</v>
      </c>
      <c r="H121" s="28" t="s">
        <v>698</v>
      </c>
    </row>
    <row r="122" ht="17.25" customHeight="1">
      <c r="B122" s="28" t="s">
        <v>571</v>
      </c>
      <c r="C122" s="28" t="s">
        <v>738</v>
      </c>
      <c r="D122" s="28" t="s">
        <v>921</v>
      </c>
      <c r="E122" s="28" t="s">
        <v>922</v>
      </c>
      <c r="F122" s="28" t="s">
        <v>921</v>
      </c>
      <c r="G122" s="28" t="s">
        <v>723</v>
      </c>
      <c r="H122" s="28" t="s">
        <v>698</v>
      </c>
    </row>
    <row r="123" ht="17.25" customHeight="1">
      <c r="B123" s="28" t="s">
        <v>571</v>
      </c>
      <c r="C123" s="28" t="s">
        <v>738</v>
      </c>
      <c r="D123" s="28" t="s">
        <v>923</v>
      </c>
      <c r="E123" s="28" t="s">
        <v>924</v>
      </c>
      <c r="F123" s="28" t="s">
        <v>923</v>
      </c>
      <c r="G123" s="28" t="s">
        <v>723</v>
      </c>
      <c r="H123" s="28" t="s">
        <v>698</v>
      </c>
    </row>
    <row r="124" ht="17.25" customHeight="1">
      <c r="B124" s="28" t="s">
        <v>571</v>
      </c>
      <c r="C124" s="28" t="s">
        <v>738</v>
      </c>
      <c r="D124" s="28" t="s">
        <v>925</v>
      </c>
      <c r="E124" s="28" t="s">
        <v>926</v>
      </c>
      <c r="F124" s="28" t="s">
        <v>925</v>
      </c>
      <c r="G124" s="28" t="s">
        <v>723</v>
      </c>
      <c r="H124" s="28" t="s">
        <v>698</v>
      </c>
    </row>
    <row r="125" ht="17.25" customHeight="1">
      <c r="B125" s="28" t="s">
        <v>571</v>
      </c>
      <c r="C125" s="28" t="s">
        <v>738</v>
      </c>
      <c r="D125" s="28" t="s">
        <v>927</v>
      </c>
      <c r="E125" s="28" t="s">
        <v>928</v>
      </c>
      <c r="F125" s="28" t="s">
        <v>927</v>
      </c>
      <c r="G125" s="28" t="s">
        <v>723</v>
      </c>
      <c r="H125" s="28" t="s">
        <v>698</v>
      </c>
    </row>
    <row r="126" ht="17.25" customHeight="1">
      <c r="B126" s="28" t="s">
        <v>571</v>
      </c>
      <c r="C126" s="28" t="s">
        <v>738</v>
      </c>
      <c r="D126" s="28" t="s">
        <v>929</v>
      </c>
      <c r="E126" s="28" t="s">
        <v>930</v>
      </c>
      <c r="F126" s="28" t="s">
        <v>929</v>
      </c>
      <c r="G126" s="28" t="s">
        <v>723</v>
      </c>
      <c r="H126" s="28" t="s">
        <v>698</v>
      </c>
    </row>
    <row r="127" ht="17.25" customHeight="1">
      <c r="B127" s="28" t="s">
        <v>571</v>
      </c>
      <c r="C127" s="28" t="s">
        <v>738</v>
      </c>
      <c r="D127" s="28" t="s">
        <v>931</v>
      </c>
      <c r="E127" s="28" t="s">
        <v>932</v>
      </c>
      <c r="F127" s="28" t="s">
        <v>931</v>
      </c>
      <c r="G127" s="28" t="s">
        <v>723</v>
      </c>
      <c r="H127" s="28" t="s">
        <v>698</v>
      </c>
    </row>
    <row r="128" ht="17.25" customHeight="1">
      <c r="B128" s="28" t="s">
        <v>571</v>
      </c>
      <c r="C128" s="28" t="s">
        <v>738</v>
      </c>
      <c r="D128" s="28" t="s">
        <v>933</v>
      </c>
      <c r="E128" s="28" t="s">
        <v>934</v>
      </c>
      <c r="F128" s="28" t="s">
        <v>933</v>
      </c>
      <c r="G128" s="28" t="s">
        <v>723</v>
      </c>
      <c r="H128" s="28" t="s">
        <v>698</v>
      </c>
    </row>
    <row r="129" ht="17.25" customHeight="1">
      <c r="B129" s="28" t="s">
        <v>571</v>
      </c>
      <c r="C129" s="28" t="s">
        <v>738</v>
      </c>
      <c r="D129" s="28" t="s">
        <v>935</v>
      </c>
      <c r="E129" s="28" t="s">
        <v>936</v>
      </c>
      <c r="F129" s="28" t="s">
        <v>935</v>
      </c>
      <c r="G129" s="28" t="s">
        <v>723</v>
      </c>
      <c r="H129" s="28" t="s">
        <v>698</v>
      </c>
    </row>
    <row r="130" ht="17.25" customHeight="1">
      <c r="B130" s="28" t="s">
        <v>571</v>
      </c>
      <c r="C130" s="28" t="s">
        <v>738</v>
      </c>
      <c r="D130" s="28" t="s">
        <v>937</v>
      </c>
      <c r="E130" s="28" t="s">
        <v>938</v>
      </c>
      <c r="F130" s="28" t="s">
        <v>937</v>
      </c>
      <c r="G130" s="28" t="s">
        <v>723</v>
      </c>
      <c r="H130" s="28" t="s">
        <v>698</v>
      </c>
    </row>
    <row r="131" ht="17.25" customHeight="1">
      <c r="B131" s="28" t="s">
        <v>571</v>
      </c>
      <c r="C131" s="28" t="s">
        <v>738</v>
      </c>
      <c r="D131" s="28" t="s">
        <v>736</v>
      </c>
      <c r="E131" s="28" t="s">
        <v>737</v>
      </c>
      <c r="F131" s="28" t="s">
        <v>736</v>
      </c>
      <c r="G131" s="28" t="s">
        <v>723</v>
      </c>
      <c r="H131" s="28" t="s">
        <v>698</v>
      </c>
    </row>
    <row r="132" ht="17.25" customHeight="1">
      <c r="B132" s="28" t="s">
        <v>571</v>
      </c>
      <c r="C132" s="28" t="s">
        <v>738</v>
      </c>
      <c r="D132" s="28" t="s">
        <v>939</v>
      </c>
      <c r="E132" s="28" t="s">
        <v>940</v>
      </c>
      <c r="F132" s="28" t="s">
        <v>939</v>
      </c>
      <c r="G132" s="28" t="s">
        <v>723</v>
      </c>
      <c r="H132" s="28" t="s">
        <v>698</v>
      </c>
    </row>
    <row r="133" ht="17.25" customHeight="1">
      <c r="B133" s="28" t="s">
        <v>571</v>
      </c>
      <c r="C133" s="28" t="s">
        <v>738</v>
      </c>
      <c r="D133" s="28" t="s">
        <v>941</v>
      </c>
      <c r="E133" s="28" t="s">
        <v>157</v>
      </c>
      <c r="F133" s="28" t="s">
        <v>941</v>
      </c>
      <c r="G133" s="28" t="s">
        <v>723</v>
      </c>
      <c r="H133" s="28" t="s">
        <v>698</v>
      </c>
    </row>
    <row r="134" ht="17.25" customHeight="1">
      <c r="B134" s="28" t="s">
        <v>571</v>
      </c>
      <c r="C134" s="28" t="s">
        <v>942</v>
      </c>
      <c r="D134" s="28" t="s">
        <v>768</v>
      </c>
      <c r="E134" s="28" t="s">
        <v>943</v>
      </c>
      <c r="F134" s="28" t="s">
        <v>768</v>
      </c>
      <c r="G134" s="28" t="s">
        <v>723</v>
      </c>
      <c r="H134" s="28" t="s">
        <v>698</v>
      </c>
    </row>
    <row r="135" ht="17.25" customHeight="1">
      <c r="B135" s="28" t="s">
        <v>571</v>
      </c>
      <c r="C135" s="28" t="s">
        <v>942</v>
      </c>
      <c r="D135" s="28" t="s">
        <v>917</v>
      </c>
      <c r="E135" s="28" t="s">
        <v>918</v>
      </c>
      <c r="F135" s="28" t="s">
        <v>917</v>
      </c>
      <c r="G135" s="28" t="s">
        <v>723</v>
      </c>
      <c r="H135" s="28" t="s">
        <v>698</v>
      </c>
    </row>
    <row r="136" ht="17.25" customHeight="1">
      <c r="B136" s="28" t="s">
        <v>571</v>
      </c>
      <c r="C136" s="28" t="s">
        <v>944</v>
      </c>
      <c r="D136" s="28" t="s">
        <v>917</v>
      </c>
      <c r="E136" s="28" t="s">
        <v>945</v>
      </c>
      <c r="F136" s="28" t="s">
        <v>917</v>
      </c>
      <c r="G136" s="28" t="s">
        <v>697</v>
      </c>
      <c r="H136" s="28" t="s">
        <v>698</v>
      </c>
    </row>
    <row r="137" ht="17.25" customHeight="1">
      <c r="B137" s="28" t="s">
        <v>571</v>
      </c>
      <c r="C137" s="28" t="s">
        <v>946</v>
      </c>
      <c r="D137" s="28" t="s">
        <v>880</v>
      </c>
      <c r="E137" s="28" t="s">
        <v>947</v>
      </c>
      <c r="F137" s="28" t="s">
        <v>880</v>
      </c>
      <c r="G137" s="28" t="s">
        <v>697</v>
      </c>
      <c r="H137" s="28" t="s">
        <v>698</v>
      </c>
    </row>
    <row r="138" ht="17.25" customHeight="1">
      <c r="B138" s="28" t="s">
        <v>571</v>
      </c>
      <c r="C138" s="28" t="s">
        <v>948</v>
      </c>
      <c r="D138" s="28" t="s">
        <v>761</v>
      </c>
      <c r="E138" s="28" t="s">
        <v>949</v>
      </c>
      <c r="F138" s="28" t="s">
        <v>761</v>
      </c>
      <c r="G138" s="28" t="s">
        <v>697</v>
      </c>
      <c r="H138" s="28" t="s">
        <v>698</v>
      </c>
    </row>
    <row r="139" ht="17.25" customHeight="1">
      <c r="B139" s="28" t="s">
        <v>571</v>
      </c>
      <c r="C139" s="28" t="s">
        <v>948</v>
      </c>
      <c r="D139" s="28" t="s">
        <v>779</v>
      </c>
      <c r="E139" s="28" t="s">
        <v>950</v>
      </c>
      <c r="F139" s="28" t="s">
        <v>779</v>
      </c>
      <c r="G139" s="28" t="s">
        <v>697</v>
      </c>
      <c r="H139" s="28" t="s">
        <v>698</v>
      </c>
    </row>
    <row r="140" ht="17.25" customHeight="1">
      <c r="B140" s="28" t="s">
        <v>571</v>
      </c>
      <c r="C140" s="28" t="s">
        <v>948</v>
      </c>
      <c r="D140" s="28" t="s">
        <v>783</v>
      </c>
      <c r="E140" s="28" t="s">
        <v>951</v>
      </c>
      <c r="F140" s="28" t="s">
        <v>783</v>
      </c>
      <c r="G140" s="28" t="s">
        <v>697</v>
      </c>
      <c r="H140" s="28" t="s">
        <v>698</v>
      </c>
    </row>
    <row r="141" ht="17.25" customHeight="1">
      <c r="B141" s="28" t="s">
        <v>571</v>
      </c>
      <c r="C141" s="28" t="s">
        <v>948</v>
      </c>
      <c r="D141" s="28" t="s">
        <v>800</v>
      </c>
      <c r="E141" s="28" t="s">
        <v>952</v>
      </c>
      <c r="F141" s="28" t="s">
        <v>800</v>
      </c>
      <c r="G141" s="28" t="s">
        <v>697</v>
      </c>
      <c r="H141" s="28" t="s">
        <v>698</v>
      </c>
    </row>
    <row r="142" ht="17.25" customHeight="1">
      <c r="B142" s="28" t="s">
        <v>571</v>
      </c>
      <c r="C142" s="28" t="s">
        <v>948</v>
      </c>
      <c r="D142" s="28" t="s">
        <v>953</v>
      </c>
      <c r="E142" s="28" t="s">
        <v>954</v>
      </c>
      <c r="F142" s="28" t="s">
        <v>953</v>
      </c>
      <c r="G142" s="28" t="s">
        <v>697</v>
      </c>
      <c r="H142" s="28" t="s">
        <v>698</v>
      </c>
    </row>
    <row r="143" ht="17.25" customHeight="1">
      <c r="B143" s="28" t="s">
        <v>571</v>
      </c>
      <c r="C143" s="28" t="s">
        <v>948</v>
      </c>
      <c r="D143" s="28" t="s">
        <v>816</v>
      </c>
      <c r="E143" s="28" t="s">
        <v>955</v>
      </c>
      <c r="F143" s="28" t="s">
        <v>816</v>
      </c>
      <c r="G143" s="28" t="s">
        <v>697</v>
      </c>
      <c r="H143" s="28" t="s">
        <v>698</v>
      </c>
    </row>
    <row r="144" ht="17.25" customHeight="1">
      <c r="B144" s="28" t="s">
        <v>571</v>
      </c>
      <c r="C144" s="28" t="s">
        <v>948</v>
      </c>
      <c r="D144" s="28" t="s">
        <v>818</v>
      </c>
      <c r="E144" s="28" t="s">
        <v>956</v>
      </c>
      <c r="F144" s="28" t="s">
        <v>818</v>
      </c>
      <c r="G144" s="28" t="s">
        <v>697</v>
      </c>
      <c r="H144" s="28" t="s">
        <v>698</v>
      </c>
    </row>
    <row r="145" ht="17.25" customHeight="1">
      <c r="B145" s="28" t="s">
        <v>571</v>
      </c>
      <c r="C145" s="28" t="s">
        <v>948</v>
      </c>
      <c r="D145" s="28" t="s">
        <v>828</v>
      </c>
      <c r="E145" s="28" t="s">
        <v>957</v>
      </c>
      <c r="F145" s="28" t="s">
        <v>828</v>
      </c>
      <c r="G145" s="28" t="s">
        <v>697</v>
      </c>
      <c r="H145" s="28" t="s">
        <v>698</v>
      </c>
    </row>
    <row r="146" ht="17.25" customHeight="1">
      <c r="B146" s="28" t="s">
        <v>571</v>
      </c>
      <c r="C146" s="28" t="s">
        <v>948</v>
      </c>
      <c r="D146" s="28" t="s">
        <v>830</v>
      </c>
      <c r="E146" s="28" t="s">
        <v>958</v>
      </c>
      <c r="F146" s="28" t="s">
        <v>830</v>
      </c>
      <c r="G146" s="28" t="s">
        <v>697</v>
      </c>
      <c r="H146" s="28" t="s">
        <v>698</v>
      </c>
    </row>
    <row r="147" ht="17.25" customHeight="1">
      <c r="B147" s="28" t="s">
        <v>571</v>
      </c>
      <c r="C147" s="28" t="s">
        <v>948</v>
      </c>
      <c r="D147" s="28" t="s">
        <v>834</v>
      </c>
      <c r="E147" s="28" t="s">
        <v>959</v>
      </c>
      <c r="F147" s="28" t="s">
        <v>834</v>
      </c>
      <c r="G147" s="28" t="s">
        <v>697</v>
      </c>
      <c r="H147" s="28" t="s">
        <v>698</v>
      </c>
    </row>
    <row r="148" ht="17.25" customHeight="1">
      <c r="B148" s="28" t="s">
        <v>571</v>
      </c>
      <c r="C148" s="28" t="s">
        <v>948</v>
      </c>
      <c r="D148" s="28" t="s">
        <v>862</v>
      </c>
      <c r="E148" s="28" t="s">
        <v>960</v>
      </c>
      <c r="F148" s="28" t="s">
        <v>862</v>
      </c>
      <c r="G148" s="28" t="s">
        <v>697</v>
      </c>
      <c r="H148" s="28" t="s">
        <v>698</v>
      </c>
    </row>
    <row r="149" ht="17.25" customHeight="1">
      <c r="B149" s="28" t="s">
        <v>571</v>
      </c>
      <c r="C149" s="28" t="s">
        <v>948</v>
      </c>
      <c r="D149" s="28" t="s">
        <v>868</v>
      </c>
      <c r="E149" s="28" t="s">
        <v>961</v>
      </c>
      <c r="F149" s="28" t="s">
        <v>868</v>
      </c>
      <c r="G149" s="28" t="s">
        <v>697</v>
      </c>
      <c r="H149" s="28" t="s">
        <v>698</v>
      </c>
    </row>
    <row r="150" ht="17.25" customHeight="1">
      <c r="B150" s="28" t="s">
        <v>571</v>
      </c>
      <c r="C150" s="28" t="s">
        <v>948</v>
      </c>
      <c r="D150" s="28" t="s">
        <v>880</v>
      </c>
      <c r="E150" s="28" t="s">
        <v>947</v>
      </c>
      <c r="F150" s="28" t="s">
        <v>880</v>
      </c>
      <c r="G150" s="28" t="s">
        <v>697</v>
      </c>
      <c r="H150" s="28" t="s">
        <v>698</v>
      </c>
    </row>
    <row r="151" ht="17.25" customHeight="1">
      <c r="B151" s="28" t="s">
        <v>571</v>
      </c>
      <c r="C151" s="28" t="s">
        <v>948</v>
      </c>
      <c r="D151" s="28" t="s">
        <v>886</v>
      </c>
      <c r="E151" s="28" t="s">
        <v>962</v>
      </c>
      <c r="F151" s="28" t="s">
        <v>886</v>
      </c>
      <c r="G151" s="28" t="s">
        <v>697</v>
      </c>
      <c r="H151" s="28" t="s">
        <v>698</v>
      </c>
    </row>
    <row r="152" ht="17.25" customHeight="1">
      <c r="B152" s="28" t="s">
        <v>571</v>
      </c>
      <c r="C152" s="28" t="s">
        <v>948</v>
      </c>
      <c r="D152" s="28" t="s">
        <v>900</v>
      </c>
      <c r="E152" s="28" t="s">
        <v>963</v>
      </c>
      <c r="F152" s="28" t="s">
        <v>900</v>
      </c>
      <c r="G152" s="28" t="s">
        <v>697</v>
      </c>
      <c r="H152" s="28" t="s">
        <v>698</v>
      </c>
    </row>
    <row r="153" ht="17.25" customHeight="1">
      <c r="B153" s="28" t="s">
        <v>571</v>
      </c>
      <c r="C153" s="28" t="s">
        <v>948</v>
      </c>
      <c r="D153" s="28" t="s">
        <v>906</v>
      </c>
      <c r="E153" s="28" t="s">
        <v>964</v>
      </c>
      <c r="F153" s="28" t="s">
        <v>906</v>
      </c>
      <c r="G153" s="28" t="s">
        <v>697</v>
      </c>
      <c r="H153" s="28" t="s">
        <v>698</v>
      </c>
    </row>
    <row r="154" ht="17.25" customHeight="1">
      <c r="B154" s="28" t="s">
        <v>571</v>
      </c>
      <c r="C154" s="28" t="s">
        <v>948</v>
      </c>
      <c r="D154" s="28" t="s">
        <v>717</v>
      </c>
      <c r="E154" s="28" t="s">
        <v>965</v>
      </c>
      <c r="F154" s="28" t="s">
        <v>717</v>
      </c>
      <c r="G154" s="28" t="s">
        <v>697</v>
      </c>
      <c r="H154" s="28" t="s">
        <v>698</v>
      </c>
    </row>
    <row r="155" ht="17.25" customHeight="1">
      <c r="B155" s="28" t="s">
        <v>571</v>
      </c>
      <c r="C155" s="28" t="s">
        <v>948</v>
      </c>
      <c r="D155" s="28" t="s">
        <v>913</v>
      </c>
      <c r="E155" s="28" t="s">
        <v>966</v>
      </c>
      <c r="F155" s="28" t="s">
        <v>913</v>
      </c>
      <c r="G155" s="28" t="s">
        <v>697</v>
      </c>
      <c r="H155" s="28" t="s">
        <v>698</v>
      </c>
    </row>
    <row r="156" ht="17.25" customHeight="1">
      <c r="B156" s="28" t="s">
        <v>571</v>
      </c>
      <c r="C156" s="28" t="s">
        <v>948</v>
      </c>
      <c r="D156" s="28" t="s">
        <v>915</v>
      </c>
      <c r="E156" s="28" t="s">
        <v>967</v>
      </c>
      <c r="F156" s="28" t="s">
        <v>915</v>
      </c>
      <c r="G156" s="28" t="s">
        <v>697</v>
      </c>
      <c r="H156" s="28" t="s">
        <v>698</v>
      </c>
    </row>
    <row r="157" ht="17.25" customHeight="1">
      <c r="B157" s="28" t="s">
        <v>571</v>
      </c>
      <c r="C157" s="28" t="s">
        <v>948</v>
      </c>
      <c r="D157" s="28" t="s">
        <v>968</v>
      </c>
      <c r="E157" s="28" t="s">
        <v>969</v>
      </c>
      <c r="F157" s="28" t="s">
        <v>968</v>
      </c>
      <c r="G157" s="28" t="s">
        <v>697</v>
      </c>
      <c r="H157" s="28" t="s">
        <v>698</v>
      </c>
    </row>
    <row r="158" ht="17.25" customHeight="1">
      <c r="B158" s="28" t="s">
        <v>571</v>
      </c>
      <c r="C158" s="28" t="s">
        <v>948</v>
      </c>
      <c r="D158" s="28" t="s">
        <v>736</v>
      </c>
      <c r="E158" s="28" t="s">
        <v>970</v>
      </c>
      <c r="F158" s="28" t="s">
        <v>736</v>
      </c>
      <c r="G158" s="28" t="s">
        <v>697</v>
      </c>
      <c r="H158" s="28" t="s">
        <v>698</v>
      </c>
    </row>
    <row r="159" ht="17.25" customHeight="1">
      <c r="B159" s="28" t="s">
        <v>571</v>
      </c>
      <c r="C159" s="28" t="s">
        <v>948</v>
      </c>
      <c r="D159" s="28" t="s">
        <v>939</v>
      </c>
      <c r="E159" s="28" t="s">
        <v>971</v>
      </c>
      <c r="F159" s="28" t="s">
        <v>939</v>
      </c>
      <c r="G159" s="28" t="s">
        <v>697</v>
      </c>
      <c r="H159" s="28" t="s">
        <v>698</v>
      </c>
    </row>
    <row r="160" ht="17.25" customHeight="1">
      <c r="B160" s="28" t="s">
        <v>571</v>
      </c>
      <c r="C160" s="28" t="s">
        <v>972</v>
      </c>
      <c r="D160" s="28" t="s">
        <v>917</v>
      </c>
      <c r="E160" s="28" t="s">
        <v>918</v>
      </c>
      <c r="F160" s="28" t="s">
        <v>917</v>
      </c>
      <c r="G160" s="28" t="s">
        <v>723</v>
      </c>
      <c r="H160" s="28" t="s">
        <v>698</v>
      </c>
    </row>
    <row r="161" ht="17.25" customHeight="1">
      <c r="B161" s="28" t="s">
        <v>571</v>
      </c>
      <c r="C161" s="28" t="s">
        <v>973</v>
      </c>
      <c r="D161" s="28" t="s">
        <v>761</v>
      </c>
      <c r="E161" s="28" t="s">
        <v>974</v>
      </c>
      <c r="F161" s="28" t="s">
        <v>761</v>
      </c>
      <c r="G161" s="28" t="s">
        <v>975</v>
      </c>
      <c r="H161" s="28" t="s">
        <v>976</v>
      </c>
    </row>
    <row r="162" ht="17.25" customHeight="1">
      <c r="B162" s="28" t="s">
        <v>571</v>
      </c>
      <c r="C162" s="28" t="s">
        <v>973</v>
      </c>
      <c r="D162" s="28" t="s">
        <v>763</v>
      </c>
      <c r="E162" s="28" t="s">
        <v>977</v>
      </c>
      <c r="F162" s="28" t="s">
        <v>763</v>
      </c>
      <c r="G162" s="28" t="s">
        <v>975</v>
      </c>
      <c r="H162" s="28" t="s">
        <v>976</v>
      </c>
    </row>
    <row r="163" ht="17.25" customHeight="1">
      <c r="B163" s="28" t="s">
        <v>571</v>
      </c>
      <c r="C163" s="28" t="s">
        <v>973</v>
      </c>
      <c r="D163" s="28" t="s">
        <v>978</v>
      </c>
      <c r="E163" s="28" t="s">
        <v>979</v>
      </c>
      <c r="F163" s="28" t="s">
        <v>978</v>
      </c>
      <c r="G163" s="28" t="s">
        <v>975</v>
      </c>
      <c r="H163" s="28" t="s">
        <v>976</v>
      </c>
    </row>
    <row r="164" ht="17.25" customHeight="1">
      <c r="B164" s="28" t="s">
        <v>571</v>
      </c>
      <c r="C164" s="28" t="s">
        <v>973</v>
      </c>
      <c r="D164" s="28" t="s">
        <v>980</v>
      </c>
      <c r="E164" s="28" t="s">
        <v>979</v>
      </c>
      <c r="F164" s="28" t="s">
        <v>978</v>
      </c>
      <c r="G164" s="28" t="s">
        <v>975</v>
      </c>
      <c r="H164" s="28" t="s">
        <v>976</v>
      </c>
    </row>
    <row r="165" ht="17.25" customHeight="1">
      <c r="B165" s="28" t="s">
        <v>571</v>
      </c>
      <c r="C165" s="28" t="s">
        <v>973</v>
      </c>
      <c r="D165" s="28" t="s">
        <v>919</v>
      </c>
      <c r="E165" s="28" t="s">
        <v>981</v>
      </c>
      <c r="F165" s="28" t="s">
        <v>919</v>
      </c>
      <c r="G165" s="28" t="s">
        <v>975</v>
      </c>
      <c r="H165" s="28" t="s">
        <v>976</v>
      </c>
    </row>
    <row r="166" ht="17.25" customHeight="1">
      <c r="B166" s="28" t="s">
        <v>571</v>
      </c>
      <c r="C166" s="28" t="s">
        <v>982</v>
      </c>
      <c r="D166" s="28" t="s">
        <v>983</v>
      </c>
      <c r="E166" s="28" t="s">
        <v>984</v>
      </c>
      <c r="F166" s="28" t="s">
        <v>983</v>
      </c>
      <c r="G166" s="28" t="s">
        <v>723</v>
      </c>
      <c r="H166" s="28" t="s">
        <v>985</v>
      </c>
    </row>
    <row r="167" ht="17.25" customHeight="1">
      <c r="B167" s="28" t="s">
        <v>571</v>
      </c>
      <c r="C167" s="28" t="s">
        <v>986</v>
      </c>
      <c r="D167" s="28" t="s">
        <v>983</v>
      </c>
      <c r="E167" s="28" t="s">
        <v>987</v>
      </c>
      <c r="F167" s="28" t="s">
        <v>983</v>
      </c>
      <c r="G167" s="28" t="s">
        <v>697</v>
      </c>
      <c r="H167" s="28" t="s">
        <v>985</v>
      </c>
    </row>
    <row r="168" ht="17.25" customHeight="1">
      <c r="B168" s="28" t="s">
        <v>571</v>
      </c>
      <c r="C168" s="28" t="s">
        <v>988</v>
      </c>
      <c r="D168" s="28" t="s">
        <v>744</v>
      </c>
      <c r="E168" s="28" t="s">
        <v>989</v>
      </c>
      <c r="F168" s="28" t="s">
        <v>744</v>
      </c>
      <c r="G168" s="28" t="s">
        <v>723</v>
      </c>
      <c r="H168" s="28" t="s">
        <v>707</v>
      </c>
    </row>
    <row r="169" ht="17.25" customHeight="1">
      <c r="B169" s="28" t="s">
        <v>571</v>
      </c>
      <c r="C169" s="28" t="s">
        <v>988</v>
      </c>
      <c r="D169" s="28" t="s">
        <v>749</v>
      </c>
      <c r="E169" s="28" t="s">
        <v>990</v>
      </c>
      <c r="F169" s="28" t="s">
        <v>749</v>
      </c>
      <c r="G169" s="28" t="s">
        <v>723</v>
      </c>
      <c r="H169" s="28" t="s">
        <v>707</v>
      </c>
    </row>
    <row r="170" ht="17.25" customHeight="1">
      <c r="B170" s="28" t="s">
        <v>571</v>
      </c>
      <c r="C170" s="28" t="s">
        <v>988</v>
      </c>
      <c r="D170" s="28" t="s">
        <v>761</v>
      </c>
      <c r="E170" s="28" t="s">
        <v>991</v>
      </c>
      <c r="F170" s="28" t="s">
        <v>761</v>
      </c>
      <c r="G170" s="28" t="s">
        <v>723</v>
      </c>
      <c r="H170" s="28" t="s">
        <v>707</v>
      </c>
    </row>
    <row r="171" ht="17.25" customHeight="1">
      <c r="B171" s="28" t="s">
        <v>571</v>
      </c>
      <c r="C171" s="28" t="s">
        <v>988</v>
      </c>
      <c r="D171" s="28" t="s">
        <v>720</v>
      </c>
      <c r="E171" s="28" t="s">
        <v>992</v>
      </c>
      <c r="F171" s="28" t="s">
        <v>722</v>
      </c>
      <c r="G171" s="28" t="s">
        <v>723</v>
      </c>
      <c r="H171" s="28" t="s">
        <v>707</v>
      </c>
    </row>
    <row r="172" ht="17.25" customHeight="1">
      <c r="B172" s="28" t="s">
        <v>571</v>
      </c>
      <c r="C172" s="28" t="s">
        <v>988</v>
      </c>
      <c r="D172" s="28" t="s">
        <v>708</v>
      </c>
      <c r="E172" s="28" t="s">
        <v>993</v>
      </c>
      <c r="F172" s="28" t="s">
        <v>900</v>
      </c>
      <c r="G172" s="28" t="s">
        <v>723</v>
      </c>
      <c r="H172" s="28" t="s">
        <v>707</v>
      </c>
    </row>
    <row r="173" ht="17.25" customHeight="1">
      <c r="B173" s="28" t="s">
        <v>571</v>
      </c>
      <c r="C173" s="28" t="s">
        <v>988</v>
      </c>
      <c r="D173" s="28" t="s">
        <v>953</v>
      </c>
      <c r="E173" s="28" t="s">
        <v>994</v>
      </c>
      <c r="F173" s="28" t="s">
        <v>953</v>
      </c>
      <c r="G173" s="28" t="s">
        <v>723</v>
      </c>
      <c r="H173" s="28" t="s">
        <v>707</v>
      </c>
    </row>
    <row r="174" ht="17.25" customHeight="1">
      <c r="B174" s="28" t="s">
        <v>571</v>
      </c>
      <c r="C174" s="28" t="s">
        <v>988</v>
      </c>
      <c r="D174" s="28" t="s">
        <v>810</v>
      </c>
      <c r="E174" s="28" t="s">
        <v>995</v>
      </c>
      <c r="F174" s="28" t="s">
        <v>810</v>
      </c>
      <c r="G174" s="28" t="s">
        <v>723</v>
      </c>
      <c r="H174" s="28" t="s">
        <v>707</v>
      </c>
    </row>
    <row r="175" ht="17.25" customHeight="1">
      <c r="B175" s="28" t="s">
        <v>571</v>
      </c>
      <c r="C175" s="28" t="s">
        <v>988</v>
      </c>
      <c r="D175" s="28" t="s">
        <v>713</v>
      </c>
      <c r="E175" s="28" t="s">
        <v>996</v>
      </c>
      <c r="F175" s="28" t="s">
        <v>713</v>
      </c>
      <c r="G175" s="28" t="s">
        <v>723</v>
      </c>
      <c r="H175" s="28" t="s">
        <v>707</v>
      </c>
    </row>
    <row r="176" ht="17.25" customHeight="1">
      <c r="B176" s="28" t="s">
        <v>571</v>
      </c>
      <c r="C176" s="28" t="s">
        <v>988</v>
      </c>
      <c r="D176" s="28" t="s">
        <v>715</v>
      </c>
      <c r="E176" s="28" t="s">
        <v>997</v>
      </c>
      <c r="F176" s="28" t="s">
        <v>715</v>
      </c>
      <c r="G176" s="28" t="s">
        <v>723</v>
      </c>
      <c r="H176" s="28" t="s">
        <v>707</v>
      </c>
    </row>
    <row r="177" ht="17.25" customHeight="1">
      <c r="B177" s="28" t="s">
        <v>571</v>
      </c>
      <c r="C177" s="28" t="s">
        <v>988</v>
      </c>
      <c r="D177" s="28" t="s">
        <v>732</v>
      </c>
      <c r="E177" s="28" t="s">
        <v>998</v>
      </c>
      <c r="F177" s="28" t="s">
        <v>732</v>
      </c>
      <c r="G177" s="28" t="s">
        <v>723</v>
      </c>
      <c r="H177" s="28" t="s">
        <v>707</v>
      </c>
    </row>
    <row r="178" ht="17.25" customHeight="1">
      <c r="B178" s="28" t="s">
        <v>571</v>
      </c>
      <c r="C178" s="28" t="s">
        <v>988</v>
      </c>
      <c r="D178" s="28" t="s">
        <v>999</v>
      </c>
      <c r="E178" s="28" t="s">
        <v>1000</v>
      </c>
      <c r="F178" s="28" t="s">
        <v>999</v>
      </c>
      <c r="G178" s="28" t="s">
        <v>723</v>
      </c>
      <c r="H178" s="28" t="s">
        <v>707</v>
      </c>
    </row>
    <row r="179" ht="17.25" customHeight="1">
      <c r="B179" s="28" t="s">
        <v>571</v>
      </c>
      <c r="C179" s="28" t="s">
        <v>988</v>
      </c>
      <c r="D179" s="28" t="s">
        <v>876</v>
      </c>
      <c r="E179" s="28" t="s">
        <v>1001</v>
      </c>
      <c r="F179" s="28" t="s">
        <v>876</v>
      </c>
      <c r="G179" s="28" t="s">
        <v>723</v>
      </c>
      <c r="H179" s="28" t="s">
        <v>707</v>
      </c>
    </row>
    <row r="180" ht="17.25" customHeight="1">
      <c r="B180" s="28" t="s">
        <v>571</v>
      </c>
      <c r="C180" s="28" t="s">
        <v>988</v>
      </c>
      <c r="D180" s="28" t="s">
        <v>1002</v>
      </c>
      <c r="E180" s="28" t="s">
        <v>1003</v>
      </c>
      <c r="F180" s="28" t="s">
        <v>1002</v>
      </c>
      <c r="G180" s="28" t="s">
        <v>723</v>
      </c>
      <c r="H180" s="28" t="s">
        <v>707</v>
      </c>
    </row>
    <row r="181" ht="17.25" customHeight="1">
      <c r="B181" s="28" t="s">
        <v>571</v>
      </c>
      <c r="C181" s="28" t="s">
        <v>988</v>
      </c>
      <c r="D181" s="28" t="s">
        <v>906</v>
      </c>
      <c r="E181" s="28" t="s">
        <v>1004</v>
      </c>
      <c r="F181" s="28" t="s">
        <v>906</v>
      </c>
      <c r="G181" s="28" t="s">
        <v>723</v>
      </c>
      <c r="H181" s="28" t="s">
        <v>707</v>
      </c>
    </row>
    <row r="182" ht="17.25" customHeight="1">
      <c r="B182" s="28" t="s">
        <v>571</v>
      </c>
      <c r="C182" s="28" t="s">
        <v>988</v>
      </c>
      <c r="D182" s="28" t="s">
        <v>910</v>
      </c>
      <c r="E182" s="28" t="s">
        <v>1005</v>
      </c>
      <c r="F182" s="28" t="s">
        <v>910</v>
      </c>
      <c r="G182" s="28" t="s">
        <v>723</v>
      </c>
      <c r="H182" s="28" t="s">
        <v>707</v>
      </c>
    </row>
    <row r="183" ht="17.25" customHeight="1">
      <c r="B183" s="28" t="s">
        <v>571</v>
      </c>
      <c r="C183" s="28" t="s">
        <v>988</v>
      </c>
      <c r="D183" s="28" t="s">
        <v>717</v>
      </c>
      <c r="E183" s="28" t="s">
        <v>1006</v>
      </c>
      <c r="F183" s="28" t="s">
        <v>717</v>
      </c>
      <c r="G183" s="28" t="s">
        <v>723</v>
      </c>
      <c r="H183" s="28" t="s">
        <v>707</v>
      </c>
    </row>
    <row r="184" ht="17.25" customHeight="1">
      <c r="B184" s="28" t="s">
        <v>571</v>
      </c>
      <c r="C184" s="28" t="s">
        <v>988</v>
      </c>
      <c r="D184" s="28" t="s">
        <v>915</v>
      </c>
      <c r="E184" s="28" t="s">
        <v>1007</v>
      </c>
      <c r="F184" s="28" t="s">
        <v>915</v>
      </c>
      <c r="G184" s="28" t="s">
        <v>723</v>
      </c>
      <c r="H184" s="28" t="s">
        <v>707</v>
      </c>
    </row>
    <row r="185" ht="17.25" customHeight="1">
      <c r="B185" s="28" t="s">
        <v>571</v>
      </c>
      <c r="C185" s="28" t="s">
        <v>988</v>
      </c>
      <c r="D185" s="28" t="s">
        <v>917</v>
      </c>
      <c r="E185" s="28" t="s">
        <v>1008</v>
      </c>
      <c r="F185" s="28" t="s">
        <v>917</v>
      </c>
      <c r="G185" s="28" t="s">
        <v>723</v>
      </c>
      <c r="H185" s="28" t="s">
        <v>707</v>
      </c>
    </row>
    <row r="186" ht="17.25" customHeight="1">
      <c r="B186" s="28" t="s">
        <v>571</v>
      </c>
      <c r="C186" s="28" t="s">
        <v>988</v>
      </c>
      <c r="D186" s="28" t="s">
        <v>925</v>
      </c>
      <c r="E186" s="28" t="s">
        <v>1009</v>
      </c>
      <c r="F186" s="28" t="s">
        <v>925</v>
      </c>
      <c r="G186" s="28" t="s">
        <v>723</v>
      </c>
      <c r="H186" s="28" t="s">
        <v>707</v>
      </c>
    </row>
    <row r="187" ht="17.25" customHeight="1">
      <c r="B187" s="28" t="s">
        <v>571</v>
      </c>
      <c r="C187" s="28" t="s">
        <v>988</v>
      </c>
      <c r="D187" s="28" t="s">
        <v>927</v>
      </c>
      <c r="E187" s="28" t="s">
        <v>1010</v>
      </c>
      <c r="F187" s="28" t="s">
        <v>927</v>
      </c>
      <c r="G187" s="28" t="s">
        <v>723</v>
      </c>
      <c r="H187" s="28" t="s">
        <v>707</v>
      </c>
    </row>
    <row r="188" ht="17.25" customHeight="1">
      <c r="B188" s="28" t="s">
        <v>571</v>
      </c>
      <c r="C188" s="28" t="s">
        <v>988</v>
      </c>
      <c r="D188" s="28" t="s">
        <v>736</v>
      </c>
      <c r="E188" s="28" t="s">
        <v>1011</v>
      </c>
      <c r="F188" s="28" t="s">
        <v>736</v>
      </c>
      <c r="G188" s="28" t="s">
        <v>723</v>
      </c>
      <c r="H188" s="28" t="s">
        <v>707</v>
      </c>
    </row>
    <row r="189" ht="17.25" customHeight="1">
      <c r="B189" s="28" t="s">
        <v>571</v>
      </c>
      <c r="C189" s="28" t="s">
        <v>1012</v>
      </c>
      <c r="D189" s="28" t="s">
        <v>705</v>
      </c>
      <c r="E189" s="28" t="s">
        <v>706</v>
      </c>
      <c r="F189" s="28" t="s">
        <v>705</v>
      </c>
      <c r="G189" s="28" t="s">
        <v>697</v>
      </c>
      <c r="H189" s="28" t="s">
        <v>707</v>
      </c>
    </row>
    <row r="190" ht="17.25" customHeight="1">
      <c r="B190" s="28" t="s">
        <v>571</v>
      </c>
      <c r="C190" s="28" t="s">
        <v>1012</v>
      </c>
      <c r="D190" s="28" t="s">
        <v>708</v>
      </c>
      <c r="E190" s="28" t="s">
        <v>709</v>
      </c>
      <c r="F190" s="28" t="s">
        <v>708</v>
      </c>
      <c r="G190" s="28" t="s">
        <v>697</v>
      </c>
      <c r="H190" s="28" t="s">
        <v>707</v>
      </c>
    </row>
    <row r="191" ht="17.25" customHeight="1">
      <c r="B191" s="28" t="s">
        <v>571</v>
      </c>
      <c r="C191" s="28" t="s">
        <v>1012</v>
      </c>
      <c r="D191" s="28" t="s">
        <v>710</v>
      </c>
      <c r="E191" s="28" t="s">
        <v>711</v>
      </c>
      <c r="F191" s="28" t="s">
        <v>712</v>
      </c>
      <c r="G191" s="28" t="s">
        <v>697</v>
      </c>
      <c r="H191" s="28" t="s">
        <v>707</v>
      </c>
    </row>
    <row r="192" ht="17.25" customHeight="1">
      <c r="B192" s="28" t="s">
        <v>571</v>
      </c>
      <c r="C192" s="28" t="s">
        <v>1012</v>
      </c>
      <c r="D192" s="28" t="s">
        <v>713</v>
      </c>
      <c r="E192" s="28" t="s">
        <v>714</v>
      </c>
      <c r="F192" s="28" t="s">
        <v>713</v>
      </c>
      <c r="G192" s="28" t="s">
        <v>697</v>
      </c>
      <c r="H192" s="28" t="s">
        <v>707</v>
      </c>
    </row>
    <row r="193" ht="17.25" customHeight="1">
      <c r="B193" s="28" t="s">
        <v>571</v>
      </c>
      <c r="C193" s="28" t="s">
        <v>1012</v>
      </c>
      <c r="D193" s="28" t="s">
        <v>717</v>
      </c>
      <c r="E193" s="28" t="s">
        <v>718</v>
      </c>
      <c r="F193" s="28" t="s">
        <v>717</v>
      </c>
      <c r="G193" s="28" t="s">
        <v>697</v>
      </c>
      <c r="H193" s="28" t="s">
        <v>707</v>
      </c>
    </row>
    <row r="194" ht="17.25" customHeight="1">
      <c r="B194" s="28" t="s">
        <v>571</v>
      </c>
      <c r="C194" s="28" t="s">
        <v>1013</v>
      </c>
      <c r="D194" s="28" t="s">
        <v>770</v>
      </c>
      <c r="E194" s="28" t="s">
        <v>1014</v>
      </c>
      <c r="F194" s="28" t="s">
        <v>770</v>
      </c>
      <c r="G194" s="28" t="s">
        <v>697</v>
      </c>
      <c r="H194" s="28" t="s">
        <v>1015</v>
      </c>
    </row>
    <row r="195" ht="17.25" customHeight="1">
      <c r="B195" s="28" t="s">
        <v>571</v>
      </c>
      <c r="C195" s="28" t="s">
        <v>1016</v>
      </c>
      <c r="D195" s="28" t="s">
        <v>705</v>
      </c>
      <c r="E195" s="28" t="s">
        <v>1017</v>
      </c>
      <c r="F195" s="28" t="s">
        <v>705</v>
      </c>
      <c r="G195" s="28" t="s">
        <v>723</v>
      </c>
      <c r="H195" s="28" t="s">
        <v>1018</v>
      </c>
    </row>
    <row r="196" ht="17.25" customHeight="1">
      <c r="B196" s="28" t="s">
        <v>571</v>
      </c>
      <c r="C196" s="28" t="s">
        <v>1016</v>
      </c>
      <c r="D196" s="28" t="s">
        <v>770</v>
      </c>
      <c r="E196" s="28" t="s">
        <v>1019</v>
      </c>
      <c r="F196" s="28" t="s">
        <v>770</v>
      </c>
      <c r="G196" s="28" t="s">
        <v>723</v>
      </c>
      <c r="H196" s="28" t="s">
        <v>1018</v>
      </c>
    </row>
    <row r="197" ht="17.25" customHeight="1">
      <c r="B197" s="28" t="s">
        <v>571</v>
      </c>
      <c r="C197" s="28" t="s">
        <v>1016</v>
      </c>
      <c r="D197" s="28" t="s">
        <v>772</v>
      </c>
      <c r="E197" s="28" t="s">
        <v>1020</v>
      </c>
      <c r="F197" s="28" t="s">
        <v>794</v>
      </c>
      <c r="G197" s="28" t="s">
        <v>723</v>
      </c>
      <c r="H197" s="28" t="s">
        <v>1018</v>
      </c>
    </row>
    <row r="198" ht="17.25" customHeight="1">
      <c r="B198" s="28" t="s">
        <v>571</v>
      </c>
      <c r="C198" s="28" t="s">
        <v>1016</v>
      </c>
      <c r="D198" s="28" t="s">
        <v>774</v>
      </c>
      <c r="E198" s="28" t="s">
        <v>1021</v>
      </c>
      <c r="F198" s="28" t="s">
        <v>774</v>
      </c>
      <c r="G198" s="28" t="s">
        <v>723</v>
      </c>
      <c r="H198" s="28" t="s">
        <v>1018</v>
      </c>
    </row>
    <row r="199" ht="17.25" customHeight="1">
      <c r="B199" s="28" t="s">
        <v>571</v>
      </c>
      <c r="C199" s="28" t="s">
        <v>1016</v>
      </c>
      <c r="D199" s="28" t="s">
        <v>781</v>
      </c>
      <c r="E199" s="28" t="s">
        <v>1022</v>
      </c>
      <c r="F199" s="28" t="s">
        <v>892</v>
      </c>
      <c r="G199" s="28" t="s">
        <v>723</v>
      </c>
      <c r="H199" s="28" t="s">
        <v>1018</v>
      </c>
    </row>
    <row r="200" ht="17.25" customHeight="1">
      <c r="B200" s="28" t="s">
        <v>571</v>
      </c>
      <c r="C200" s="28" t="s">
        <v>1016</v>
      </c>
      <c r="D200" s="28" t="s">
        <v>786</v>
      </c>
      <c r="E200" s="28" t="s">
        <v>1023</v>
      </c>
      <c r="F200" s="28" t="s">
        <v>786</v>
      </c>
      <c r="G200" s="28" t="s">
        <v>723</v>
      </c>
      <c r="H200" s="28" t="s">
        <v>1018</v>
      </c>
    </row>
    <row r="201" ht="17.25" customHeight="1">
      <c r="B201" s="28" t="s">
        <v>571</v>
      </c>
      <c r="C201" s="28" t="s">
        <v>1016</v>
      </c>
      <c r="D201" s="28" t="s">
        <v>1024</v>
      </c>
      <c r="E201" s="28" t="s">
        <v>1025</v>
      </c>
      <c r="F201" s="28" t="s">
        <v>1024</v>
      </c>
      <c r="G201" s="28" t="s">
        <v>723</v>
      </c>
      <c r="H201" s="28" t="s">
        <v>1018</v>
      </c>
    </row>
    <row r="202" ht="17.25" customHeight="1">
      <c r="B202" s="28" t="s">
        <v>571</v>
      </c>
      <c r="C202" s="28" t="s">
        <v>1016</v>
      </c>
      <c r="D202" s="28" t="s">
        <v>808</v>
      </c>
      <c r="E202" s="28" t="s">
        <v>1026</v>
      </c>
      <c r="F202" s="28" t="s">
        <v>808</v>
      </c>
      <c r="G202" s="28" t="s">
        <v>723</v>
      </c>
      <c r="H202" s="28" t="s">
        <v>1018</v>
      </c>
    </row>
    <row r="203" ht="17.25" customHeight="1">
      <c r="B203" s="28" t="s">
        <v>571</v>
      </c>
      <c r="C203" s="28" t="s">
        <v>1016</v>
      </c>
      <c r="D203" s="28" t="s">
        <v>810</v>
      </c>
      <c r="E203" s="28" t="s">
        <v>1027</v>
      </c>
      <c r="F203" s="28" t="s">
        <v>810</v>
      </c>
      <c r="G203" s="28" t="s">
        <v>723</v>
      </c>
      <c r="H203" s="28" t="s">
        <v>1018</v>
      </c>
    </row>
    <row r="204" ht="17.25" customHeight="1">
      <c r="B204" s="28" t="s">
        <v>571</v>
      </c>
      <c r="C204" s="28" t="s">
        <v>1016</v>
      </c>
      <c r="D204" s="28" t="s">
        <v>1028</v>
      </c>
      <c r="E204" s="28" t="s">
        <v>1029</v>
      </c>
      <c r="F204" s="28" t="s">
        <v>1028</v>
      </c>
      <c r="G204" s="28" t="s">
        <v>723</v>
      </c>
      <c r="H204" s="28" t="s">
        <v>1018</v>
      </c>
    </row>
    <row r="205" ht="17.25" customHeight="1">
      <c r="B205" s="28" t="s">
        <v>571</v>
      </c>
      <c r="C205" s="28" t="s">
        <v>1016</v>
      </c>
      <c r="D205" s="28" t="s">
        <v>814</v>
      </c>
      <c r="E205" s="28" t="s">
        <v>1030</v>
      </c>
      <c r="F205" s="28" t="s">
        <v>814</v>
      </c>
      <c r="G205" s="28" t="s">
        <v>723</v>
      </c>
      <c r="H205" s="28" t="s">
        <v>1018</v>
      </c>
    </row>
    <row r="206" ht="17.25" customHeight="1">
      <c r="B206" s="28" t="s">
        <v>571</v>
      </c>
      <c r="C206" s="28" t="s">
        <v>1016</v>
      </c>
      <c r="D206" s="28" t="s">
        <v>826</v>
      </c>
      <c r="E206" s="28" t="s">
        <v>1031</v>
      </c>
      <c r="F206" s="28" t="s">
        <v>826</v>
      </c>
      <c r="G206" s="28" t="s">
        <v>723</v>
      </c>
      <c r="H206" s="28" t="s">
        <v>1018</v>
      </c>
    </row>
    <row r="207" ht="17.25" customHeight="1">
      <c r="B207" s="28" t="s">
        <v>571</v>
      </c>
      <c r="C207" s="28" t="s">
        <v>1016</v>
      </c>
      <c r="D207" s="28" t="s">
        <v>834</v>
      </c>
      <c r="E207" s="28" t="s">
        <v>1032</v>
      </c>
      <c r="F207" s="28" t="s">
        <v>834</v>
      </c>
      <c r="G207" s="28" t="s">
        <v>723</v>
      </c>
      <c r="H207" s="28" t="s">
        <v>1018</v>
      </c>
    </row>
    <row r="208" ht="17.25" customHeight="1">
      <c r="B208" s="28" t="s">
        <v>571</v>
      </c>
      <c r="C208" s="28" t="s">
        <v>1016</v>
      </c>
      <c r="D208" s="28" t="s">
        <v>842</v>
      </c>
      <c r="E208" s="28" t="s">
        <v>1033</v>
      </c>
      <c r="F208" s="28" t="s">
        <v>842</v>
      </c>
      <c r="G208" s="28" t="s">
        <v>723</v>
      </c>
      <c r="H208" s="28" t="s">
        <v>1018</v>
      </c>
    </row>
    <row r="209" ht="17.25" customHeight="1">
      <c r="B209" s="28" t="s">
        <v>571</v>
      </c>
      <c r="C209" s="28" t="s">
        <v>1016</v>
      </c>
      <c r="D209" s="28" t="s">
        <v>852</v>
      </c>
      <c r="E209" s="28" t="s">
        <v>1034</v>
      </c>
      <c r="F209" s="28" t="s">
        <v>852</v>
      </c>
      <c r="G209" s="28" t="s">
        <v>723</v>
      </c>
      <c r="H209" s="28" t="s">
        <v>1018</v>
      </c>
    </row>
    <row r="210" ht="17.25" customHeight="1">
      <c r="B210" s="28" t="s">
        <v>571</v>
      </c>
      <c r="C210" s="28" t="s">
        <v>1016</v>
      </c>
      <c r="D210" s="28" t="s">
        <v>856</v>
      </c>
      <c r="E210" s="28" t="s">
        <v>1035</v>
      </c>
      <c r="F210" s="28" t="s">
        <v>856</v>
      </c>
      <c r="G210" s="28" t="s">
        <v>723</v>
      </c>
      <c r="H210" s="28" t="s">
        <v>1018</v>
      </c>
    </row>
    <row r="211" ht="17.25" customHeight="1">
      <c r="B211" s="28" t="s">
        <v>571</v>
      </c>
      <c r="C211" s="28" t="s">
        <v>1016</v>
      </c>
      <c r="D211" s="28" t="s">
        <v>862</v>
      </c>
      <c r="E211" s="28" t="s">
        <v>1036</v>
      </c>
      <c r="F211" s="28" t="s">
        <v>862</v>
      </c>
      <c r="G211" s="28" t="s">
        <v>723</v>
      </c>
      <c r="H211" s="28" t="s">
        <v>1018</v>
      </c>
    </row>
    <row r="212" ht="17.25" customHeight="1">
      <c r="B212" s="28" t="s">
        <v>571</v>
      </c>
      <c r="C212" s="28" t="s">
        <v>1016</v>
      </c>
      <c r="D212" s="28" t="s">
        <v>870</v>
      </c>
      <c r="E212" s="28" t="s">
        <v>1037</v>
      </c>
      <c r="F212" s="28" t="s">
        <v>870</v>
      </c>
      <c r="G212" s="28" t="s">
        <v>723</v>
      </c>
      <c r="H212" s="28" t="s">
        <v>1018</v>
      </c>
    </row>
    <row r="213" ht="17.25" customHeight="1">
      <c r="B213" s="28" t="s">
        <v>571</v>
      </c>
      <c r="C213" s="28" t="s">
        <v>1016</v>
      </c>
      <c r="D213" s="28" t="s">
        <v>1038</v>
      </c>
      <c r="E213" s="28" t="s">
        <v>1039</v>
      </c>
      <c r="F213" s="28" t="s">
        <v>1038</v>
      </c>
      <c r="G213" s="28" t="s">
        <v>723</v>
      </c>
      <c r="H213" s="28" t="s">
        <v>1018</v>
      </c>
    </row>
    <row r="214" ht="17.25" customHeight="1">
      <c r="B214" s="28" t="s">
        <v>571</v>
      </c>
      <c r="C214" s="28" t="s">
        <v>1016</v>
      </c>
      <c r="D214" s="28" t="s">
        <v>1040</v>
      </c>
      <c r="E214" s="28" t="s">
        <v>1041</v>
      </c>
      <c r="F214" s="28" t="s">
        <v>1040</v>
      </c>
      <c r="G214" s="28" t="s">
        <v>723</v>
      </c>
      <c r="H214" s="28" t="s">
        <v>1018</v>
      </c>
    </row>
    <row r="215" ht="17.25" customHeight="1">
      <c r="B215" s="28" t="s">
        <v>571</v>
      </c>
      <c r="C215" s="28" t="s">
        <v>1016</v>
      </c>
      <c r="D215" s="28" t="s">
        <v>880</v>
      </c>
      <c r="E215" s="28" t="s">
        <v>1042</v>
      </c>
      <c r="F215" s="28" t="s">
        <v>880</v>
      </c>
      <c r="G215" s="28" t="s">
        <v>723</v>
      </c>
      <c r="H215" s="28" t="s">
        <v>1018</v>
      </c>
    </row>
    <row r="216" ht="17.25" customHeight="1">
      <c r="B216" s="28" t="s">
        <v>571</v>
      </c>
      <c r="C216" s="28" t="s">
        <v>1016</v>
      </c>
      <c r="D216" s="28" t="s">
        <v>900</v>
      </c>
      <c r="E216" s="28" t="s">
        <v>1043</v>
      </c>
      <c r="F216" s="28" t="s">
        <v>900</v>
      </c>
      <c r="G216" s="28" t="s">
        <v>723</v>
      </c>
      <c r="H216" s="28" t="s">
        <v>1018</v>
      </c>
    </row>
    <row r="217" ht="17.25" customHeight="1">
      <c r="B217" s="28" t="s">
        <v>571</v>
      </c>
      <c r="C217" s="28" t="s">
        <v>1016</v>
      </c>
      <c r="D217" s="28" t="s">
        <v>902</v>
      </c>
      <c r="E217" s="28" t="s">
        <v>1044</v>
      </c>
      <c r="F217" s="28" t="s">
        <v>902</v>
      </c>
      <c r="G217" s="28" t="s">
        <v>723</v>
      </c>
      <c r="H217" s="28" t="s">
        <v>1018</v>
      </c>
    </row>
    <row r="218" ht="17.25" customHeight="1">
      <c r="B218" s="28" t="s">
        <v>571</v>
      </c>
      <c r="C218" s="28" t="s">
        <v>1016</v>
      </c>
      <c r="D218" s="28" t="s">
        <v>915</v>
      </c>
      <c r="E218" s="28" t="s">
        <v>1045</v>
      </c>
      <c r="F218" s="28" t="s">
        <v>915</v>
      </c>
      <c r="G218" s="28" t="s">
        <v>723</v>
      </c>
      <c r="H218" s="28" t="s">
        <v>1018</v>
      </c>
    </row>
    <row r="219" ht="17.25" customHeight="1">
      <c r="B219" s="28" t="s">
        <v>571</v>
      </c>
      <c r="C219" s="28" t="s">
        <v>1016</v>
      </c>
      <c r="D219" s="28" t="s">
        <v>921</v>
      </c>
      <c r="E219" s="28" t="s">
        <v>1046</v>
      </c>
      <c r="F219" s="28" t="s">
        <v>921</v>
      </c>
      <c r="G219" s="28" t="s">
        <v>723</v>
      </c>
      <c r="H219" s="28" t="s">
        <v>1018</v>
      </c>
    </row>
    <row r="220" ht="17.25" customHeight="1">
      <c r="B220" s="28" t="s">
        <v>571</v>
      </c>
      <c r="C220" s="28" t="s">
        <v>1016</v>
      </c>
      <c r="D220" s="28" t="s">
        <v>933</v>
      </c>
      <c r="E220" s="28" t="s">
        <v>1047</v>
      </c>
      <c r="F220" s="28" t="s">
        <v>933</v>
      </c>
      <c r="G220" s="28" t="s">
        <v>723</v>
      </c>
      <c r="H220" s="28" t="s">
        <v>1018</v>
      </c>
    </row>
    <row r="221" ht="17.25" customHeight="1">
      <c r="B221" s="28" t="s">
        <v>571</v>
      </c>
      <c r="C221" s="28" t="s">
        <v>1016</v>
      </c>
      <c r="D221" s="28" t="s">
        <v>935</v>
      </c>
      <c r="E221" s="28" t="s">
        <v>1048</v>
      </c>
      <c r="F221" s="28" t="s">
        <v>935</v>
      </c>
      <c r="G221" s="28" t="s">
        <v>723</v>
      </c>
      <c r="H221" s="28" t="s">
        <v>1018</v>
      </c>
    </row>
    <row r="222" ht="17.25" customHeight="1">
      <c r="B222" s="28" t="s">
        <v>571</v>
      </c>
      <c r="C222" s="28" t="s">
        <v>1016</v>
      </c>
      <c r="D222" s="28" t="s">
        <v>736</v>
      </c>
      <c r="E222" s="28" t="s">
        <v>1049</v>
      </c>
      <c r="F222" s="28" t="s">
        <v>736</v>
      </c>
      <c r="G222" s="28" t="s">
        <v>723</v>
      </c>
      <c r="H222" s="28" t="s">
        <v>1018</v>
      </c>
    </row>
    <row r="223" ht="17.25" customHeight="1">
      <c r="B223" s="28" t="s">
        <v>571</v>
      </c>
      <c r="C223" s="28" t="s">
        <v>1016</v>
      </c>
      <c r="D223" s="28" t="s">
        <v>1050</v>
      </c>
      <c r="E223" s="28" t="s">
        <v>1051</v>
      </c>
      <c r="F223" s="28" t="s">
        <v>1050</v>
      </c>
      <c r="G223" s="28" t="s">
        <v>723</v>
      </c>
      <c r="H223" s="28" t="s">
        <v>1018</v>
      </c>
    </row>
    <row r="224" ht="17.25" customHeight="1">
      <c r="B224" s="28" t="s">
        <v>571</v>
      </c>
      <c r="C224" s="28" t="s">
        <v>1052</v>
      </c>
      <c r="D224" s="28" t="s">
        <v>826</v>
      </c>
      <c r="E224" s="28" t="s">
        <v>1053</v>
      </c>
      <c r="F224" s="28" t="s">
        <v>826</v>
      </c>
      <c r="G224" s="28" t="s">
        <v>697</v>
      </c>
      <c r="H224" s="28" t="s">
        <v>1018</v>
      </c>
    </row>
    <row r="225" ht="17.25" customHeight="1">
      <c r="B225" s="28" t="s">
        <v>571</v>
      </c>
      <c r="C225" s="28" t="s">
        <v>1052</v>
      </c>
      <c r="D225" s="28" t="s">
        <v>1054</v>
      </c>
      <c r="E225" s="28" t="s">
        <v>1055</v>
      </c>
      <c r="F225" s="28" t="s">
        <v>1054</v>
      </c>
      <c r="G225" s="28" t="s">
        <v>697</v>
      </c>
      <c r="H225" s="28" t="s">
        <v>1018</v>
      </c>
    </row>
    <row r="226" ht="17.25" customHeight="1">
      <c r="B226" s="28" t="s">
        <v>571</v>
      </c>
      <c r="C226" s="28" t="s">
        <v>1056</v>
      </c>
      <c r="D226" s="28" t="s">
        <v>739</v>
      </c>
      <c r="E226" s="28" t="s">
        <v>1057</v>
      </c>
      <c r="F226" s="28" t="s">
        <v>739</v>
      </c>
      <c r="G226" s="28" t="s">
        <v>723</v>
      </c>
      <c r="H226" s="28" t="s">
        <v>1058</v>
      </c>
    </row>
    <row r="227" ht="17.25" customHeight="1">
      <c r="B227" s="28" t="s">
        <v>571</v>
      </c>
      <c r="C227" s="28" t="s">
        <v>1056</v>
      </c>
      <c r="D227" s="28" t="s">
        <v>742</v>
      </c>
      <c r="E227" s="28" t="s">
        <v>1059</v>
      </c>
      <c r="F227" s="28" t="s">
        <v>742</v>
      </c>
      <c r="G227" s="28" t="s">
        <v>723</v>
      </c>
      <c r="H227" s="28" t="s">
        <v>1058</v>
      </c>
    </row>
    <row r="228" ht="17.25" customHeight="1">
      <c r="B228" s="28" t="s">
        <v>571</v>
      </c>
      <c r="C228" s="28" t="s">
        <v>1056</v>
      </c>
      <c r="D228" s="28" t="s">
        <v>759</v>
      </c>
      <c r="E228" s="28" t="s">
        <v>1060</v>
      </c>
      <c r="F228" s="28" t="s">
        <v>759</v>
      </c>
      <c r="G228" s="28" t="s">
        <v>723</v>
      </c>
      <c r="H228" s="28" t="s">
        <v>1058</v>
      </c>
    </row>
    <row r="229" ht="17.25" customHeight="1">
      <c r="B229" s="28" t="s">
        <v>571</v>
      </c>
      <c r="C229" s="28" t="s">
        <v>1056</v>
      </c>
      <c r="D229" s="28" t="s">
        <v>1061</v>
      </c>
      <c r="E229" s="28" t="s">
        <v>1062</v>
      </c>
      <c r="F229" s="28" t="s">
        <v>1061</v>
      </c>
      <c r="G229" s="28" t="s">
        <v>723</v>
      </c>
      <c r="H229" s="28" t="s">
        <v>1058</v>
      </c>
    </row>
    <row r="230" ht="17.25" customHeight="1">
      <c r="B230" s="28" t="s">
        <v>571</v>
      </c>
      <c r="C230" s="28" t="s">
        <v>1056</v>
      </c>
      <c r="D230" s="28" t="s">
        <v>708</v>
      </c>
      <c r="E230" s="28" t="s">
        <v>1063</v>
      </c>
      <c r="F230" s="28" t="s">
        <v>708</v>
      </c>
      <c r="G230" s="28" t="s">
        <v>723</v>
      </c>
      <c r="H230" s="28" t="s">
        <v>1058</v>
      </c>
    </row>
    <row r="231" ht="17.25" customHeight="1">
      <c r="B231" s="28" t="s">
        <v>571</v>
      </c>
      <c r="C231" s="28" t="s">
        <v>1056</v>
      </c>
      <c r="D231" s="28" t="s">
        <v>810</v>
      </c>
      <c r="E231" s="28" t="s">
        <v>1064</v>
      </c>
      <c r="F231" s="28" t="s">
        <v>810</v>
      </c>
      <c r="G231" s="28" t="s">
        <v>723</v>
      </c>
      <c r="H231" s="28" t="s">
        <v>1058</v>
      </c>
    </row>
    <row r="232" ht="17.25" customHeight="1">
      <c r="B232" s="28" t="s">
        <v>571</v>
      </c>
      <c r="C232" s="28" t="s">
        <v>1056</v>
      </c>
      <c r="D232" s="28" t="s">
        <v>814</v>
      </c>
      <c r="E232" s="28" t="s">
        <v>1065</v>
      </c>
      <c r="F232" s="28" t="s">
        <v>814</v>
      </c>
      <c r="G232" s="28" t="s">
        <v>723</v>
      </c>
      <c r="H232" s="28" t="s">
        <v>1058</v>
      </c>
    </row>
    <row r="233" ht="17.25" customHeight="1">
      <c r="B233" s="28" t="s">
        <v>571</v>
      </c>
      <c r="C233" s="28" t="s">
        <v>1056</v>
      </c>
      <c r="D233" s="28" t="s">
        <v>826</v>
      </c>
      <c r="E233" s="28" t="s">
        <v>1066</v>
      </c>
      <c r="F233" s="28" t="s">
        <v>826</v>
      </c>
      <c r="G233" s="28" t="s">
        <v>723</v>
      </c>
      <c r="H233" s="28" t="s">
        <v>1058</v>
      </c>
    </row>
    <row r="234" ht="17.25" customHeight="1">
      <c r="B234" s="28" t="s">
        <v>571</v>
      </c>
      <c r="C234" s="28" t="s">
        <v>1056</v>
      </c>
      <c r="D234" s="28" t="s">
        <v>836</v>
      </c>
      <c r="E234" s="28" t="s">
        <v>1067</v>
      </c>
      <c r="F234" s="28" t="s">
        <v>836</v>
      </c>
      <c r="G234" s="28" t="s">
        <v>723</v>
      </c>
      <c r="H234" s="28" t="s">
        <v>1058</v>
      </c>
    </row>
    <row r="235" ht="17.25" customHeight="1">
      <c r="B235" s="28" t="s">
        <v>571</v>
      </c>
      <c r="C235" s="28" t="s">
        <v>1056</v>
      </c>
      <c r="D235" s="28" t="s">
        <v>850</v>
      </c>
      <c r="E235" s="28" t="s">
        <v>1068</v>
      </c>
      <c r="F235" s="28" t="s">
        <v>850</v>
      </c>
      <c r="G235" s="28" t="s">
        <v>723</v>
      </c>
      <c r="H235" s="28" t="s">
        <v>1058</v>
      </c>
    </row>
    <row r="236" ht="17.25" customHeight="1">
      <c r="B236" s="28" t="s">
        <v>571</v>
      </c>
      <c r="C236" s="28" t="s">
        <v>1056</v>
      </c>
      <c r="D236" s="28" t="s">
        <v>734</v>
      </c>
      <c r="E236" s="28" t="s">
        <v>1069</v>
      </c>
      <c r="F236" s="28" t="s">
        <v>734</v>
      </c>
      <c r="G236" s="28" t="s">
        <v>723</v>
      </c>
      <c r="H236" s="28" t="s">
        <v>1058</v>
      </c>
    </row>
    <row r="237" ht="17.25" customHeight="1">
      <c r="B237" s="28" t="s">
        <v>571</v>
      </c>
      <c r="C237" s="28" t="s">
        <v>1056</v>
      </c>
      <c r="D237" s="28" t="s">
        <v>874</v>
      </c>
      <c r="E237" s="28" t="s">
        <v>1070</v>
      </c>
      <c r="F237" s="28" t="s">
        <v>874</v>
      </c>
      <c r="G237" s="28" t="s">
        <v>723</v>
      </c>
      <c r="H237" s="28" t="s">
        <v>1058</v>
      </c>
    </row>
    <row r="238" ht="17.25" customHeight="1">
      <c r="B238" s="28" t="s">
        <v>571</v>
      </c>
      <c r="C238" s="28" t="s">
        <v>1056</v>
      </c>
      <c r="D238" s="28" t="s">
        <v>717</v>
      </c>
      <c r="E238" s="28" t="s">
        <v>1071</v>
      </c>
      <c r="F238" s="28" t="s">
        <v>717</v>
      </c>
      <c r="G238" s="28" t="s">
        <v>723</v>
      </c>
      <c r="H238" s="28" t="s">
        <v>1058</v>
      </c>
    </row>
    <row r="239" ht="17.25" customHeight="1">
      <c r="B239" s="28" t="s">
        <v>571</v>
      </c>
      <c r="C239" s="28" t="s">
        <v>1056</v>
      </c>
      <c r="D239" s="28" t="s">
        <v>968</v>
      </c>
      <c r="E239" s="28" t="s">
        <v>1072</v>
      </c>
      <c r="F239" s="28" t="s">
        <v>968</v>
      </c>
      <c r="G239" s="28" t="s">
        <v>723</v>
      </c>
      <c r="H239" s="28" t="s">
        <v>1058</v>
      </c>
    </row>
    <row r="240" ht="17.25" customHeight="1">
      <c r="B240" s="28" t="s">
        <v>571</v>
      </c>
      <c r="C240" s="28" t="s">
        <v>1056</v>
      </c>
      <c r="D240" s="28" t="s">
        <v>931</v>
      </c>
      <c r="E240" s="28" t="s">
        <v>1073</v>
      </c>
      <c r="F240" s="28" t="s">
        <v>931</v>
      </c>
      <c r="G240" s="28" t="s">
        <v>723</v>
      </c>
      <c r="H240" s="28" t="s">
        <v>1058</v>
      </c>
    </row>
    <row r="241" ht="17.25" customHeight="1">
      <c r="B241" s="28" t="s">
        <v>571</v>
      </c>
      <c r="C241" s="28" t="s">
        <v>1056</v>
      </c>
      <c r="D241" s="28" t="s">
        <v>736</v>
      </c>
      <c r="E241" s="28" t="s">
        <v>1074</v>
      </c>
      <c r="F241" s="28" t="s">
        <v>736</v>
      </c>
      <c r="G241" s="28" t="s">
        <v>723</v>
      </c>
      <c r="H241" s="28" t="s">
        <v>1058</v>
      </c>
    </row>
    <row r="242" ht="17.25" customHeight="1">
      <c r="B242" s="28" t="s">
        <v>571</v>
      </c>
      <c r="C242" s="28" t="s">
        <v>1056</v>
      </c>
      <c r="D242" s="28" t="s">
        <v>1050</v>
      </c>
      <c r="E242" s="28" t="s">
        <v>1075</v>
      </c>
      <c r="F242" s="28" t="s">
        <v>722</v>
      </c>
      <c r="G242" s="28" t="s">
        <v>723</v>
      </c>
      <c r="H242" s="28" t="s">
        <v>1058</v>
      </c>
    </row>
    <row r="243" ht="17.25" customHeight="1">
      <c r="B243" s="28" t="s">
        <v>571</v>
      </c>
      <c r="C243" s="28" t="s">
        <v>1076</v>
      </c>
      <c r="D243" s="28" t="s">
        <v>763</v>
      </c>
      <c r="E243" s="28" t="s">
        <v>1077</v>
      </c>
      <c r="F243" s="28" t="s">
        <v>763</v>
      </c>
      <c r="G243" s="28" t="s">
        <v>697</v>
      </c>
      <c r="H243" s="28" t="s">
        <v>1015</v>
      </c>
    </row>
    <row r="244" ht="17.25" customHeight="1">
      <c r="B244" s="28" t="s">
        <v>571</v>
      </c>
      <c r="C244" s="28" t="s">
        <v>1076</v>
      </c>
      <c r="D244" s="28" t="s">
        <v>776</v>
      </c>
      <c r="E244" s="28" t="s">
        <v>1078</v>
      </c>
      <c r="F244" s="28" t="s">
        <v>776</v>
      </c>
      <c r="G244" s="28" t="s">
        <v>697</v>
      </c>
      <c r="H244" s="28" t="s">
        <v>1015</v>
      </c>
    </row>
    <row r="245" ht="17.25" customHeight="1">
      <c r="B245" s="28" t="s">
        <v>571</v>
      </c>
      <c r="C245" s="28" t="s">
        <v>1076</v>
      </c>
      <c r="D245" s="28" t="s">
        <v>732</v>
      </c>
      <c r="E245" s="28" t="s">
        <v>1079</v>
      </c>
      <c r="F245" s="28" t="s">
        <v>732</v>
      </c>
      <c r="G245" s="28" t="s">
        <v>697</v>
      </c>
      <c r="H245" s="28" t="s">
        <v>1015</v>
      </c>
    </row>
    <row r="246" ht="17.25" customHeight="1">
      <c r="B246" s="28" t="s">
        <v>571</v>
      </c>
      <c r="C246" s="28" t="s">
        <v>1080</v>
      </c>
      <c r="D246" s="28" t="s">
        <v>739</v>
      </c>
      <c r="E246" s="28" t="s">
        <v>1081</v>
      </c>
      <c r="F246" s="28" t="s">
        <v>739</v>
      </c>
      <c r="G246" s="28" t="s">
        <v>723</v>
      </c>
      <c r="H246" s="28" t="s">
        <v>1015</v>
      </c>
    </row>
    <row r="247" ht="17.25" customHeight="1">
      <c r="B247" s="28" t="s">
        <v>571</v>
      </c>
      <c r="C247" s="28" t="s">
        <v>1080</v>
      </c>
      <c r="D247" s="28" t="s">
        <v>695</v>
      </c>
      <c r="E247" s="28" t="s">
        <v>1082</v>
      </c>
      <c r="F247" s="28" t="s">
        <v>695</v>
      </c>
      <c r="G247" s="28" t="s">
        <v>723</v>
      </c>
      <c r="H247" s="28" t="s">
        <v>1015</v>
      </c>
    </row>
    <row r="248" ht="17.25" customHeight="1">
      <c r="B248" s="28" t="s">
        <v>571</v>
      </c>
      <c r="C248" s="28" t="s">
        <v>1080</v>
      </c>
      <c r="D248" s="28" t="s">
        <v>742</v>
      </c>
      <c r="E248" s="28" t="s">
        <v>1083</v>
      </c>
      <c r="F248" s="28" t="s">
        <v>742</v>
      </c>
      <c r="G248" s="28" t="s">
        <v>723</v>
      </c>
      <c r="H248" s="28" t="s">
        <v>1015</v>
      </c>
    </row>
    <row r="249" ht="17.25" customHeight="1">
      <c r="B249" s="28" t="s">
        <v>571</v>
      </c>
      <c r="C249" s="28" t="s">
        <v>1080</v>
      </c>
      <c r="D249" s="28" t="s">
        <v>705</v>
      </c>
      <c r="E249" s="28" t="s">
        <v>1084</v>
      </c>
      <c r="F249" s="28" t="s">
        <v>705</v>
      </c>
      <c r="G249" s="28" t="s">
        <v>723</v>
      </c>
      <c r="H249" s="28" t="s">
        <v>1015</v>
      </c>
    </row>
    <row r="250" ht="17.25" customHeight="1">
      <c r="B250" s="28" t="s">
        <v>571</v>
      </c>
      <c r="C250" s="28" t="s">
        <v>1080</v>
      </c>
      <c r="D250" s="28" t="s">
        <v>751</v>
      </c>
      <c r="E250" s="28" t="s">
        <v>1085</v>
      </c>
      <c r="F250" s="28" t="s">
        <v>751</v>
      </c>
      <c r="G250" s="28" t="s">
        <v>723</v>
      </c>
      <c r="H250" s="28" t="s">
        <v>1015</v>
      </c>
    </row>
    <row r="251" ht="17.25" customHeight="1">
      <c r="B251" s="28" t="s">
        <v>571</v>
      </c>
      <c r="C251" s="28" t="s">
        <v>1080</v>
      </c>
      <c r="D251" s="28" t="s">
        <v>757</v>
      </c>
      <c r="E251" s="28" t="s">
        <v>1086</v>
      </c>
      <c r="F251" s="28" t="s">
        <v>757</v>
      </c>
      <c r="G251" s="28" t="s">
        <v>723</v>
      </c>
      <c r="H251" s="28" t="s">
        <v>1015</v>
      </c>
    </row>
    <row r="252" ht="17.25" customHeight="1">
      <c r="B252" s="28" t="s">
        <v>571</v>
      </c>
      <c r="C252" s="28" t="s">
        <v>1080</v>
      </c>
      <c r="D252" s="28" t="s">
        <v>759</v>
      </c>
      <c r="E252" s="28" t="s">
        <v>1087</v>
      </c>
      <c r="F252" s="28" t="s">
        <v>759</v>
      </c>
      <c r="G252" s="28" t="s">
        <v>723</v>
      </c>
      <c r="H252" s="28" t="s">
        <v>1015</v>
      </c>
    </row>
    <row r="253" ht="17.25" customHeight="1">
      <c r="B253" s="28" t="s">
        <v>571</v>
      </c>
      <c r="C253" s="28" t="s">
        <v>1080</v>
      </c>
      <c r="D253" s="28" t="s">
        <v>761</v>
      </c>
      <c r="E253" s="28" t="s">
        <v>1088</v>
      </c>
      <c r="F253" s="28" t="s">
        <v>761</v>
      </c>
      <c r="G253" s="28" t="s">
        <v>723</v>
      </c>
      <c r="H253" s="28" t="s">
        <v>1015</v>
      </c>
    </row>
    <row r="254" ht="17.25" customHeight="1">
      <c r="B254" s="28" t="s">
        <v>571</v>
      </c>
      <c r="C254" s="28" t="s">
        <v>1080</v>
      </c>
      <c r="D254" s="28" t="s">
        <v>765</v>
      </c>
      <c r="E254" s="28" t="s">
        <v>1089</v>
      </c>
      <c r="F254" s="28" t="s">
        <v>765</v>
      </c>
      <c r="G254" s="28" t="s">
        <v>723</v>
      </c>
      <c r="H254" s="28" t="s">
        <v>1015</v>
      </c>
    </row>
    <row r="255" ht="17.25" customHeight="1">
      <c r="B255" s="28" t="s">
        <v>571</v>
      </c>
      <c r="C255" s="28" t="s">
        <v>1080</v>
      </c>
      <c r="D255" s="28" t="s">
        <v>768</v>
      </c>
      <c r="E255" s="28" t="s">
        <v>1090</v>
      </c>
      <c r="F255" s="28" t="s">
        <v>768</v>
      </c>
      <c r="G255" s="28" t="s">
        <v>723</v>
      </c>
      <c r="H255" s="28" t="s">
        <v>1015</v>
      </c>
    </row>
    <row r="256" ht="17.25" customHeight="1">
      <c r="B256" s="28" t="s">
        <v>571</v>
      </c>
      <c r="C256" s="28" t="s">
        <v>1080</v>
      </c>
      <c r="D256" s="28" t="s">
        <v>770</v>
      </c>
      <c r="E256" s="28" t="s">
        <v>1091</v>
      </c>
      <c r="F256" s="28" t="s">
        <v>770</v>
      </c>
      <c r="G256" s="28" t="s">
        <v>723</v>
      </c>
      <c r="H256" s="28" t="s">
        <v>1015</v>
      </c>
    </row>
    <row r="257" ht="17.25" customHeight="1">
      <c r="B257" s="28" t="s">
        <v>571</v>
      </c>
      <c r="C257" s="28" t="s">
        <v>1080</v>
      </c>
      <c r="D257" s="28" t="s">
        <v>772</v>
      </c>
      <c r="E257" s="28" t="s">
        <v>1092</v>
      </c>
      <c r="F257" s="28" t="s">
        <v>772</v>
      </c>
      <c r="G257" s="28" t="s">
        <v>723</v>
      </c>
      <c r="H257" s="28" t="s">
        <v>1015</v>
      </c>
    </row>
    <row r="258" ht="17.25" customHeight="1">
      <c r="B258" s="28" t="s">
        <v>571</v>
      </c>
      <c r="C258" s="28" t="s">
        <v>1080</v>
      </c>
      <c r="D258" s="28" t="s">
        <v>1093</v>
      </c>
      <c r="E258" s="28" t="s">
        <v>1094</v>
      </c>
      <c r="F258" s="28" t="s">
        <v>1024</v>
      </c>
      <c r="G258" s="28" t="s">
        <v>723</v>
      </c>
      <c r="H258" s="28" t="s">
        <v>1015</v>
      </c>
    </row>
    <row r="259" ht="17.25" customHeight="1">
      <c r="B259" s="28" t="s">
        <v>571</v>
      </c>
      <c r="C259" s="28" t="s">
        <v>1080</v>
      </c>
      <c r="D259" s="28" t="s">
        <v>726</v>
      </c>
      <c r="E259" s="28" t="s">
        <v>1095</v>
      </c>
      <c r="F259" s="28" t="s">
        <v>726</v>
      </c>
      <c r="G259" s="28" t="s">
        <v>723</v>
      </c>
      <c r="H259" s="28" t="s">
        <v>1015</v>
      </c>
    </row>
    <row r="260" ht="17.25" customHeight="1">
      <c r="B260" s="28" t="s">
        <v>571</v>
      </c>
      <c r="C260" s="28" t="s">
        <v>1080</v>
      </c>
      <c r="D260" s="28" t="s">
        <v>774</v>
      </c>
      <c r="E260" s="28" t="s">
        <v>1096</v>
      </c>
      <c r="F260" s="28" t="s">
        <v>774</v>
      </c>
      <c r="G260" s="28" t="s">
        <v>723</v>
      </c>
      <c r="H260" s="28" t="s">
        <v>1015</v>
      </c>
    </row>
    <row r="261" ht="17.25" customHeight="1">
      <c r="B261" s="28" t="s">
        <v>571</v>
      </c>
      <c r="C261" s="28" t="s">
        <v>1080</v>
      </c>
      <c r="D261" s="28" t="s">
        <v>776</v>
      </c>
      <c r="E261" s="28" t="s">
        <v>1097</v>
      </c>
      <c r="F261" s="28" t="s">
        <v>776</v>
      </c>
      <c r="G261" s="28" t="s">
        <v>723</v>
      </c>
      <c r="H261" s="28" t="s">
        <v>1015</v>
      </c>
    </row>
    <row r="262" ht="17.25" customHeight="1">
      <c r="B262" s="28" t="s">
        <v>571</v>
      </c>
      <c r="C262" s="28" t="s">
        <v>1080</v>
      </c>
      <c r="D262" s="28" t="s">
        <v>1098</v>
      </c>
      <c r="E262" s="28" t="s">
        <v>1099</v>
      </c>
      <c r="F262" s="28" t="s">
        <v>1098</v>
      </c>
      <c r="G262" s="28" t="s">
        <v>723</v>
      </c>
      <c r="H262" s="28" t="s">
        <v>1015</v>
      </c>
    </row>
    <row r="263" ht="17.25" customHeight="1">
      <c r="B263" s="28" t="s">
        <v>571</v>
      </c>
      <c r="C263" s="28" t="s">
        <v>1080</v>
      </c>
      <c r="D263" s="28" t="s">
        <v>720</v>
      </c>
      <c r="E263" s="28" t="s">
        <v>1100</v>
      </c>
      <c r="F263" s="28" t="s">
        <v>720</v>
      </c>
      <c r="G263" s="28" t="s">
        <v>723</v>
      </c>
      <c r="H263" s="28" t="s">
        <v>1015</v>
      </c>
    </row>
    <row r="264" ht="17.25" customHeight="1">
      <c r="B264" s="28" t="s">
        <v>571</v>
      </c>
      <c r="C264" s="28" t="s">
        <v>1080</v>
      </c>
      <c r="D264" s="28" t="s">
        <v>1101</v>
      </c>
      <c r="E264" s="28" t="s">
        <v>1102</v>
      </c>
      <c r="F264" s="28" t="s">
        <v>1101</v>
      </c>
      <c r="G264" s="28" t="s">
        <v>723</v>
      </c>
      <c r="H264" s="28" t="s">
        <v>1015</v>
      </c>
    </row>
    <row r="265" ht="17.25" customHeight="1">
      <c r="B265" s="28" t="s">
        <v>571</v>
      </c>
      <c r="C265" s="28" t="s">
        <v>1080</v>
      </c>
      <c r="D265" s="28" t="s">
        <v>779</v>
      </c>
      <c r="E265" s="28" t="s">
        <v>1103</v>
      </c>
      <c r="F265" s="28" t="s">
        <v>779</v>
      </c>
      <c r="G265" s="28" t="s">
        <v>723</v>
      </c>
      <c r="H265" s="28" t="s">
        <v>1015</v>
      </c>
    </row>
    <row r="266" ht="17.25" customHeight="1">
      <c r="B266" s="28" t="s">
        <v>571</v>
      </c>
      <c r="C266" s="28" t="s">
        <v>1080</v>
      </c>
      <c r="D266" s="28" t="s">
        <v>781</v>
      </c>
      <c r="E266" s="28" t="s">
        <v>1104</v>
      </c>
      <c r="F266" s="28" t="s">
        <v>781</v>
      </c>
      <c r="G266" s="28" t="s">
        <v>723</v>
      </c>
      <c r="H266" s="28" t="s">
        <v>1015</v>
      </c>
    </row>
    <row r="267" ht="17.25" customHeight="1">
      <c r="B267" s="28" t="s">
        <v>571</v>
      </c>
      <c r="C267" s="28" t="s">
        <v>1080</v>
      </c>
      <c r="D267" s="28" t="s">
        <v>781</v>
      </c>
      <c r="E267" s="28" t="s">
        <v>1105</v>
      </c>
      <c r="F267" s="28" t="s">
        <v>892</v>
      </c>
      <c r="G267" s="28" t="s">
        <v>723</v>
      </c>
      <c r="H267" s="28" t="s">
        <v>1015</v>
      </c>
    </row>
    <row r="268" ht="17.25" customHeight="1">
      <c r="B268" s="28" t="s">
        <v>571</v>
      </c>
      <c r="C268" s="28" t="s">
        <v>1080</v>
      </c>
      <c r="D268" s="28" t="s">
        <v>783</v>
      </c>
      <c r="E268" s="28" t="s">
        <v>1106</v>
      </c>
      <c r="F268" s="28" t="s">
        <v>783</v>
      </c>
      <c r="G268" s="28" t="s">
        <v>723</v>
      </c>
      <c r="H268" s="28" t="s">
        <v>1015</v>
      </c>
    </row>
    <row r="269" ht="17.25" customHeight="1">
      <c r="B269" s="28" t="s">
        <v>571</v>
      </c>
      <c r="C269" s="28" t="s">
        <v>1080</v>
      </c>
      <c r="D269" s="28" t="s">
        <v>1107</v>
      </c>
      <c r="E269" s="28" t="s">
        <v>1108</v>
      </c>
      <c r="F269" s="28" t="s">
        <v>1107</v>
      </c>
      <c r="G269" s="28" t="s">
        <v>723</v>
      </c>
      <c r="H269" s="28" t="s">
        <v>1015</v>
      </c>
    </row>
    <row r="270" ht="17.25" customHeight="1">
      <c r="B270" s="28" t="s">
        <v>571</v>
      </c>
      <c r="C270" s="28" t="s">
        <v>1080</v>
      </c>
      <c r="D270" s="28" t="s">
        <v>1109</v>
      </c>
      <c r="E270" s="28" t="s">
        <v>1110</v>
      </c>
      <c r="F270" s="28" t="s">
        <v>1109</v>
      </c>
      <c r="G270" s="28" t="s">
        <v>723</v>
      </c>
      <c r="H270" s="28" t="s">
        <v>1015</v>
      </c>
    </row>
    <row r="271" ht="17.25" customHeight="1">
      <c r="B271" s="28" t="s">
        <v>571</v>
      </c>
      <c r="C271" s="28" t="s">
        <v>1080</v>
      </c>
      <c r="D271" s="28" t="s">
        <v>786</v>
      </c>
      <c r="E271" s="28" t="s">
        <v>1111</v>
      </c>
      <c r="F271" s="28" t="s">
        <v>786</v>
      </c>
      <c r="G271" s="28" t="s">
        <v>723</v>
      </c>
      <c r="H271" s="28" t="s">
        <v>1015</v>
      </c>
    </row>
    <row r="272" ht="17.25" customHeight="1">
      <c r="B272" s="28" t="s">
        <v>571</v>
      </c>
      <c r="C272" s="28" t="s">
        <v>1080</v>
      </c>
      <c r="D272" s="28" t="s">
        <v>788</v>
      </c>
      <c r="E272" s="28" t="s">
        <v>1112</v>
      </c>
      <c r="F272" s="28" t="s">
        <v>788</v>
      </c>
      <c r="G272" s="28" t="s">
        <v>723</v>
      </c>
      <c r="H272" s="28" t="s">
        <v>1015</v>
      </c>
    </row>
    <row r="273" ht="17.25" customHeight="1">
      <c r="B273" s="28" t="s">
        <v>571</v>
      </c>
      <c r="C273" s="28" t="s">
        <v>1080</v>
      </c>
      <c r="D273" s="28" t="s">
        <v>790</v>
      </c>
      <c r="E273" s="28" t="s">
        <v>1113</v>
      </c>
      <c r="F273" s="28" t="s">
        <v>790</v>
      </c>
      <c r="G273" s="28" t="s">
        <v>723</v>
      </c>
      <c r="H273" s="28" t="s">
        <v>1015</v>
      </c>
    </row>
    <row r="274" ht="17.25" customHeight="1">
      <c r="B274" s="28" t="s">
        <v>571</v>
      </c>
      <c r="C274" s="28" t="s">
        <v>1080</v>
      </c>
      <c r="D274" s="28" t="s">
        <v>792</v>
      </c>
      <c r="E274" s="28" t="s">
        <v>1114</v>
      </c>
      <c r="F274" s="28" t="s">
        <v>792</v>
      </c>
      <c r="G274" s="28" t="s">
        <v>723</v>
      </c>
      <c r="H274" s="28" t="s">
        <v>1015</v>
      </c>
    </row>
    <row r="275" ht="17.25" customHeight="1">
      <c r="B275" s="28" t="s">
        <v>571</v>
      </c>
      <c r="C275" s="28" t="s">
        <v>1080</v>
      </c>
      <c r="D275" s="28" t="s">
        <v>794</v>
      </c>
      <c r="E275" s="28" t="s">
        <v>1115</v>
      </c>
      <c r="F275" s="28" t="s">
        <v>794</v>
      </c>
      <c r="G275" s="28" t="s">
        <v>723</v>
      </c>
      <c r="H275" s="28" t="s">
        <v>1015</v>
      </c>
    </row>
    <row r="276" ht="17.25" customHeight="1">
      <c r="B276" s="28" t="s">
        <v>571</v>
      </c>
      <c r="C276" s="28" t="s">
        <v>1080</v>
      </c>
      <c r="D276" s="28" t="s">
        <v>1116</v>
      </c>
      <c r="E276" s="28" t="s">
        <v>1117</v>
      </c>
      <c r="F276" s="28" t="s">
        <v>1116</v>
      </c>
      <c r="G276" s="28" t="s">
        <v>723</v>
      </c>
      <c r="H276" s="28" t="s">
        <v>1015</v>
      </c>
    </row>
    <row r="277" ht="17.25" customHeight="1">
      <c r="B277" s="28" t="s">
        <v>571</v>
      </c>
      <c r="C277" s="28" t="s">
        <v>1080</v>
      </c>
      <c r="D277" s="28" t="s">
        <v>796</v>
      </c>
      <c r="E277" s="28" t="s">
        <v>1118</v>
      </c>
      <c r="F277" s="28" t="s">
        <v>796</v>
      </c>
      <c r="G277" s="28" t="s">
        <v>723</v>
      </c>
      <c r="H277" s="28" t="s">
        <v>1015</v>
      </c>
    </row>
    <row r="278" ht="17.25" customHeight="1">
      <c r="B278" s="28" t="s">
        <v>571</v>
      </c>
      <c r="C278" s="28" t="s">
        <v>1080</v>
      </c>
      <c r="D278" s="28" t="s">
        <v>800</v>
      </c>
      <c r="E278" s="28" t="s">
        <v>1119</v>
      </c>
      <c r="F278" s="28" t="s">
        <v>800</v>
      </c>
      <c r="G278" s="28" t="s">
        <v>723</v>
      </c>
      <c r="H278" s="28" t="s">
        <v>1015</v>
      </c>
    </row>
    <row r="279" ht="17.25" customHeight="1">
      <c r="B279" s="28" t="s">
        <v>571</v>
      </c>
      <c r="C279" s="28" t="s">
        <v>1080</v>
      </c>
      <c r="D279" s="28" t="s">
        <v>804</v>
      </c>
      <c r="E279" s="28" t="s">
        <v>1120</v>
      </c>
      <c r="F279" s="28" t="s">
        <v>804</v>
      </c>
      <c r="G279" s="28" t="s">
        <v>723</v>
      </c>
      <c r="H279" s="28" t="s">
        <v>1015</v>
      </c>
    </row>
    <row r="280" ht="17.25" customHeight="1">
      <c r="B280" s="28" t="s">
        <v>571</v>
      </c>
      <c r="C280" s="28" t="s">
        <v>1080</v>
      </c>
      <c r="D280" s="28" t="s">
        <v>1121</v>
      </c>
      <c r="E280" s="28" t="s">
        <v>1122</v>
      </c>
      <c r="F280" s="28" t="s">
        <v>1121</v>
      </c>
      <c r="G280" s="28" t="s">
        <v>723</v>
      </c>
      <c r="H280" s="28" t="s">
        <v>1015</v>
      </c>
    </row>
    <row r="281" ht="17.25" customHeight="1">
      <c r="B281" s="28" t="s">
        <v>571</v>
      </c>
      <c r="C281" s="28" t="s">
        <v>1080</v>
      </c>
      <c r="D281" s="28" t="s">
        <v>806</v>
      </c>
      <c r="E281" s="28" t="s">
        <v>1123</v>
      </c>
      <c r="F281" s="28" t="s">
        <v>806</v>
      </c>
      <c r="G281" s="28" t="s">
        <v>723</v>
      </c>
      <c r="H281" s="28" t="s">
        <v>1015</v>
      </c>
    </row>
    <row r="282" ht="17.25" customHeight="1">
      <c r="B282" s="28" t="s">
        <v>571</v>
      </c>
      <c r="C282" s="28" t="s">
        <v>1080</v>
      </c>
      <c r="D282" s="28" t="s">
        <v>810</v>
      </c>
      <c r="E282" s="28" t="s">
        <v>1124</v>
      </c>
      <c r="F282" s="28" t="s">
        <v>810</v>
      </c>
      <c r="G282" s="28" t="s">
        <v>723</v>
      </c>
      <c r="H282" s="28" t="s">
        <v>1015</v>
      </c>
    </row>
    <row r="283" ht="17.25" customHeight="1">
      <c r="B283" s="28" t="s">
        <v>571</v>
      </c>
      <c r="C283" s="28" t="s">
        <v>1080</v>
      </c>
      <c r="D283" s="28" t="s">
        <v>1028</v>
      </c>
      <c r="E283" s="28" t="s">
        <v>1125</v>
      </c>
      <c r="F283" s="28" t="s">
        <v>1028</v>
      </c>
      <c r="G283" s="28" t="s">
        <v>723</v>
      </c>
      <c r="H283" s="28" t="s">
        <v>1015</v>
      </c>
    </row>
    <row r="284" ht="17.25" customHeight="1">
      <c r="B284" s="28" t="s">
        <v>571</v>
      </c>
      <c r="C284" s="28" t="s">
        <v>1080</v>
      </c>
      <c r="D284" s="28" t="s">
        <v>812</v>
      </c>
      <c r="E284" s="28" t="s">
        <v>1126</v>
      </c>
      <c r="F284" s="28" t="s">
        <v>812</v>
      </c>
      <c r="G284" s="28" t="s">
        <v>723</v>
      </c>
      <c r="H284" s="28" t="s">
        <v>1015</v>
      </c>
    </row>
    <row r="285" ht="17.25" customHeight="1">
      <c r="B285" s="28" t="s">
        <v>571</v>
      </c>
      <c r="C285" s="28" t="s">
        <v>1080</v>
      </c>
      <c r="D285" s="28" t="s">
        <v>812</v>
      </c>
      <c r="E285" s="28" t="s">
        <v>1127</v>
      </c>
      <c r="F285" s="28" t="s">
        <v>712</v>
      </c>
      <c r="G285" s="28" t="s">
        <v>723</v>
      </c>
      <c r="H285" s="28" t="s">
        <v>1015</v>
      </c>
    </row>
    <row r="286" ht="17.25" customHeight="1">
      <c r="B286" s="28" t="s">
        <v>571</v>
      </c>
      <c r="C286" s="28" t="s">
        <v>1080</v>
      </c>
      <c r="D286" s="28" t="s">
        <v>814</v>
      </c>
      <c r="E286" s="28" t="s">
        <v>1128</v>
      </c>
      <c r="F286" s="28" t="s">
        <v>814</v>
      </c>
      <c r="G286" s="28" t="s">
        <v>723</v>
      </c>
      <c r="H286" s="28" t="s">
        <v>1015</v>
      </c>
    </row>
    <row r="287" ht="17.25" customHeight="1">
      <c r="B287" s="28" t="s">
        <v>571</v>
      </c>
      <c r="C287" s="28" t="s">
        <v>1080</v>
      </c>
      <c r="D287" s="28" t="s">
        <v>816</v>
      </c>
      <c r="E287" s="28" t="s">
        <v>1129</v>
      </c>
      <c r="F287" s="28" t="s">
        <v>816</v>
      </c>
      <c r="G287" s="28" t="s">
        <v>723</v>
      </c>
      <c r="H287" s="28" t="s">
        <v>1015</v>
      </c>
    </row>
    <row r="288" ht="17.25" customHeight="1">
      <c r="B288" s="28" t="s">
        <v>571</v>
      </c>
      <c r="C288" s="28" t="s">
        <v>1080</v>
      </c>
      <c r="D288" s="28" t="s">
        <v>818</v>
      </c>
      <c r="E288" s="28" t="s">
        <v>1130</v>
      </c>
      <c r="F288" s="28" t="s">
        <v>818</v>
      </c>
      <c r="G288" s="28" t="s">
        <v>723</v>
      </c>
      <c r="H288" s="28" t="s">
        <v>1015</v>
      </c>
    </row>
    <row r="289" ht="17.25" customHeight="1">
      <c r="B289" s="28" t="s">
        <v>571</v>
      </c>
      <c r="C289" s="28" t="s">
        <v>1080</v>
      </c>
      <c r="D289" s="28" t="s">
        <v>824</v>
      </c>
      <c r="E289" s="28" t="s">
        <v>1131</v>
      </c>
      <c r="F289" s="28" t="s">
        <v>824</v>
      </c>
      <c r="G289" s="28" t="s">
        <v>723</v>
      </c>
      <c r="H289" s="28" t="s">
        <v>1015</v>
      </c>
    </row>
    <row r="290" ht="17.25" customHeight="1">
      <c r="B290" s="28" t="s">
        <v>571</v>
      </c>
      <c r="C290" s="28" t="s">
        <v>1080</v>
      </c>
      <c r="D290" s="28" t="s">
        <v>826</v>
      </c>
      <c r="E290" s="28" t="s">
        <v>1132</v>
      </c>
      <c r="F290" s="28" t="s">
        <v>826</v>
      </c>
      <c r="G290" s="28" t="s">
        <v>723</v>
      </c>
      <c r="H290" s="28" t="s">
        <v>1015</v>
      </c>
    </row>
    <row r="291" ht="17.25" customHeight="1">
      <c r="B291" s="28" t="s">
        <v>571</v>
      </c>
      <c r="C291" s="28" t="s">
        <v>1080</v>
      </c>
      <c r="D291" s="28" t="s">
        <v>828</v>
      </c>
      <c r="E291" s="28" t="s">
        <v>1133</v>
      </c>
      <c r="F291" s="28" t="s">
        <v>828</v>
      </c>
      <c r="G291" s="28" t="s">
        <v>723</v>
      </c>
      <c r="H291" s="28" t="s">
        <v>1015</v>
      </c>
    </row>
    <row r="292" ht="17.25" customHeight="1">
      <c r="B292" s="28" t="s">
        <v>571</v>
      </c>
      <c r="C292" s="28" t="s">
        <v>1080</v>
      </c>
      <c r="D292" s="28" t="s">
        <v>830</v>
      </c>
      <c r="E292" s="28" t="s">
        <v>1134</v>
      </c>
      <c r="F292" s="28" t="s">
        <v>830</v>
      </c>
      <c r="G292" s="28" t="s">
        <v>723</v>
      </c>
      <c r="H292" s="28" t="s">
        <v>1015</v>
      </c>
    </row>
    <row r="293" ht="17.25" customHeight="1">
      <c r="B293" s="28" t="s">
        <v>571</v>
      </c>
      <c r="C293" s="28" t="s">
        <v>1080</v>
      </c>
      <c r="D293" s="28" t="s">
        <v>834</v>
      </c>
      <c r="E293" s="28" t="s">
        <v>1135</v>
      </c>
      <c r="F293" s="28" t="s">
        <v>834</v>
      </c>
      <c r="G293" s="28" t="s">
        <v>723</v>
      </c>
      <c r="H293" s="28" t="s">
        <v>1015</v>
      </c>
    </row>
    <row r="294" ht="17.25" customHeight="1">
      <c r="B294" s="28" t="s">
        <v>571</v>
      </c>
      <c r="C294" s="28" t="s">
        <v>1080</v>
      </c>
      <c r="D294" s="28" t="s">
        <v>836</v>
      </c>
      <c r="E294" s="28" t="s">
        <v>1136</v>
      </c>
      <c r="F294" s="28" t="s">
        <v>836</v>
      </c>
      <c r="G294" s="28" t="s">
        <v>723</v>
      </c>
      <c r="H294" s="28" t="s">
        <v>1015</v>
      </c>
    </row>
    <row r="295" ht="17.25" customHeight="1">
      <c r="B295" s="28" t="s">
        <v>571</v>
      </c>
      <c r="C295" s="28" t="s">
        <v>1080</v>
      </c>
      <c r="D295" s="28" t="s">
        <v>839</v>
      </c>
      <c r="E295" s="28" t="s">
        <v>1137</v>
      </c>
      <c r="F295" s="28" t="s">
        <v>839</v>
      </c>
      <c r="G295" s="28" t="s">
        <v>723</v>
      </c>
      <c r="H295" s="28" t="s">
        <v>1015</v>
      </c>
    </row>
    <row r="296" ht="17.25" customHeight="1">
      <c r="B296" s="28" t="s">
        <v>571</v>
      </c>
      <c r="C296" s="28" t="s">
        <v>1080</v>
      </c>
      <c r="D296" s="28" t="s">
        <v>710</v>
      </c>
      <c r="E296" s="28" t="s">
        <v>1138</v>
      </c>
      <c r="F296" s="28" t="s">
        <v>710</v>
      </c>
      <c r="G296" s="28" t="s">
        <v>723</v>
      </c>
      <c r="H296" s="28" t="s">
        <v>1015</v>
      </c>
    </row>
    <row r="297" ht="17.25" customHeight="1">
      <c r="B297" s="28" t="s">
        <v>571</v>
      </c>
      <c r="C297" s="28" t="s">
        <v>1080</v>
      </c>
      <c r="D297" s="28" t="s">
        <v>1139</v>
      </c>
      <c r="E297" s="28" t="s">
        <v>1140</v>
      </c>
      <c r="F297" s="28" t="s">
        <v>1139</v>
      </c>
      <c r="G297" s="28" t="s">
        <v>723</v>
      </c>
      <c r="H297" s="28" t="s">
        <v>1015</v>
      </c>
    </row>
    <row r="298" ht="17.25" customHeight="1">
      <c r="B298" s="28" t="s">
        <v>571</v>
      </c>
      <c r="C298" s="28" t="s">
        <v>1080</v>
      </c>
      <c r="D298" s="28" t="s">
        <v>842</v>
      </c>
      <c r="E298" s="28" t="s">
        <v>1141</v>
      </c>
      <c r="F298" s="28" t="s">
        <v>842</v>
      </c>
      <c r="G298" s="28" t="s">
        <v>723</v>
      </c>
      <c r="H298" s="28" t="s">
        <v>1015</v>
      </c>
    </row>
    <row r="299" ht="17.25" customHeight="1">
      <c r="B299" s="28" t="s">
        <v>571</v>
      </c>
      <c r="C299" s="28" t="s">
        <v>1080</v>
      </c>
      <c r="D299" s="28" t="s">
        <v>1142</v>
      </c>
      <c r="E299" s="28" t="s">
        <v>1143</v>
      </c>
      <c r="F299" s="28" t="s">
        <v>874</v>
      </c>
      <c r="G299" s="28" t="s">
        <v>723</v>
      </c>
      <c r="H299" s="28" t="s">
        <v>1015</v>
      </c>
    </row>
    <row r="300" ht="17.25" customHeight="1">
      <c r="B300" s="28" t="s">
        <v>571</v>
      </c>
      <c r="C300" s="28" t="s">
        <v>1080</v>
      </c>
      <c r="D300" s="28" t="s">
        <v>844</v>
      </c>
      <c r="E300" s="28" t="s">
        <v>1144</v>
      </c>
      <c r="F300" s="28" t="s">
        <v>844</v>
      </c>
      <c r="G300" s="28" t="s">
        <v>723</v>
      </c>
      <c r="H300" s="28" t="s">
        <v>1015</v>
      </c>
    </row>
    <row r="301" ht="17.25" customHeight="1">
      <c r="B301" s="28" t="s">
        <v>571</v>
      </c>
      <c r="C301" s="28" t="s">
        <v>1080</v>
      </c>
      <c r="D301" s="28" t="s">
        <v>848</v>
      </c>
      <c r="E301" s="28" t="s">
        <v>1145</v>
      </c>
      <c r="F301" s="28" t="s">
        <v>848</v>
      </c>
      <c r="G301" s="28" t="s">
        <v>723</v>
      </c>
      <c r="H301" s="28" t="s">
        <v>1015</v>
      </c>
    </row>
    <row r="302" ht="17.25" customHeight="1">
      <c r="B302" s="28" t="s">
        <v>571</v>
      </c>
      <c r="C302" s="28" t="s">
        <v>1080</v>
      </c>
      <c r="D302" s="28" t="s">
        <v>728</v>
      </c>
      <c r="E302" s="28" t="s">
        <v>1146</v>
      </c>
      <c r="F302" s="28" t="s">
        <v>728</v>
      </c>
      <c r="G302" s="28" t="s">
        <v>723</v>
      </c>
      <c r="H302" s="28" t="s">
        <v>1015</v>
      </c>
    </row>
    <row r="303" ht="17.25" customHeight="1">
      <c r="B303" s="28" t="s">
        <v>571</v>
      </c>
      <c r="C303" s="28" t="s">
        <v>1080</v>
      </c>
      <c r="D303" s="28" t="s">
        <v>856</v>
      </c>
      <c r="E303" s="28" t="s">
        <v>1147</v>
      </c>
      <c r="F303" s="28" t="s">
        <v>856</v>
      </c>
      <c r="G303" s="28" t="s">
        <v>723</v>
      </c>
      <c r="H303" s="28" t="s">
        <v>1015</v>
      </c>
    </row>
    <row r="304" ht="17.25" customHeight="1">
      <c r="B304" s="28" t="s">
        <v>571</v>
      </c>
      <c r="C304" s="28" t="s">
        <v>1080</v>
      </c>
      <c r="D304" s="28" t="s">
        <v>862</v>
      </c>
      <c r="E304" s="28" t="s">
        <v>1148</v>
      </c>
      <c r="F304" s="28" t="s">
        <v>862</v>
      </c>
      <c r="G304" s="28" t="s">
        <v>723</v>
      </c>
      <c r="H304" s="28" t="s">
        <v>1015</v>
      </c>
    </row>
    <row r="305" ht="17.25" customHeight="1">
      <c r="B305" s="28" t="s">
        <v>571</v>
      </c>
      <c r="C305" s="28" t="s">
        <v>1080</v>
      </c>
      <c r="D305" s="28" t="s">
        <v>730</v>
      </c>
      <c r="E305" s="28" t="s">
        <v>1149</v>
      </c>
      <c r="F305" s="28" t="s">
        <v>730</v>
      </c>
      <c r="G305" s="28" t="s">
        <v>723</v>
      </c>
      <c r="H305" s="28" t="s">
        <v>1015</v>
      </c>
    </row>
    <row r="306" ht="17.25" customHeight="1">
      <c r="B306" s="28" t="s">
        <v>571</v>
      </c>
      <c r="C306" s="28" t="s">
        <v>1080</v>
      </c>
      <c r="D306" s="28" t="s">
        <v>715</v>
      </c>
      <c r="E306" s="28" t="s">
        <v>1150</v>
      </c>
      <c r="F306" s="28" t="s">
        <v>715</v>
      </c>
      <c r="G306" s="28" t="s">
        <v>723</v>
      </c>
      <c r="H306" s="28" t="s">
        <v>1015</v>
      </c>
    </row>
    <row r="307" ht="17.25" customHeight="1">
      <c r="B307" s="28" t="s">
        <v>571</v>
      </c>
      <c r="C307" s="28" t="s">
        <v>1080</v>
      </c>
      <c r="D307" s="28" t="s">
        <v>833</v>
      </c>
      <c r="E307" s="28" t="s">
        <v>1151</v>
      </c>
      <c r="F307" s="28" t="s">
        <v>833</v>
      </c>
      <c r="G307" s="28" t="s">
        <v>723</v>
      </c>
      <c r="H307" s="28" t="s">
        <v>1015</v>
      </c>
    </row>
    <row r="308" ht="17.25" customHeight="1">
      <c r="B308" s="28" t="s">
        <v>571</v>
      </c>
      <c r="C308" s="28" t="s">
        <v>1080</v>
      </c>
      <c r="D308" s="28" t="s">
        <v>868</v>
      </c>
      <c r="E308" s="28" t="s">
        <v>1152</v>
      </c>
      <c r="F308" s="28" t="s">
        <v>868</v>
      </c>
      <c r="G308" s="28" t="s">
        <v>723</v>
      </c>
      <c r="H308" s="28" t="s">
        <v>1015</v>
      </c>
    </row>
    <row r="309" ht="17.25" customHeight="1">
      <c r="B309" s="28" t="s">
        <v>571</v>
      </c>
      <c r="C309" s="28" t="s">
        <v>1080</v>
      </c>
      <c r="D309" s="28" t="s">
        <v>870</v>
      </c>
      <c r="E309" s="28" t="s">
        <v>1153</v>
      </c>
      <c r="F309" s="28" t="s">
        <v>870</v>
      </c>
      <c r="G309" s="28" t="s">
        <v>723</v>
      </c>
      <c r="H309" s="28" t="s">
        <v>1015</v>
      </c>
    </row>
    <row r="310" ht="17.25" customHeight="1">
      <c r="B310" s="28" t="s">
        <v>571</v>
      </c>
      <c r="C310" s="28" t="s">
        <v>1080</v>
      </c>
      <c r="D310" s="28" t="s">
        <v>1040</v>
      </c>
      <c r="E310" s="28" t="s">
        <v>1154</v>
      </c>
      <c r="F310" s="28" t="s">
        <v>1040</v>
      </c>
      <c r="G310" s="28" t="s">
        <v>723</v>
      </c>
      <c r="H310" s="28" t="s">
        <v>1015</v>
      </c>
    </row>
    <row r="311" ht="17.25" customHeight="1">
      <c r="B311" s="28" t="s">
        <v>571</v>
      </c>
      <c r="C311" s="28" t="s">
        <v>1080</v>
      </c>
      <c r="D311" s="28" t="s">
        <v>872</v>
      </c>
      <c r="E311" s="28" t="s">
        <v>1155</v>
      </c>
      <c r="F311" s="28" t="s">
        <v>872</v>
      </c>
      <c r="G311" s="28" t="s">
        <v>723</v>
      </c>
      <c r="H311" s="28" t="s">
        <v>1015</v>
      </c>
    </row>
    <row r="312" ht="17.25" customHeight="1">
      <c r="B312" s="28" t="s">
        <v>571</v>
      </c>
      <c r="C312" s="28" t="s">
        <v>1080</v>
      </c>
      <c r="D312" s="28" t="s">
        <v>734</v>
      </c>
      <c r="E312" s="28" t="s">
        <v>1156</v>
      </c>
      <c r="F312" s="28" t="s">
        <v>734</v>
      </c>
      <c r="G312" s="28" t="s">
        <v>723</v>
      </c>
      <c r="H312" s="28" t="s">
        <v>1015</v>
      </c>
    </row>
    <row r="313" ht="17.25" customHeight="1">
      <c r="B313" s="28" t="s">
        <v>571</v>
      </c>
      <c r="C313" s="28" t="s">
        <v>1080</v>
      </c>
      <c r="D313" s="28" t="s">
        <v>999</v>
      </c>
      <c r="E313" s="28" t="s">
        <v>1157</v>
      </c>
      <c r="F313" s="28" t="s">
        <v>999</v>
      </c>
      <c r="G313" s="28" t="s">
        <v>723</v>
      </c>
      <c r="H313" s="28" t="s">
        <v>1015</v>
      </c>
    </row>
    <row r="314" ht="17.25" customHeight="1">
      <c r="B314" s="28" t="s">
        <v>571</v>
      </c>
      <c r="C314" s="28" t="s">
        <v>1080</v>
      </c>
      <c r="D314" s="28" t="s">
        <v>880</v>
      </c>
      <c r="E314" s="28" t="s">
        <v>1158</v>
      </c>
      <c r="F314" s="28" t="s">
        <v>880</v>
      </c>
      <c r="G314" s="28" t="s">
        <v>723</v>
      </c>
      <c r="H314" s="28" t="s">
        <v>1015</v>
      </c>
    </row>
    <row r="315" ht="17.25" customHeight="1">
      <c r="B315" s="28" t="s">
        <v>571</v>
      </c>
      <c r="C315" s="28" t="s">
        <v>1080</v>
      </c>
      <c r="D315" s="28" t="s">
        <v>882</v>
      </c>
      <c r="E315" s="28" t="s">
        <v>1159</v>
      </c>
      <c r="F315" s="28" t="s">
        <v>882</v>
      </c>
      <c r="G315" s="28" t="s">
        <v>723</v>
      </c>
      <c r="H315" s="28" t="s">
        <v>1015</v>
      </c>
    </row>
    <row r="316" ht="17.25" customHeight="1">
      <c r="B316" s="28" t="s">
        <v>571</v>
      </c>
      <c r="C316" s="28" t="s">
        <v>1080</v>
      </c>
      <c r="D316" s="28" t="s">
        <v>884</v>
      </c>
      <c r="E316" s="28" t="s">
        <v>1160</v>
      </c>
      <c r="F316" s="28" t="s">
        <v>884</v>
      </c>
      <c r="G316" s="28" t="s">
        <v>723</v>
      </c>
      <c r="H316" s="28" t="s">
        <v>1015</v>
      </c>
    </row>
    <row r="317" ht="17.25" customHeight="1">
      <c r="B317" s="28" t="s">
        <v>571</v>
      </c>
      <c r="C317" s="28" t="s">
        <v>1080</v>
      </c>
      <c r="D317" s="28" t="s">
        <v>886</v>
      </c>
      <c r="E317" s="28" t="s">
        <v>1161</v>
      </c>
      <c r="F317" s="28" t="s">
        <v>886</v>
      </c>
      <c r="G317" s="28" t="s">
        <v>723</v>
      </c>
      <c r="H317" s="28" t="s">
        <v>1015</v>
      </c>
    </row>
    <row r="318" ht="17.25" customHeight="1">
      <c r="B318" s="28" t="s">
        <v>571</v>
      </c>
      <c r="C318" s="28" t="s">
        <v>1080</v>
      </c>
      <c r="D318" s="28" t="s">
        <v>888</v>
      </c>
      <c r="E318" s="28" t="s">
        <v>1162</v>
      </c>
      <c r="F318" s="28" t="s">
        <v>888</v>
      </c>
      <c r="G318" s="28" t="s">
        <v>723</v>
      </c>
      <c r="H318" s="28" t="s">
        <v>1015</v>
      </c>
    </row>
    <row r="319" ht="17.25" customHeight="1">
      <c r="B319" s="28" t="s">
        <v>571</v>
      </c>
      <c r="C319" s="28" t="s">
        <v>1080</v>
      </c>
      <c r="D319" s="28" t="s">
        <v>838</v>
      </c>
      <c r="E319" s="28" t="s">
        <v>1163</v>
      </c>
      <c r="F319" s="28" t="s">
        <v>838</v>
      </c>
      <c r="G319" s="28" t="s">
        <v>723</v>
      </c>
      <c r="H319" s="28" t="s">
        <v>1015</v>
      </c>
    </row>
    <row r="320" ht="17.25" customHeight="1">
      <c r="B320" s="28" t="s">
        <v>571</v>
      </c>
      <c r="C320" s="28" t="s">
        <v>1080</v>
      </c>
      <c r="D320" s="28" t="s">
        <v>896</v>
      </c>
      <c r="E320" s="28" t="s">
        <v>1164</v>
      </c>
      <c r="F320" s="28" t="s">
        <v>896</v>
      </c>
      <c r="G320" s="28" t="s">
        <v>723</v>
      </c>
      <c r="H320" s="28" t="s">
        <v>1015</v>
      </c>
    </row>
    <row r="321" ht="17.25" customHeight="1">
      <c r="B321" s="28" t="s">
        <v>571</v>
      </c>
      <c r="C321" s="28" t="s">
        <v>1080</v>
      </c>
      <c r="D321" s="28" t="s">
        <v>898</v>
      </c>
      <c r="E321" s="28" t="s">
        <v>1165</v>
      </c>
      <c r="F321" s="28" t="s">
        <v>898</v>
      </c>
      <c r="G321" s="28" t="s">
        <v>723</v>
      </c>
      <c r="H321" s="28" t="s">
        <v>1015</v>
      </c>
    </row>
    <row r="322" ht="17.25" customHeight="1">
      <c r="B322" s="28" t="s">
        <v>571</v>
      </c>
      <c r="C322" s="28" t="s">
        <v>1080</v>
      </c>
      <c r="D322" s="28" t="s">
        <v>900</v>
      </c>
      <c r="E322" s="28" t="s">
        <v>1166</v>
      </c>
      <c r="F322" s="28" t="s">
        <v>900</v>
      </c>
      <c r="G322" s="28" t="s">
        <v>723</v>
      </c>
      <c r="H322" s="28" t="s">
        <v>1015</v>
      </c>
    </row>
    <row r="323" ht="17.25" customHeight="1">
      <c r="B323" s="28" t="s">
        <v>571</v>
      </c>
      <c r="C323" s="28" t="s">
        <v>1080</v>
      </c>
      <c r="D323" s="28" t="s">
        <v>1167</v>
      </c>
      <c r="E323" s="28" t="s">
        <v>1168</v>
      </c>
      <c r="F323" s="28" t="s">
        <v>1167</v>
      </c>
      <c r="G323" s="28" t="s">
        <v>723</v>
      </c>
      <c r="H323" s="28" t="s">
        <v>1015</v>
      </c>
    </row>
    <row r="324" ht="17.25" customHeight="1">
      <c r="B324" s="28" t="s">
        <v>571</v>
      </c>
      <c r="C324" s="28" t="s">
        <v>1080</v>
      </c>
      <c r="D324" s="28" t="s">
        <v>1169</v>
      </c>
      <c r="E324" s="28" t="s">
        <v>1170</v>
      </c>
      <c r="F324" s="28" t="s">
        <v>1169</v>
      </c>
      <c r="G324" s="28" t="s">
        <v>723</v>
      </c>
      <c r="H324" s="28" t="s">
        <v>1015</v>
      </c>
    </row>
    <row r="325" ht="17.25" customHeight="1">
      <c r="B325" s="28" t="s">
        <v>571</v>
      </c>
      <c r="C325" s="28" t="s">
        <v>1080</v>
      </c>
      <c r="D325" s="28" t="s">
        <v>902</v>
      </c>
      <c r="E325" s="28" t="s">
        <v>1171</v>
      </c>
      <c r="F325" s="28" t="s">
        <v>902</v>
      </c>
      <c r="G325" s="28" t="s">
        <v>723</v>
      </c>
      <c r="H325" s="28" t="s">
        <v>1015</v>
      </c>
    </row>
    <row r="326" ht="17.25" customHeight="1">
      <c r="B326" s="28" t="s">
        <v>571</v>
      </c>
      <c r="C326" s="28" t="s">
        <v>1080</v>
      </c>
      <c r="D326" s="28" t="s">
        <v>906</v>
      </c>
      <c r="E326" s="28" t="s">
        <v>1172</v>
      </c>
      <c r="F326" s="28" t="s">
        <v>906</v>
      </c>
      <c r="G326" s="28" t="s">
        <v>723</v>
      </c>
      <c r="H326" s="28" t="s">
        <v>1015</v>
      </c>
    </row>
    <row r="327" ht="17.25" customHeight="1">
      <c r="B327" s="28" t="s">
        <v>571</v>
      </c>
      <c r="C327" s="28" t="s">
        <v>1080</v>
      </c>
      <c r="D327" s="28" t="s">
        <v>908</v>
      </c>
      <c r="E327" s="28" t="s">
        <v>1173</v>
      </c>
      <c r="F327" s="28" t="s">
        <v>908</v>
      </c>
      <c r="G327" s="28" t="s">
        <v>723</v>
      </c>
      <c r="H327" s="28" t="s">
        <v>1015</v>
      </c>
    </row>
    <row r="328" ht="17.25" customHeight="1">
      <c r="B328" s="28" t="s">
        <v>571</v>
      </c>
      <c r="C328" s="28" t="s">
        <v>1080</v>
      </c>
      <c r="D328" s="28" t="s">
        <v>910</v>
      </c>
      <c r="E328" s="28" t="s">
        <v>1174</v>
      </c>
      <c r="F328" s="28" t="s">
        <v>910</v>
      </c>
      <c r="G328" s="28" t="s">
        <v>723</v>
      </c>
      <c r="H328" s="28" t="s">
        <v>1015</v>
      </c>
    </row>
    <row r="329" ht="17.25" customHeight="1">
      <c r="B329" s="28" t="s">
        <v>571</v>
      </c>
      <c r="C329" s="28" t="s">
        <v>1080</v>
      </c>
      <c r="D329" s="28" t="s">
        <v>717</v>
      </c>
      <c r="E329" s="28" t="s">
        <v>1175</v>
      </c>
      <c r="F329" s="28" t="s">
        <v>717</v>
      </c>
      <c r="G329" s="28" t="s">
        <v>723</v>
      </c>
      <c r="H329" s="28" t="s">
        <v>1015</v>
      </c>
    </row>
    <row r="330" ht="17.25" customHeight="1">
      <c r="B330" s="28" t="s">
        <v>571</v>
      </c>
      <c r="C330" s="28" t="s">
        <v>1080</v>
      </c>
      <c r="D330" s="28" t="s">
        <v>1176</v>
      </c>
      <c r="E330" s="28" t="s">
        <v>1177</v>
      </c>
      <c r="F330" s="28" t="s">
        <v>1176</v>
      </c>
      <c r="G330" s="28" t="s">
        <v>723</v>
      </c>
      <c r="H330" s="28" t="s">
        <v>1015</v>
      </c>
    </row>
    <row r="331" ht="17.25" customHeight="1">
      <c r="B331" s="28" t="s">
        <v>571</v>
      </c>
      <c r="C331" s="28" t="s">
        <v>1080</v>
      </c>
      <c r="D331" s="28" t="s">
        <v>913</v>
      </c>
      <c r="E331" s="28" t="s">
        <v>1178</v>
      </c>
      <c r="F331" s="28" t="s">
        <v>913</v>
      </c>
      <c r="G331" s="28" t="s">
        <v>723</v>
      </c>
      <c r="H331" s="28" t="s">
        <v>1015</v>
      </c>
    </row>
    <row r="332" ht="17.25" customHeight="1">
      <c r="B332" s="28" t="s">
        <v>571</v>
      </c>
      <c r="C332" s="28" t="s">
        <v>1080</v>
      </c>
      <c r="D332" s="28" t="s">
        <v>915</v>
      </c>
      <c r="E332" s="28" t="s">
        <v>1179</v>
      </c>
      <c r="F332" s="28" t="s">
        <v>915</v>
      </c>
      <c r="G332" s="28" t="s">
        <v>723</v>
      </c>
      <c r="H332" s="28" t="s">
        <v>1015</v>
      </c>
    </row>
    <row r="333" ht="17.25" customHeight="1">
      <c r="B333" s="28" t="s">
        <v>571</v>
      </c>
      <c r="C333" s="28" t="s">
        <v>1080</v>
      </c>
      <c r="D333" s="28" t="s">
        <v>921</v>
      </c>
      <c r="E333" s="28" t="s">
        <v>1180</v>
      </c>
      <c r="F333" s="28" t="s">
        <v>921</v>
      </c>
      <c r="G333" s="28" t="s">
        <v>723</v>
      </c>
      <c r="H333" s="28" t="s">
        <v>1015</v>
      </c>
    </row>
    <row r="334" ht="17.25" customHeight="1">
      <c r="B334" s="28" t="s">
        <v>571</v>
      </c>
      <c r="C334" s="28" t="s">
        <v>1080</v>
      </c>
      <c r="D334" s="28" t="s">
        <v>923</v>
      </c>
      <c r="E334" s="28" t="s">
        <v>1181</v>
      </c>
      <c r="F334" s="28" t="s">
        <v>923</v>
      </c>
      <c r="G334" s="28" t="s">
        <v>723</v>
      </c>
      <c r="H334" s="28" t="s">
        <v>1015</v>
      </c>
    </row>
    <row r="335" ht="17.25" customHeight="1">
      <c r="B335" s="28" t="s">
        <v>571</v>
      </c>
      <c r="C335" s="28" t="s">
        <v>1080</v>
      </c>
      <c r="D335" s="28" t="s">
        <v>927</v>
      </c>
      <c r="E335" s="28" t="s">
        <v>1182</v>
      </c>
      <c r="F335" s="28" t="s">
        <v>927</v>
      </c>
      <c r="G335" s="28" t="s">
        <v>723</v>
      </c>
      <c r="H335" s="28" t="s">
        <v>1015</v>
      </c>
    </row>
    <row r="336" ht="17.25" customHeight="1">
      <c r="B336" s="28" t="s">
        <v>571</v>
      </c>
      <c r="C336" s="28" t="s">
        <v>1080</v>
      </c>
      <c r="D336" s="28" t="s">
        <v>929</v>
      </c>
      <c r="E336" s="28" t="s">
        <v>1183</v>
      </c>
      <c r="F336" s="28" t="s">
        <v>929</v>
      </c>
      <c r="G336" s="28" t="s">
        <v>723</v>
      </c>
      <c r="H336" s="28" t="s">
        <v>1015</v>
      </c>
    </row>
    <row r="337" ht="17.25" customHeight="1">
      <c r="B337" s="28" t="s">
        <v>571</v>
      </c>
      <c r="C337" s="28" t="s">
        <v>1080</v>
      </c>
      <c r="D337" s="28" t="s">
        <v>931</v>
      </c>
      <c r="E337" s="28" t="s">
        <v>1184</v>
      </c>
      <c r="F337" s="28" t="s">
        <v>931</v>
      </c>
      <c r="G337" s="28" t="s">
        <v>723</v>
      </c>
      <c r="H337" s="28" t="s">
        <v>1015</v>
      </c>
    </row>
    <row r="338" ht="17.25" customHeight="1">
      <c r="B338" s="28" t="s">
        <v>571</v>
      </c>
      <c r="C338" s="28" t="s">
        <v>1080</v>
      </c>
      <c r="D338" s="28" t="s">
        <v>933</v>
      </c>
      <c r="E338" s="28" t="s">
        <v>1185</v>
      </c>
      <c r="F338" s="28" t="s">
        <v>933</v>
      </c>
      <c r="G338" s="28" t="s">
        <v>723</v>
      </c>
      <c r="H338" s="28" t="s">
        <v>1015</v>
      </c>
    </row>
    <row r="339" ht="17.25" customHeight="1">
      <c r="B339" s="28" t="s">
        <v>571</v>
      </c>
      <c r="C339" s="28" t="s">
        <v>1080</v>
      </c>
      <c r="D339" s="28" t="s">
        <v>935</v>
      </c>
      <c r="E339" s="28" t="s">
        <v>1186</v>
      </c>
      <c r="F339" s="28" t="s">
        <v>935</v>
      </c>
      <c r="G339" s="28" t="s">
        <v>723</v>
      </c>
      <c r="H339" s="28" t="s">
        <v>1015</v>
      </c>
    </row>
    <row r="340" ht="17.25" customHeight="1">
      <c r="B340" s="28" t="s">
        <v>571</v>
      </c>
      <c r="C340" s="28" t="s">
        <v>1080</v>
      </c>
      <c r="D340" s="28" t="s">
        <v>937</v>
      </c>
      <c r="E340" s="28" t="s">
        <v>1187</v>
      </c>
      <c r="F340" s="28" t="s">
        <v>937</v>
      </c>
      <c r="G340" s="28" t="s">
        <v>723</v>
      </c>
      <c r="H340" s="28" t="s">
        <v>1015</v>
      </c>
    </row>
    <row r="341" ht="17.25" customHeight="1">
      <c r="B341" s="28" t="s">
        <v>571</v>
      </c>
      <c r="C341" s="28" t="s">
        <v>1080</v>
      </c>
      <c r="D341" s="28" t="s">
        <v>1188</v>
      </c>
      <c r="E341" s="28" t="s">
        <v>1189</v>
      </c>
      <c r="F341" s="28" t="s">
        <v>1188</v>
      </c>
      <c r="G341" s="28" t="s">
        <v>723</v>
      </c>
      <c r="H341" s="28" t="s">
        <v>1015</v>
      </c>
    </row>
    <row r="342" ht="17.25" customHeight="1">
      <c r="B342" s="28" t="s">
        <v>571</v>
      </c>
      <c r="C342" s="28" t="s">
        <v>1080</v>
      </c>
      <c r="D342" s="28" t="s">
        <v>736</v>
      </c>
      <c r="E342" s="28" t="s">
        <v>1190</v>
      </c>
      <c r="F342" s="28" t="s">
        <v>736</v>
      </c>
      <c r="G342" s="28" t="s">
        <v>723</v>
      </c>
      <c r="H342" s="28" t="s">
        <v>1015</v>
      </c>
    </row>
    <row r="343" ht="17.25" customHeight="1">
      <c r="B343" s="28" t="s">
        <v>571</v>
      </c>
      <c r="C343" s="28" t="s">
        <v>1080</v>
      </c>
      <c r="D343" s="28" t="s">
        <v>939</v>
      </c>
      <c r="E343" s="28" t="s">
        <v>1191</v>
      </c>
      <c r="F343" s="28" t="s">
        <v>939</v>
      </c>
      <c r="G343" s="28" t="s">
        <v>723</v>
      </c>
      <c r="H343" s="28" t="s">
        <v>1015</v>
      </c>
    </row>
    <row r="344" ht="17.25" customHeight="1">
      <c r="B344" s="28" t="s">
        <v>571</v>
      </c>
      <c r="C344" s="28" t="s">
        <v>1080</v>
      </c>
      <c r="D344" s="28" t="s">
        <v>941</v>
      </c>
      <c r="E344" s="28" t="s">
        <v>155</v>
      </c>
      <c r="F344" s="28" t="s">
        <v>941</v>
      </c>
      <c r="G344" s="28" t="s">
        <v>723</v>
      </c>
      <c r="H344" s="28" t="s">
        <v>1015</v>
      </c>
    </row>
    <row r="345" ht="17.25" customHeight="1">
      <c r="B345" s="28" t="s">
        <v>571</v>
      </c>
      <c r="C345" s="28" t="s">
        <v>1192</v>
      </c>
      <c r="D345" s="28" t="s">
        <v>761</v>
      </c>
      <c r="E345" s="28" t="s">
        <v>1193</v>
      </c>
      <c r="F345" s="28" t="s">
        <v>761</v>
      </c>
      <c r="G345" s="28" t="s">
        <v>697</v>
      </c>
      <c r="H345" s="28" t="s">
        <v>1015</v>
      </c>
    </row>
    <row r="346" ht="17.25" customHeight="1">
      <c r="B346" s="28" t="s">
        <v>571</v>
      </c>
      <c r="C346" s="28" t="s">
        <v>1192</v>
      </c>
      <c r="D346" s="28" t="s">
        <v>1061</v>
      </c>
      <c r="E346" s="28" t="s">
        <v>1194</v>
      </c>
      <c r="F346" s="28" t="s">
        <v>1061</v>
      </c>
      <c r="G346" s="28" t="s">
        <v>697</v>
      </c>
      <c r="H346" s="28" t="s">
        <v>1015</v>
      </c>
    </row>
    <row r="347" ht="17.25" customHeight="1">
      <c r="B347" s="28" t="s">
        <v>571</v>
      </c>
      <c r="C347" s="28" t="s">
        <v>1192</v>
      </c>
      <c r="D347" s="28" t="s">
        <v>720</v>
      </c>
      <c r="E347" s="28" t="s">
        <v>1195</v>
      </c>
      <c r="F347" s="28" t="s">
        <v>720</v>
      </c>
      <c r="G347" s="28" t="s">
        <v>697</v>
      </c>
      <c r="H347" s="28" t="s">
        <v>1015</v>
      </c>
    </row>
    <row r="348" ht="17.25" customHeight="1">
      <c r="B348" s="28" t="s">
        <v>571</v>
      </c>
      <c r="C348" s="28" t="s">
        <v>1192</v>
      </c>
      <c r="D348" s="28" t="s">
        <v>800</v>
      </c>
      <c r="E348" s="28" t="s">
        <v>1196</v>
      </c>
      <c r="F348" s="28" t="s">
        <v>800</v>
      </c>
      <c r="G348" s="28" t="s">
        <v>697</v>
      </c>
      <c r="H348" s="28" t="s">
        <v>1015</v>
      </c>
    </row>
    <row r="349" ht="17.25" customHeight="1">
      <c r="B349" s="28" t="s">
        <v>571</v>
      </c>
      <c r="C349" s="28" t="s">
        <v>1192</v>
      </c>
      <c r="D349" s="28" t="s">
        <v>850</v>
      </c>
      <c r="E349" s="28" t="s">
        <v>1197</v>
      </c>
      <c r="F349" s="28" t="s">
        <v>850</v>
      </c>
      <c r="G349" s="28" t="s">
        <v>697</v>
      </c>
      <c r="H349" s="28" t="s">
        <v>1015</v>
      </c>
    </row>
    <row r="350" ht="17.25" customHeight="1">
      <c r="B350" s="28" t="s">
        <v>571</v>
      </c>
      <c r="C350" s="28" t="s">
        <v>1192</v>
      </c>
      <c r="D350" s="28" t="s">
        <v>730</v>
      </c>
      <c r="E350" s="28" t="s">
        <v>1198</v>
      </c>
      <c r="F350" s="28" t="s">
        <v>730</v>
      </c>
      <c r="G350" s="28" t="s">
        <v>697</v>
      </c>
      <c r="H350" s="28" t="s">
        <v>1015</v>
      </c>
    </row>
    <row r="351" ht="17.25" customHeight="1">
      <c r="B351" s="28" t="s">
        <v>571</v>
      </c>
      <c r="C351" s="28" t="s">
        <v>1192</v>
      </c>
      <c r="D351" s="28" t="s">
        <v>730</v>
      </c>
      <c r="E351" s="28" t="s">
        <v>1199</v>
      </c>
      <c r="F351" s="28" t="s">
        <v>730</v>
      </c>
      <c r="G351" s="28" t="s">
        <v>697</v>
      </c>
      <c r="H351" s="28" t="s">
        <v>1015</v>
      </c>
    </row>
    <row r="352" ht="17.25" customHeight="1">
      <c r="B352" s="28" t="s">
        <v>571</v>
      </c>
      <c r="C352" s="28" t="s">
        <v>1192</v>
      </c>
      <c r="D352" s="28" t="s">
        <v>868</v>
      </c>
      <c r="E352" s="28" t="s">
        <v>1200</v>
      </c>
      <c r="F352" s="28" t="s">
        <v>868</v>
      </c>
      <c r="G352" s="28" t="s">
        <v>697</v>
      </c>
      <c r="H352" s="28" t="s">
        <v>1015</v>
      </c>
    </row>
    <row r="353" ht="17.25" customHeight="1">
      <c r="B353" s="28" t="s">
        <v>571</v>
      </c>
      <c r="C353" s="28" t="s">
        <v>1192</v>
      </c>
      <c r="D353" s="28" t="s">
        <v>1040</v>
      </c>
      <c r="E353" s="28" t="s">
        <v>1201</v>
      </c>
      <c r="F353" s="28" t="s">
        <v>1040</v>
      </c>
      <c r="G353" s="28" t="s">
        <v>697</v>
      </c>
      <c r="H353" s="28" t="s">
        <v>1015</v>
      </c>
    </row>
    <row r="354" ht="17.25" customHeight="1">
      <c r="B354" s="28" t="s">
        <v>571</v>
      </c>
      <c r="C354" s="28" t="s">
        <v>1192</v>
      </c>
      <c r="D354" s="28" t="s">
        <v>717</v>
      </c>
      <c r="E354" s="28" t="s">
        <v>1202</v>
      </c>
      <c r="F354" s="28" t="s">
        <v>717</v>
      </c>
      <c r="G354" s="28" t="s">
        <v>697</v>
      </c>
      <c r="H354" s="28" t="s">
        <v>1015</v>
      </c>
    </row>
    <row r="355" ht="17.25" customHeight="1">
      <c r="B355" s="28" t="s">
        <v>571</v>
      </c>
      <c r="C355" s="28" t="s">
        <v>1192</v>
      </c>
      <c r="D355" s="28" t="s">
        <v>968</v>
      </c>
      <c r="E355" s="28" t="s">
        <v>1203</v>
      </c>
      <c r="F355" s="28" t="s">
        <v>968</v>
      </c>
      <c r="G355" s="28" t="s">
        <v>697</v>
      </c>
      <c r="H355" s="28" t="s">
        <v>1015</v>
      </c>
    </row>
    <row r="356" ht="17.25" customHeight="1">
      <c r="B356" s="28" t="s">
        <v>571</v>
      </c>
      <c r="C356" s="28" t="s">
        <v>1192</v>
      </c>
      <c r="D356" s="28" t="s">
        <v>931</v>
      </c>
      <c r="E356" s="28" t="s">
        <v>1204</v>
      </c>
      <c r="F356" s="28" t="s">
        <v>931</v>
      </c>
      <c r="G356" s="28" t="s">
        <v>697</v>
      </c>
      <c r="H356" s="28" t="s">
        <v>1015</v>
      </c>
    </row>
    <row r="357" ht="17.25" customHeight="1">
      <c r="B357" s="28" t="s">
        <v>571</v>
      </c>
      <c r="C357" s="28" t="s">
        <v>1192</v>
      </c>
      <c r="D357" s="28" t="s">
        <v>941</v>
      </c>
      <c r="E357" s="28" t="s">
        <v>1205</v>
      </c>
      <c r="F357" s="28" t="s">
        <v>941</v>
      </c>
      <c r="G357" s="28" t="s">
        <v>697</v>
      </c>
      <c r="H357" s="28" t="s">
        <v>1015</v>
      </c>
    </row>
    <row r="358" ht="17.25" customHeight="1">
      <c r="B358" s="28" t="s">
        <v>571</v>
      </c>
      <c r="C358" s="28" t="s">
        <v>1206</v>
      </c>
      <c r="D358" s="28" t="s">
        <v>701</v>
      </c>
      <c r="E358" s="28" t="s">
        <v>1207</v>
      </c>
      <c r="F358" s="28" t="s">
        <v>701</v>
      </c>
      <c r="G358" s="28" t="s">
        <v>975</v>
      </c>
      <c r="H358" s="28" t="s">
        <v>1208</v>
      </c>
    </row>
    <row r="359" ht="17.25" customHeight="1">
      <c r="B359" s="28" t="s">
        <v>571</v>
      </c>
      <c r="C359" s="28" t="s">
        <v>1209</v>
      </c>
      <c r="D359" s="28" t="s">
        <v>830</v>
      </c>
      <c r="E359" s="28" t="s">
        <v>1210</v>
      </c>
      <c r="F359" s="28" t="s">
        <v>830</v>
      </c>
      <c r="G359" s="28" t="s">
        <v>723</v>
      </c>
      <c r="H359" s="28" t="s">
        <v>1211</v>
      </c>
    </row>
    <row r="360" ht="17.25" customHeight="1">
      <c r="B360" s="28" t="s">
        <v>571</v>
      </c>
      <c r="C360" s="28" t="s">
        <v>1212</v>
      </c>
      <c r="D360" s="28" t="s">
        <v>1139</v>
      </c>
      <c r="E360" s="28" t="s">
        <v>1213</v>
      </c>
      <c r="F360" s="28" t="s">
        <v>1139</v>
      </c>
      <c r="G360" s="28" t="s">
        <v>975</v>
      </c>
      <c r="H360" s="28" t="s">
        <v>1214</v>
      </c>
    </row>
    <row r="361" ht="17.25" customHeight="1">
      <c r="B361" s="28" t="s">
        <v>571</v>
      </c>
      <c r="C361" s="28" t="s">
        <v>1215</v>
      </c>
      <c r="D361" s="28" t="s">
        <v>876</v>
      </c>
      <c r="E361" s="28" t="s">
        <v>1216</v>
      </c>
      <c r="F361" s="28" t="s">
        <v>1217</v>
      </c>
      <c r="G361" s="28" t="s">
        <v>975</v>
      </c>
      <c r="H361" s="28" t="s">
        <v>1218</v>
      </c>
    </row>
    <row r="362" ht="17.25" customHeight="1">
      <c r="B362" s="28" t="s">
        <v>571</v>
      </c>
      <c r="C362" s="28" t="s">
        <v>1215</v>
      </c>
      <c r="D362" s="28" t="s">
        <v>876</v>
      </c>
      <c r="E362" s="28" t="s">
        <v>1219</v>
      </c>
      <c r="F362" s="28" t="s">
        <v>876</v>
      </c>
      <c r="G362" s="28" t="s">
        <v>975</v>
      </c>
      <c r="H362" s="28" t="s">
        <v>1218</v>
      </c>
    </row>
    <row r="363" ht="17.25" customHeight="1">
      <c r="B363" s="28" t="s">
        <v>571</v>
      </c>
      <c r="C363" s="28" t="s">
        <v>1215</v>
      </c>
      <c r="D363" s="28" t="s">
        <v>1220</v>
      </c>
      <c r="E363" s="28" t="s">
        <v>1221</v>
      </c>
      <c r="F363" s="28" t="s">
        <v>1220</v>
      </c>
      <c r="G363" s="28" t="s">
        <v>975</v>
      </c>
      <c r="H363" s="28" t="s">
        <v>1218</v>
      </c>
    </row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7.63"/>
    <col customWidth="1" min="9" max="9" width="18.63"/>
    <col customWidth="1" min="10" max="26" width="7.63"/>
  </cols>
  <sheetData>
    <row r="1" ht="17.25" customHeight="1">
      <c r="A1" s="26"/>
      <c r="B1" s="27" t="s">
        <v>1222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7.25" customHeight="1">
      <c r="A2" s="8"/>
      <c r="B2" s="8" t="s">
        <v>1223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7.25" customHeight="1"/>
    <row r="4" ht="17.25" customHeight="1"/>
    <row r="5" ht="17.25" customHeight="1">
      <c r="B5" s="28" t="s">
        <v>0</v>
      </c>
      <c r="C5" s="28" t="s">
        <v>1</v>
      </c>
      <c r="D5" s="28" t="s">
        <v>1224</v>
      </c>
      <c r="E5" s="28" t="s">
        <v>3</v>
      </c>
      <c r="F5" s="28" t="s">
        <v>1225</v>
      </c>
      <c r="G5" s="28" t="s">
        <v>2</v>
      </c>
      <c r="H5" s="29" t="s">
        <v>1226</v>
      </c>
      <c r="I5" s="29" t="s">
        <v>1227</v>
      </c>
      <c r="J5" s="28" t="s">
        <v>1228</v>
      </c>
    </row>
    <row r="6" ht="17.25" customHeight="1">
      <c r="A6" s="28" t="str">
        <f>CONCAT(B6:C6)</f>
        <v>#N/A</v>
      </c>
      <c r="B6" s="28" t="s">
        <v>1229</v>
      </c>
      <c r="C6" s="28" t="s">
        <v>1230</v>
      </c>
      <c r="D6" s="28" t="s">
        <v>1231</v>
      </c>
      <c r="E6" s="28" t="s">
        <v>1232</v>
      </c>
      <c r="F6" s="28" t="s">
        <v>1233</v>
      </c>
      <c r="G6" s="28" t="s">
        <v>20</v>
      </c>
      <c r="H6" s="28" t="s">
        <v>1234</v>
      </c>
      <c r="I6" s="28" t="s">
        <v>1235</v>
      </c>
    </row>
    <row r="7" ht="17.25" customHeight="1">
      <c r="B7" s="28" t="s">
        <v>1229</v>
      </c>
      <c r="C7" s="28" t="s">
        <v>1230</v>
      </c>
      <c r="D7" s="28" t="s">
        <v>1236</v>
      </c>
      <c r="E7" s="28" t="s">
        <v>1237</v>
      </c>
      <c r="F7" s="28" t="s">
        <v>1238</v>
      </c>
      <c r="G7" s="28" t="s">
        <v>12</v>
      </c>
      <c r="H7" s="28" t="s">
        <v>1239</v>
      </c>
      <c r="I7" s="28" t="s">
        <v>1240</v>
      </c>
    </row>
    <row r="8" ht="17.25" customHeight="1">
      <c r="B8" s="28" t="s">
        <v>1229</v>
      </c>
      <c r="C8" s="28" t="s">
        <v>1230</v>
      </c>
      <c r="D8" s="28" t="s">
        <v>1236</v>
      </c>
      <c r="E8" s="28" t="s">
        <v>1241</v>
      </c>
      <c r="F8" s="28" t="s">
        <v>1238</v>
      </c>
      <c r="G8" s="28" t="s">
        <v>20</v>
      </c>
      <c r="H8" s="28" t="s">
        <v>1234</v>
      </c>
      <c r="I8" s="28" t="s">
        <v>1240</v>
      </c>
    </row>
    <row r="9" ht="17.25" customHeight="1">
      <c r="B9" s="28" t="s">
        <v>1229</v>
      </c>
      <c r="C9" s="28" t="s">
        <v>1230</v>
      </c>
      <c r="D9" s="28" t="s">
        <v>1236</v>
      </c>
      <c r="E9" s="28" t="s">
        <v>1242</v>
      </c>
      <c r="F9" s="28" t="s">
        <v>1243</v>
      </c>
      <c r="G9" s="28" t="s">
        <v>20</v>
      </c>
      <c r="H9" s="28" t="s">
        <v>1234</v>
      </c>
      <c r="I9" s="28" t="s">
        <v>1240</v>
      </c>
    </row>
    <row r="10" ht="17.25" customHeight="1">
      <c r="B10" s="28" t="s">
        <v>1229</v>
      </c>
      <c r="C10" s="28" t="s">
        <v>1230</v>
      </c>
      <c r="D10" s="28" t="s">
        <v>1236</v>
      </c>
      <c r="E10" s="28" t="s">
        <v>1244</v>
      </c>
      <c r="F10" s="28" t="s">
        <v>874</v>
      </c>
      <c r="G10" s="28" t="s">
        <v>20</v>
      </c>
      <c r="H10" s="28" t="s">
        <v>1234</v>
      </c>
      <c r="I10" s="28" t="s">
        <v>1240</v>
      </c>
    </row>
    <row r="11" ht="17.25" customHeight="1">
      <c r="B11" s="28" t="s">
        <v>1229</v>
      </c>
      <c r="C11" s="28" t="s">
        <v>1230</v>
      </c>
      <c r="D11" s="28" t="s">
        <v>1236</v>
      </c>
      <c r="E11" s="28" t="s">
        <v>1245</v>
      </c>
      <c r="F11" s="28" t="s">
        <v>876</v>
      </c>
      <c r="G11" s="28" t="s">
        <v>12</v>
      </c>
      <c r="H11" s="28" t="s">
        <v>1234</v>
      </c>
      <c r="I11" s="28" t="s">
        <v>1240</v>
      </c>
    </row>
    <row r="12" ht="17.25" customHeight="1">
      <c r="B12" s="28" t="s">
        <v>1229</v>
      </c>
      <c r="C12" s="28" t="s">
        <v>1230</v>
      </c>
      <c r="D12" s="28" t="s">
        <v>1236</v>
      </c>
      <c r="E12" s="28" t="s">
        <v>1246</v>
      </c>
      <c r="F12" s="28" t="s">
        <v>1247</v>
      </c>
      <c r="G12" s="28" t="s">
        <v>20</v>
      </c>
      <c r="H12" s="28" t="s">
        <v>1234</v>
      </c>
      <c r="I12" s="28" t="s">
        <v>1240</v>
      </c>
    </row>
    <row r="13" ht="17.25" customHeight="1">
      <c r="B13" s="28" t="s">
        <v>1229</v>
      </c>
      <c r="C13" s="28" t="s">
        <v>1230</v>
      </c>
      <c r="D13" s="28" t="s">
        <v>1236</v>
      </c>
      <c r="E13" s="28" t="s">
        <v>1248</v>
      </c>
      <c r="F13" s="28" t="s">
        <v>870</v>
      </c>
      <c r="G13" s="28" t="s">
        <v>20</v>
      </c>
      <c r="H13" s="28" t="s">
        <v>1234</v>
      </c>
      <c r="I13" s="28" t="s">
        <v>1240</v>
      </c>
    </row>
    <row r="14" ht="17.25" customHeight="1">
      <c r="B14" s="28" t="s">
        <v>1229</v>
      </c>
      <c r="C14" s="28" t="s">
        <v>1230</v>
      </c>
      <c r="D14" s="28" t="s">
        <v>1236</v>
      </c>
      <c r="E14" s="28" t="s">
        <v>1249</v>
      </c>
      <c r="F14" s="28" t="s">
        <v>768</v>
      </c>
      <c r="G14" s="28" t="s">
        <v>20</v>
      </c>
      <c r="H14" s="28" t="s">
        <v>1234</v>
      </c>
      <c r="I14" s="28" t="s">
        <v>1240</v>
      </c>
    </row>
    <row r="15" ht="17.25" customHeight="1">
      <c r="B15" s="28" t="s">
        <v>1229</v>
      </c>
      <c r="C15" s="28" t="s">
        <v>1230</v>
      </c>
      <c r="D15" s="28" t="s">
        <v>1250</v>
      </c>
      <c r="E15" s="28" t="s">
        <v>1251</v>
      </c>
      <c r="F15" s="28" t="s">
        <v>818</v>
      </c>
      <c r="G15" s="28" t="s">
        <v>12</v>
      </c>
      <c r="H15" s="28" t="s">
        <v>1239</v>
      </c>
      <c r="I15" s="28" t="s">
        <v>1252</v>
      </c>
    </row>
    <row r="16" ht="17.25" customHeight="1">
      <c r="B16" s="28" t="s">
        <v>1229</v>
      </c>
      <c r="C16" s="28" t="s">
        <v>1230</v>
      </c>
      <c r="D16" s="28" t="s">
        <v>1250</v>
      </c>
      <c r="E16" s="28" t="s">
        <v>1253</v>
      </c>
      <c r="F16" s="28" t="s">
        <v>830</v>
      </c>
      <c r="G16" s="28" t="s">
        <v>20</v>
      </c>
      <c r="H16" s="28" t="s">
        <v>1239</v>
      </c>
      <c r="I16" s="28" t="s">
        <v>1252</v>
      </c>
    </row>
    <row r="17" ht="17.25" customHeight="1">
      <c r="B17" s="28" t="s">
        <v>1229</v>
      </c>
      <c r="C17" s="28" t="s">
        <v>1230</v>
      </c>
      <c r="D17" s="28" t="s">
        <v>1254</v>
      </c>
      <c r="E17" s="28" t="s">
        <v>1255</v>
      </c>
      <c r="F17" s="28" t="s">
        <v>1238</v>
      </c>
      <c r="G17" s="28" t="s">
        <v>20</v>
      </c>
      <c r="H17" s="28" t="s">
        <v>1256</v>
      </c>
      <c r="I17" s="28" t="s">
        <v>1257</v>
      </c>
    </row>
    <row r="18" ht="17.25" customHeight="1">
      <c r="B18" s="28" t="s">
        <v>1229</v>
      </c>
      <c r="C18" s="28" t="s">
        <v>1230</v>
      </c>
      <c r="D18" s="28" t="s">
        <v>1258</v>
      </c>
      <c r="E18" s="28" t="s">
        <v>1259</v>
      </c>
      <c r="F18" s="28" t="s">
        <v>1238</v>
      </c>
      <c r="G18" s="28" t="s">
        <v>12</v>
      </c>
      <c r="H18" s="28" t="s">
        <v>1234</v>
      </c>
      <c r="I18" s="28" t="s">
        <v>1257</v>
      </c>
    </row>
    <row r="19" ht="17.25" customHeight="1">
      <c r="B19" s="28" t="s">
        <v>1229</v>
      </c>
      <c r="C19" s="28" t="s">
        <v>1230</v>
      </c>
      <c r="D19" s="28" t="s">
        <v>1258</v>
      </c>
      <c r="E19" s="28" t="s">
        <v>1259</v>
      </c>
      <c r="F19" s="28" t="s">
        <v>1238</v>
      </c>
      <c r="G19" s="28" t="s">
        <v>12</v>
      </c>
      <c r="H19" s="28" t="s">
        <v>1239</v>
      </c>
      <c r="I19" s="28" t="s">
        <v>1257</v>
      </c>
    </row>
    <row r="20" ht="17.25" customHeight="1">
      <c r="B20" s="28" t="s">
        <v>1229</v>
      </c>
      <c r="C20" s="28" t="s">
        <v>1230</v>
      </c>
      <c r="D20" s="28" t="s">
        <v>1258</v>
      </c>
      <c r="E20" s="28" t="s">
        <v>1260</v>
      </c>
      <c r="F20" s="28" t="s">
        <v>1002</v>
      </c>
      <c r="G20" s="28" t="s">
        <v>20</v>
      </c>
      <c r="H20" s="28" t="s">
        <v>1256</v>
      </c>
      <c r="I20" s="28" t="s">
        <v>1257</v>
      </c>
    </row>
    <row r="21" ht="17.25" customHeight="1">
      <c r="B21" s="28" t="s">
        <v>1229</v>
      </c>
      <c r="C21" s="28" t="s">
        <v>1230</v>
      </c>
      <c r="D21" s="28" t="s">
        <v>1258</v>
      </c>
      <c r="E21" s="28" t="s">
        <v>1261</v>
      </c>
      <c r="F21" s="28" t="s">
        <v>1247</v>
      </c>
      <c r="G21" s="28" t="s">
        <v>20</v>
      </c>
      <c r="H21" s="28" t="s">
        <v>1239</v>
      </c>
      <c r="I21" s="28" t="s">
        <v>1257</v>
      </c>
    </row>
    <row r="22" ht="17.25" customHeight="1">
      <c r="B22" s="28" t="s">
        <v>1229</v>
      </c>
      <c r="C22" s="28" t="s">
        <v>1230</v>
      </c>
      <c r="D22" s="28" t="s">
        <v>1258</v>
      </c>
      <c r="E22" s="28" t="s">
        <v>1262</v>
      </c>
      <c r="F22" s="28" t="s">
        <v>1002</v>
      </c>
      <c r="G22" s="28" t="s">
        <v>20</v>
      </c>
      <c r="H22" s="28" t="s">
        <v>1239</v>
      </c>
      <c r="I22" s="28" t="s">
        <v>1257</v>
      </c>
    </row>
    <row r="23" ht="17.25" customHeight="1">
      <c r="B23" s="28" t="s">
        <v>1229</v>
      </c>
      <c r="C23" s="28" t="s">
        <v>1230</v>
      </c>
      <c r="D23" s="28" t="s">
        <v>1263</v>
      </c>
      <c r="E23" s="28" t="s">
        <v>1264</v>
      </c>
      <c r="F23" s="28" t="s">
        <v>1265</v>
      </c>
      <c r="G23" s="28" t="s">
        <v>12</v>
      </c>
      <c r="H23" s="28" t="s">
        <v>1234</v>
      </c>
      <c r="I23" s="28" t="s">
        <v>1257</v>
      </c>
    </row>
    <row r="24" ht="17.25" customHeight="1">
      <c r="B24" s="28" t="s">
        <v>1229</v>
      </c>
      <c r="C24" s="28" t="s">
        <v>1230</v>
      </c>
      <c r="D24" s="28" t="s">
        <v>1266</v>
      </c>
      <c r="E24" s="28" t="s">
        <v>1267</v>
      </c>
      <c r="F24" s="28" t="s">
        <v>913</v>
      </c>
      <c r="G24" s="28" t="s">
        <v>20</v>
      </c>
      <c r="H24" s="28" t="s">
        <v>1256</v>
      </c>
      <c r="I24" s="28" t="s">
        <v>1235</v>
      </c>
    </row>
    <row r="25" ht="17.25" customHeight="1">
      <c r="B25" s="28" t="s">
        <v>1229</v>
      </c>
      <c r="C25" s="28" t="s">
        <v>1230</v>
      </c>
      <c r="D25" s="28" t="s">
        <v>1266</v>
      </c>
      <c r="E25" s="28" t="s">
        <v>1268</v>
      </c>
      <c r="F25" s="28" t="s">
        <v>751</v>
      </c>
      <c r="G25" s="28" t="s">
        <v>20</v>
      </c>
      <c r="H25" s="28" t="s">
        <v>1256</v>
      </c>
      <c r="I25" s="28" t="s">
        <v>1235</v>
      </c>
    </row>
    <row r="26" ht="17.25" customHeight="1">
      <c r="B26" s="28" t="s">
        <v>1229</v>
      </c>
      <c r="C26" s="28" t="s">
        <v>1230</v>
      </c>
      <c r="D26" s="28" t="s">
        <v>1266</v>
      </c>
      <c r="E26" s="28" t="s">
        <v>1269</v>
      </c>
      <c r="F26" s="28" t="s">
        <v>1270</v>
      </c>
      <c r="G26" s="28" t="s">
        <v>20</v>
      </c>
      <c r="H26" s="28" t="s">
        <v>1239</v>
      </c>
      <c r="I26" s="28" t="s">
        <v>1235</v>
      </c>
    </row>
    <row r="27" ht="17.25" customHeight="1">
      <c r="B27" s="28" t="s">
        <v>1229</v>
      </c>
      <c r="C27" s="28" t="s">
        <v>1230</v>
      </c>
      <c r="D27" s="28" t="s">
        <v>1266</v>
      </c>
      <c r="E27" s="28" t="s">
        <v>1271</v>
      </c>
      <c r="F27" s="28" t="s">
        <v>913</v>
      </c>
      <c r="G27" s="28" t="s">
        <v>20</v>
      </c>
      <c r="H27" s="28" t="s">
        <v>1256</v>
      </c>
      <c r="I27" s="28" t="s">
        <v>1235</v>
      </c>
    </row>
    <row r="28" ht="17.25" customHeight="1">
      <c r="B28" s="28" t="s">
        <v>1229</v>
      </c>
      <c r="C28" s="28" t="s">
        <v>1230</v>
      </c>
      <c r="D28" s="28" t="s">
        <v>1272</v>
      </c>
      <c r="E28" s="28" t="s">
        <v>1273</v>
      </c>
      <c r="F28" s="28" t="s">
        <v>1274</v>
      </c>
      <c r="G28" s="28" t="s">
        <v>20</v>
      </c>
      <c r="H28" s="28" t="s">
        <v>1256</v>
      </c>
      <c r="I28" s="28" t="s">
        <v>1235</v>
      </c>
    </row>
    <row r="29" ht="17.25" customHeight="1">
      <c r="A29" s="28" t="str">
        <f>CONCAT(B29:C29)</f>
        <v>#N/A</v>
      </c>
      <c r="B29" s="28" t="s">
        <v>418</v>
      </c>
      <c r="C29" s="28" t="s">
        <v>419</v>
      </c>
      <c r="D29" s="28" t="s">
        <v>1275</v>
      </c>
      <c r="E29" s="28" t="s">
        <v>1276</v>
      </c>
      <c r="F29" s="28" t="s">
        <v>1002</v>
      </c>
      <c r="G29" s="28" t="s">
        <v>20</v>
      </c>
      <c r="H29" s="28" t="s">
        <v>1234</v>
      </c>
      <c r="I29" s="28" t="s">
        <v>1277</v>
      </c>
    </row>
    <row r="30" ht="17.25" customHeight="1">
      <c r="B30" s="28" t="s">
        <v>418</v>
      </c>
      <c r="C30" s="28" t="s">
        <v>419</v>
      </c>
      <c r="D30" s="28" t="s">
        <v>1278</v>
      </c>
      <c r="E30" s="28" t="s">
        <v>1279</v>
      </c>
      <c r="F30" s="28" t="s">
        <v>1002</v>
      </c>
      <c r="G30" s="28" t="s">
        <v>12</v>
      </c>
      <c r="H30" s="28" t="s">
        <v>1234</v>
      </c>
      <c r="I30" s="28" t="s">
        <v>1277</v>
      </c>
    </row>
    <row r="31" ht="17.25" customHeight="1">
      <c r="B31" s="28" t="s">
        <v>418</v>
      </c>
      <c r="C31" s="28" t="s">
        <v>419</v>
      </c>
      <c r="D31" s="28" t="s">
        <v>1278</v>
      </c>
      <c r="E31" s="28" t="s">
        <v>1280</v>
      </c>
      <c r="F31" s="28" t="s">
        <v>913</v>
      </c>
      <c r="G31" s="28" t="s">
        <v>12</v>
      </c>
      <c r="H31" s="28" t="s">
        <v>1234</v>
      </c>
      <c r="I31" s="28" t="s">
        <v>1277</v>
      </c>
    </row>
    <row r="32" ht="17.25" customHeight="1">
      <c r="B32" s="28" t="s">
        <v>418</v>
      </c>
      <c r="C32" s="28" t="s">
        <v>419</v>
      </c>
      <c r="D32" s="28" t="s">
        <v>1278</v>
      </c>
      <c r="E32" s="28" t="s">
        <v>1281</v>
      </c>
      <c r="F32" s="28" t="s">
        <v>1238</v>
      </c>
      <c r="G32" s="28" t="s">
        <v>12</v>
      </c>
      <c r="H32" s="28" t="s">
        <v>1234</v>
      </c>
      <c r="I32" s="28" t="s">
        <v>1277</v>
      </c>
    </row>
    <row r="33" ht="17.25" customHeight="1">
      <c r="B33" s="28" t="s">
        <v>418</v>
      </c>
      <c r="C33" s="28" t="s">
        <v>419</v>
      </c>
      <c r="D33" s="28" t="s">
        <v>1278</v>
      </c>
      <c r="E33" s="28" t="s">
        <v>1282</v>
      </c>
      <c r="F33" s="28" t="s">
        <v>1283</v>
      </c>
      <c r="G33" s="28" t="s">
        <v>12</v>
      </c>
      <c r="H33" s="28" t="s">
        <v>1234</v>
      </c>
      <c r="I33" s="28" t="s">
        <v>1277</v>
      </c>
    </row>
    <row r="34" ht="17.25" customHeight="1">
      <c r="B34" s="28" t="s">
        <v>418</v>
      </c>
      <c r="C34" s="28" t="s">
        <v>419</v>
      </c>
      <c r="D34" s="28" t="s">
        <v>1278</v>
      </c>
      <c r="E34" s="28" t="s">
        <v>1284</v>
      </c>
      <c r="F34" s="28" t="s">
        <v>1285</v>
      </c>
      <c r="G34" s="28" t="s">
        <v>12</v>
      </c>
      <c r="H34" s="28" t="s">
        <v>1234</v>
      </c>
      <c r="I34" s="28" t="s">
        <v>1277</v>
      </c>
    </row>
    <row r="35" ht="17.25" customHeight="1">
      <c r="B35" s="28" t="s">
        <v>418</v>
      </c>
      <c r="C35" s="28" t="s">
        <v>419</v>
      </c>
      <c r="D35" s="28" t="s">
        <v>1278</v>
      </c>
      <c r="E35" s="28" t="s">
        <v>1286</v>
      </c>
      <c r="F35" s="28" t="s">
        <v>1243</v>
      </c>
      <c r="G35" s="28" t="s">
        <v>12</v>
      </c>
      <c r="H35" s="28" t="s">
        <v>1234</v>
      </c>
      <c r="I35" s="28" t="s">
        <v>1277</v>
      </c>
    </row>
    <row r="36" ht="17.25" customHeight="1">
      <c r="B36" s="28" t="s">
        <v>418</v>
      </c>
      <c r="C36" s="28" t="s">
        <v>419</v>
      </c>
      <c r="D36" s="28" t="s">
        <v>1278</v>
      </c>
      <c r="E36" s="28" t="s">
        <v>1287</v>
      </c>
      <c r="F36" s="28" t="s">
        <v>935</v>
      </c>
      <c r="G36" s="28" t="s">
        <v>12</v>
      </c>
      <c r="H36" s="28" t="s">
        <v>1234</v>
      </c>
      <c r="I36" s="28" t="s">
        <v>1277</v>
      </c>
    </row>
    <row r="37" ht="17.25" customHeight="1">
      <c r="B37" s="28" t="s">
        <v>418</v>
      </c>
      <c r="C37" s="28" t="s">
        <v>419</v>
      </c>
      <c r="D37" s="28" t="s">
        <v>1278</v>
      </c>
      <c r="E37" s="28" t="s">
        <v>1288</v>
      </c>
      <c r="F37" s="28" t="s">
        <v>713</v>
      </c>
      <c r="G37" s="28" t="s">
        <v>12</v>
      </c>
      <c r="H37" s="28" t="s">
        <v>1234</v>
      </c>
      <c r="I37" s="28" t="s">
        <v>1277</v>
      </c>
    </row>
    <row r="38" ht="17.25" customHeight="1">
      <c r="B38" s="28" t="s">
        <v>418</v>
      </c>
      <c r="C38" s="28" t="s">
        <v>419</v>
      </c>
      <c r="D38" s="28" t="s">
        <v>1278</v>
      </c>
      <c r="E38" s="28" t="s">
        <v>1289</v>
      </c>
      <c r="F38" s="28" t="s">
        <v>874</v>
      </c>
      <c r="G38" s="28" t="s">
        <v>12</v>
      </c>
      <c r="H38" s="28" t="s">
        <v>1234</v>
      </c>
      <c r="I38" s="28" t="s">
        <v>1277</v>
      </c>
    </row>
    <row r="39" ht="17.25" customHeight="1">
      <c r="B39" s="28" t="s">
        <v>418</v>
      </c>
      <c r="C39" s="28" t="s">
        <v>419</v>
      </c>
      <c r="D39" s="28" t="s">
        <v>1278</v>
      </c>
      <c r="E39" s="28" t="s">
        <v>1290</v>
      </c>
      <c r="F39" s="28" t="s">
        <v>776</v>
      </c>
      <c r="G39" s="28" t="s">
        <v>12</v>
      </c>
      <c r="H39" s="28" t="s">
        <v>1234</v>
      </c>
      <c r="I39" s="28" t="s">
        <v>1277</v>
      </c>
    </row>
    <row r="40" ht="17.25" customHeight="1">
      <c r="B40" s="28" t="s">
        <v>418</v>
      </c>
      <c r="C40" s="28" t="s">
        <v>419</v>
      </c>
      <c r="D40" s="28" t="s">
        <v>1278</v>
      </c>
      <c r="E40" s="28" t="s">
        <v>1291</v>
      </c>
      <c r="F40" s="28" t="s">
        <v>913</v>
      </c>
      <c r="G40" s="28" t="s">
        <v>12</v>
      </c>
      <c r="H40" s="28" t="s">
        <v>1234</v>
      </c>
      <c r="I40" s="28" t="s">
        <v>1277</v>
      </c>
    </row>
    <row r="41" ht="17.25" customHeight="1">
      <c r="B41" s="28" t="s">
        <v>418</v>
      </c>
      <c r="C41" s="28" t="s">
        <v>419</v>
      </c>
      <c r="D41" s="28" t="s">
        <v>1278</v>
      </c>
      <c r="E41" s="28" t="s">
        <v>1292</v>
      </c>
      <c r="F41" s="28" t="s">
        <v>1265</v>
      </c>
      <c r="G41" s="28" t="s">
        <v>12</v>
      </c>
      <c r="H41" s="28" t="s">
        <v>1234</v>
      </c>
      <c r="I41" s="28" t="s">
        <v>1277</v>
      </c>
    </row>
    <row r="42" ht="17.25" customHeight="1">
      <c r="B42" s="28" t="s">
        <v>418</v>
      </c>
      <c r="C42" s="28" t="s">
        <v>419</v>
      </c>
      <c r="D42" s="28" t="s">
        <v>1293</v>
      </c>
      <c r="E42" s="28" t="s">
        <v>1294</v>
      </c>
      <c r="F42" s="28" t="s">
        <v>1002</v>
      </c>
      <c r="G42" s="28" t="s">
        <v>12</v>
      </c>
      <c r="H42" s="28" t="s">
        <v>1234</v>
      </c>
      <c r="I42" s="28" t="s">
        <v>1277</v>
      </c>
    </row>
    <row r="43" ht="17.25" customHeight="1">
      <c r="B43" s="28" t="s">
        <v>418</v>
      </c>
      <c r="C43" s="28" t="s">
        <v>419</v>
      </c>
      <c r="D43" s="28" t="s">
        <v>1293</v>
      </c>
      <c r="E43" s="28" t="s">
        <v>1295</v>
      </c>
      <c r="F43" s="28" t="s">
        <v>1296</v>
      </c>
      <c r="G43" s="28" t="s">
        <v>12</v>
      </c>
      <c r="H43" s="28" t="s">
        <v>1234</v>
      </c>
      <c r="I43" s="28" t="s">
        <v>1277</v>
      </c>
    </row>
    <row r="44" ht="17.25" customHeight="1">
      <c r="B44" s="28" t="s">
        <v>418</v>
      </c>
      <c r="C44" s="28" t="s">
        <v>419</v>
      </c>
      <c r="D44" s="28" t="s">
        <v>1297</v>
      </c>
      <c r="E44" s="28" t="s">
        <v>1298</v>
      </c>
      <c r="F44" s="28" t="s">
        <v>1002</v>
      </c>
      <c r="G44" s="28" t="s">
        <v>12</v>
      </c>
      <c r="H44" s="28" t="s">
        <v>1234</v>
      </c>
      <c r="I44" s="28" t="s">
        <v>1299</v>
      </c>
    </row>
    <row r="45" ht="17.25" customHeight="1">
      <c r="B45" s="28" t="s">
        <v>418</v>
      </c>
      <c r="C45" s="28" t="s">
        <v>419</v>
      </c>
      <c r="D45" s="28" t="s">
        <v>1297</v>
      </c>
      <c r="E45" s="28" t="s">
        <v>1300</v>
      </c>
      <c r="F45" s="28" t="s">
        <v>1002</v>
      </c>
      <c r="G45" s="28" t="s">
        <v>20</v>
      </c>
      <c r="H45" s="28" t="s">
        <v>1234</v>
      </c>
      <c r="I45" s="28" t="s">
        <v>1301</v>
      </c>
    </row>
    <row r="46" ht="17.25" customHeight="1">
      <c r="B46" s="28" t="s">
        <v>418</v>
      </c>
      <c r="C46" s="28" t="s">
        <v>419</v>
      </c>
      <c r="D46" s="28" t="s">
        <v>1302</v>
      </c>
      <c r="E46" s="28" t="s">
        <v>1303</v>
      </c>
      <c r="F46" s="28" t="s">
        <v>763</v>
      </c>
      <c r="G46" s="28" t="s">
        <v>20</v>
      </c>
      <c r="H46" s="28" t="s">
        <v>1256</v>
      </c>
      <c r="I46" s="28" t="s">
        <v>1304</v>
      </c>
    </row>
    <row r="47" ht="17.25" customHeight="1">
      <c r="B47" s="28" t="s">
        <v>418</v>
      </c>
      <c r="C47" s="28" t="s">
        <v>419</v>
      </c>
      <c r="D47" s="28" t="s">
        <v>1302</v>
      </c>
      <c r="E47" s="28" t="s">
        <v>420</v>
      </c>
      <c r="F47" s="28" t="s">
        <v>1305</v>
      </c>
      <c r="G47" s="28" t="s">
        <v>20</v>
      </c>
      <c r="H47" s="28" t="s">
        <v>1256</v>
      </c>
      <c r="I47" s="28" t="s">
        <v>1304</v>
      </c>
    </row>
    <row r="48" ht="17.25" customHeight="1">
      <c r="B48" s="28" t="s">
        <v>418</v>
      </c>
      <c r="C48" s="28" t="s">
        <v>419</v>
      </c>
      <c r="D48" s="28" t="s">
        <v>1254</v>
      </c>
      <c r="E48" s="28" t="s">
        <v>1306</v>
      </c>
      <c r="F48" s="28" t="s">
        <v>1238</v>
      </c>
      <c r="G48" s="28" t="s">
        <v>20</v>
      </c>
      <c r="H48" s="28" t="s">
        <v>1256</v>
      </c>
      <c r="I48" s="28" t="s">
        <v>1257</v>
      </c>
    </row>
    <row r="49" ht="17.25" customHeight="1">
      <c r="B49" s="28" t="s">
        <v>418</v>
      </c>
      <c r="C49" s="28" t="s">
        <v>419</v>
      </c>
      <c r="D49" s="28" t="s">
        <v>1258</v>
      </c>
      <c r="E49" s="28" t="s">
        <v>1260</v>
      </c>
      <c r="F49" s="28" t="s">
        <v>1002</v>
      </c>
      <c r="G49" s="28" t="s">
        <v>20</v>
      </c>
      <c r="H49" s="28" t="s">
        <v>1256</v>
      </c>
      <c r="I49" s="28" t="s">
        <v>1257</v>
      </c>
    </row>
    <row r="50" ht="17.25" customHeight="1">
      <c r="B50" s="28" t="s">
        <v>418</v>
      </c>
      <c r="C50" s="28" t="s">
        <v>419</v>
      </c>
      <c r="D50" s="28" t="s">
        <v>1307</v>
      </c>
      <c r="E50" s="30" t="s">
        <v>1308</v>
      </c>
      <c r="F50" s="28" t="s">
        <v>1002</v>
      </c>
      <c r="G50" s="28" t="s">
        <v>20</v>
      </c>
      <c r="H50" s="28" t="s">
        <v>1256</v>
      </c>
      <c r="I50" s="28" t="s">
        <v>1309</v>
      </c>
      <c r="J50" s="28" t="s">
        <v>1310</v>
      </c>
    </row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2.75"/>
    <col customWidth="1" min="3" max="3" width="23.25"/>
    <col customWidth="1" min="4" max="4" width="43.88"/>
    <col customWidth="1" min="5" max="5" width="16.75"/>
    <col customWidth="1" min="6" max="26" width="7.63"/>
  </cols>
  <sheetData>
    <row r="1" ht="17.25" customHeight="1">
      <c r="A1" s="26"/>
      <c r="B1" s="27" t="s">
        <v>1222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7.25" customHeight="1">
      <c r="A2" s="8"/>
      <c r="B2" s="8" t="s">
        <v>1311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7.25" customHeight="1"/>
    <row r="4" ht="17.25" customHeight="1"/>
    <row r="5" ht="17.25" customHeight="1">
      <c r="B5" s="26" t="s">
        <v>0</v>
      </c>
      <c r="C5" s="26" t="s">
        <v>1</v>
      </c>
      <c r="D5" s="26" t="s">
        <v>1224</v>
      </c>
      <c r="E5" s="31" t="s">
        <v>692</v>
      </c>
      <c r="F5" s="29" t="s">
        <v>1312</v>
      </c>
      <c r="G5" s="29" t="s">
        <v>1228</v>
      </c>
    </row>
    <row r="6" ht="17.25" customHeight="1">
      <c r="B6" s="26" t="s">
        <v>192</v>
      </c>
      <c r="C6" s="26" t="s">
        <v>193</v>
      </c>
      <c r="D6" s="26" t="s">
        <v>1313</v>
      </c>
      <c r="E6" s="26" t="s">
        <v>1314</v>
      </c>
      <c r="F6" s="26" t="s">
        <v>1315</v>
      </c>
    </row>
    <row r="7" ht="17.25" customHeight="1">
      <c r="B7" s="26" t="s">
        <v>192</v>
      </c>
      <c r="C7" s="26" t="s">
        <v>193</v>
      </c>
      <c r="D7" s="26" t="s">
        <v>1316</v>
      </c>
      <c r="E7" s="26" t="s">
        <v>1314</v>
      </c>
      <c r="F7" s="26" t="s">
        <v>1315</v>
      </c>
    </row>
    <row r="8" ht="17.25" customHeight="1">
      <c r="B8" s="26" t="s">
        <v>192</v>
      </c>
      <c r="C8" s="26" t="s">
        <v>193</v>
      </c>
      <c r="D8" s="26" t="s">
        <v>1317</v>
      </c>
      <c r="E8" s="26" t="s">
        <v>1314</v>
      </c>
      <c r="F8" s="26" t="s">
        <v>1315</v>
      </c>
    </row>
    <row r="9" ht="17.25" customHeight="1">
      <c r="B9" s="26" t="s">
        <v>192</v>
      </c>
      <c r="C9" s="26" t="s">
        <v>193</v>
      </c>
      <c r="D9" s="26" t="s">
        <v>1318</v>
      </c>
      <c r="E9" s="26" t="s">
        <v>1314</v>
      </c>
      <c r="F9" s="26" t="s">
        <v>1315</v>
      </c>
    </row>
    <row r="10" ht="17.25" customHeight="1">
      <c r="B10" s="26" t="s">
        <v>192</v>
      </c>
      <c r="C10" s="26" t="s">
        <v>193</v>
      </c>
      <c r="D10" s="26" t="s">
        <v>1319</v>
      </c>
      <c r="E10" s="26" t="s">
        <v>1314</v>
      </c>
      <c r="F10" s="26" t="s">
        <v>1315</v>
      </c>
    </row>
    <row r="11" ht="17.25" customHeight="1">
      <c r="B11" s="26" t="s">
        <v>192</v>
      </c>
      <c r="C11" s="26" t="s">
        <v>193</v>
      </c>
      <c r="D11" s="26" t="s">
        <v>1320</v>
      </c>
      <c r="E11" s="26" t="s">
        <v>1314</v>
      </c>
      <c r="F11" s="26" t="s">
        <v>1315</v>
      </c>
    </row>
    <row r="12" ht="17.25" customHeight="1">
      <c r="B12" s="26" t="s">
        <v>192</v>
      </c>
      <c r="C12" s="26" t="s">
        <v>193</v>
      </c>
      <c r="D12" s="26" t="s">
        <v>1321</v>
      </c>
      <c r="E12" s="26" t="s">
        <v>1314</v>
      </c>
      <c r="F12" s="26" t="s">
        <v>1315</v>
      </c>
    </row>
    <row r="13" ht="17.25" customHeight="1">
      <c r="B13" s="26" t="s">
        <v>192</v>
      </c>
      <c r="C13" s="26" t="s">
        <v>193</v>
      </c>
      <c r="D13" s="26" t="s">
        <v>1322</v>
      </c>
      <c r="E13" s="26" t="s">
        <v>1314</v>
      </c>
      <c r="F13" s="26" t="s">
        <v>1315</v>
      </c>
    </row>
    <row r="14" ht="17.25" customHeight="1">
      <c r="B14" s="26" t="s">
        <v>192</v>
      </c>
      <c r="C14" s="26" t="s">
        <v>193</v>
      </c>
      <c r="D14" s="26" t="s">
        <v>1323</v>
      </c>
      <c r="E14" s="26" t="s">
        <v>1314</v>
      </c>
      <c r="F14" s="26" t="s">
        <v>1315</v>
      </c>
    </row>
    <row r="15" ht="17.25" customHeight="1">
      <c r="B15" s="26" t="s">
        <v>585</v>
      </c>
      <c r="C15" s="26" t="s">
        <v>1324</v>
      </c>
      <c r="D15" s="26" t="s">
        <v>1325</v>
      </c>
      <c r="E15" s="26" t="s">
        <v>1326</v>
      </c>
      <c r="F15" s="26" t="s">
        <v>1327</v>
      </c>
    </row>
    <row r="16" ht="17.25" customHeight="1">
      <c r="B16" s="26" t="s">
        <v>585</v>
      </c>
      <c r="C16" s="26" t="s">
        <v>1324</v>
      </c>
      <c r="D16" s="26" t="s">
        <v>1328</v>
      </c>
      <c r="E16" s="26" t="s">
        <v>1326</v>
      </c>
      <c r="F16" s="26" t="s">
        <v>1327</v>
      </c>
    </row>
    <row r="17" ht="17.25" customHeight="1">
      <c r="B17" s="26" t="s">
        <v>585</v>
      </c>
      <c r="C17" s="26" t="s">
        <v>1324</v>
      </c>
      <c r="D17" s="26" t="s">
        <v>1329</v>
      </c>
      <c r="E17" s="26" t="s">
        <v>1326</v>
      </c>
      <c r="F17" s="26" t="s">
        <v>1327</v>
      </c>
    </row>
    <row r="18" ht="17.25" customHeight="1">
      <c r="B18" s="26" t="s">
        <v>585</v>
      </c>
      <c r="C18" s="26" t="s">
        <v>1324</v>
      </c>
      <c r="D18" s="26" t="s">
        <v>1330</v>
      </c>
      <c r="E18" s="26" t="s">
        <v>1331</v>
      </c>
      <c r="F18" s="26" t="s">
        <v>1327</v>
      </c>
      <c r="G18" s="26" t="s">
        <v>1332</v>
      </c>
    </row>
    <row r="19" ht="17.25" customHeight="1">
      <c r="B19" s="26" t="s">
        <v>186</v>
      </c>
      <c r="C19" s="26" t="s">
        <v>187</v>
      </c>
      <c r="D19" s="26" t="s">
        <v>1333</v>
      </c>
      <c r="E19" s="26" t="s">
        <v>1334</v>
      </c>
      <c r="F19" s="26" t="s">
        <v>1315</v>
      </c>
    </row>
    <row r="20" ht="17.25" customHeight="1">
      <c r="B20" s="26" t="s">
        <v>186</v>
      </c>
      <c r="C20" s="26" t="s">
        <v>187</v>
      </c>
      <c r="D20" s="26" t="s">
        <v>1335</v>
      </c>
      <c r="E20" s="26" t="s">
        <v>1334</v>
      </c>
      <c r="F20" s="26" t="s">
        <v>1315</v>
      </c>
    </row>
    <row r="21" ht="17.25" customHeight="1">
      <c r="B21" s="26" t="s">
        <v>186</v>
      </c>
      <c r="C21" s="26" t="s">
        <v>187</v>
      </c>
      <c r="D21" s="26" t="s">
        <v>1336</v>
      </c>
      <c r="E21" s="26" t="s">
        <v>1334</v>
      </c>
      <c r="F21" s="26" t="s">
        <v>1315</v>
      </c>
    </row>
    <row r="22" ht="17.25" customHeight="1">
      <c r="B22" s="26" t="s">
        <v>186</v>
      </c>
      <c r="C22" s="26" t="s">
        <v>187</v>
      </c>
      <c r="D22" s="26" t="s">
        <v>1337</v>
      </c>
      <c r="E22" s="26" t="s">
        <v>1334</v>
      </c>
      <c r="F22" s="26" t="s">
        <v>1315</v>
      </c>
      <c r="G22" s="26"/>
    </row>
    <row r="23" ht="17.25" customHeight="1">
      <c r="B23" s="26" t="s">
        <v>186</v>
      </c>
      <c r="C23" s="26" t="s">
        <v>187</v>
      </c>
      <c r="D23" s="26" t="s">
        <v>1338</v>
      </c>
      <c r="E23" s="26" t="s">
        <v>1334</v>
      </c>
      <c r="F23" s="26" t="s">
        <v>1315</v>
      </c>
    </row>
    <row r="24" ht="17.25" customHeight="1">
      <c r="B24" s="26" t="s">
        <v>186</v>
      </c>
      <c r="C24" s="26" t="s">
        <v>187</v>
      </c>
      <c r="D24" s="26" t="s">
        <v>1339</v>
      </c>
      <c r="E24" s="26" t="s">
        <v>1334</v>
      </c>
      <c r="F24" s="26" t="s">
        <v>1315</v>
      </c>
    </row>
    <row r="25" ht="17.25" customHeight="1">
      <c r="B25" s="26" t="s">
        <v>186</v>
      </c>
      <c r="C25" s="26" t="s">
        <v>187</v>
      </c>
      <c r="D25" s="26" t="s">
        <v>1340</v>
      </c>
      <c r="E25" s="26" t="s">
        <v>1334</v>
      </c>
      <c r="F25" s="26" t="s">
        <v>1315</v>
      </c>
    </row>
    <row r="26" ht="17.25" customHeight="1">
      <c r="B26" s="26" t="s">
        <v>186</v>
      </c>
      <c r="C26" s="26" t="s">
        <v>187</v>
      </c>
      <c r="D26" s="26" t="s">
        <v>1341</v>
      </c>
      <c r="E26" s="26" t="s">
        <v>1334</v>
      </c>
      <c r="F26" s="26" t="s">
        <v>1315</v>
      </c>
    </row>
    <row r="27" ht="17.25" customHeight="1">
      <c r="B27" s="26" t="s">
        <v>186</v>
      </c>
      <c r="C27" s="26" t="s">
        <v>187</v>
      </c>
      <c r="D27" s="26" t="s">
        <v>1342</v>
      </c>
      <c r="E27" s="26" t="s">
        <v>1334</v>
      </c>
      <c r="F27" s="26" t="s">
        <v>1315</v>
      </c>
    </row>
    <row r="28" ht="17.25" customHeight="1">
      <c r="B28" s="26" t="s">
        <v>440</v>
      </c>
      <c r="C28" s="26" t="s">
        <v>441</v>
      </c>
      <c r="D28" s="26" t="s">
        <v>1343</v>
      </c>
      <c r="E28" s="26" t="s">
        <v>1344</v>
      </c>
      <c r="F28" s="26" t="s">
        <v>1315</v>
      </c>
    </row>
    <row r="29" ht="17.25" customHeight="1">
      <c r="B29" s="26" t="s">
        <v>440</v>
      </c>
      <c r="C29" s="26" t="s">
        <v>441</v>
      </c>
      <c r="D29" s="26" t="s">
        <v>1345</v>
      </c>
      <c r="E29" s="26" t="s">
        <v>1344</v>
      </c>
      <c r="F29" s="26" t="s">
        <v>1315</v>
      </c>
    </row>
    <row r="30" ht="17.25" customHeight="1">
      <c r="B30" s="26" t="s">
        <v>440</v>
      </c>
      <c r="C30" s="26" t="s">
        <v>441</v>
      </c>
      <c r="D30" s="26" t="s">
        <v>1346</v>
      </c>
      <c r="E30" s="26" t="s">
        <v>1344</v>
      </c>
      <c r="F30" s="26" t="s">
        <v>1315</v>
      </c>
    </row>
    <row r="31" ht="17.25" customHeight="1">
      <c r="B31" s="26" t="s">
        <v>440</v>
      </c>
      <c r="C31" s="26" t="s">
        <v>441</v>
      </c>
      <c r="D31" s="26" t="s">
        <v>1347</v>
      </c>
      <c r="E31" s="26" t="s">
        <v>1344</v>
      </c>
      <c r="F31" s="26" t="s">
        <v>1315</v>
      </c>
    </row>
    <row r="32" ht="17.25" customHeight="1">
      <c r="A32" s="32"/>
      <c r="B32" s="26" t="s">
        <v>440</v>
      </c>
      <c r="C32" s="26" t="s">
        <v>441</v>
      </c>
      <c r="D32" s="26" t="s">
        <v>1348</v>
      </c>
      <c r="E32" s="26" t="s">
        <v>1344</v>
      </c>
      <c r="F32" s="26" t="s">
        <v>1315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7.25" customHeight="1">
      <c r="B33" s="26" t="s">
        <v>602</v>
      </c>
      <c r="C33" s="26" t="s">
        <v>1349</v>
      </c>
      <c r="D33" s="26" t="s">
        <v>1350</v>
      </c>
      <c r="E33" s="26" t="s">
        <v>1351</v>
      </c>
      <c r="F33" s="26" t="s">
        <v>1327</v>
      </c>
    </row>
    <row r="34" ht="17.25" customHeight="1">
      <c r="B34" s="26" t="s">
        <v>602</v>
      </c>
      <c r="C34" s="26" t="s">
        <v>1349</v>
      </c>
      <c r="D34" s="26" t="s">
        <v>1352</v>
      </c>
      <c r="E34" s="26" t="s">
        <v>1351</v>
      </c>
      <c r="F34" s="26" t="s">
        <v>1327</v>
      </c>
    </row>
    <row r="35" ht="17.25" customHeight="1">
      <c r="B35" s="26" t="s">
        <v>602</v>
      </c>
      <c r="C35" s="26" t="s">
        <v>1349</v>
      </c>
      <c r="D35" s="26" t="s">
        <v>1353</v>
      </c>
      <c r="E35" s="26" t="s">
        <v>1351</v>
      </c>
      <c r="F35" s="26" t="s">
        <v>1327</v>
      </c>
    </row>
    <row r="36" ht="17.25" customHeight="1">
      <c r="B36" s="26" t="s">
        <v>435</v>
      </c>
      <c r="C36" s="26" t="s">
        <v>436</v>
      </c>
      <c r="D36" s="26" t="s">
        <v>1354</v>
      </c>
      <c r="E36" s="26" t="s">
        <v>1355</v>
      </c>
      <c r="F36" s="26" t="s">
        <v>1315</v>
      </c>
    </row>
    <row r="37" ht="17.25" customHeight="1">
      <c r="B37" s="26" t="s">
        <v>435</v>
      </c>
      <c r="C37" s="26" t="s">
        <v>436</v>
      </c>
      <c r="D37" s="26" t="s">
        <v>1356</v>
      </c>
      <c r="E37" s="26" t="s">
        <v>1355</v>
      </c>
      <c r="F37" s="26" t="s">
        <v>1315</v>
      </c>
    </row>
    <row r="38" ht="17.25" customHeight="1">
      <c r="B38" s="26" t="s">
        <v>435</v>
      </c>
      <c r="C38" s="26" t="s">
        <v>436</v>
      </c>
      <c r="D38" s="26" t="s">
        <v>1357</v>
      </c>
      <c r="E38" s="26" t="s">
        <v>1355</v>
      </c>
      <c r="F38" s="26" t="s">
        <v>1315</v>
      </c>
    </row>
    <row r="39" ht="17.25" customHeight="1">
      <c r="B39" s="26" t="s">
        <v>493</v>
      </c>
      <c r="C39" s="26" t="s">
        <v>494</v>
      </c>
      <c r="D39" s="26" t="s">
        <v>1358</v>
      </c>
      <c r="E39" s="26" t="s">
        <v>1359</v>
      </c>
      <c r="F39" s="26" t="s">
        <v>1315</v>
      </c>
    </row>
    <row r="40" ht="17.25" customHeight="1">
      <c r="B40" s="26" t="s">
        <v>375</v>
      </c>
      <c r="C40" s="26" t="s">
        <v>376</v>
      </c>
      <c r="D40" s="26" t="s">
        <v>1360</v>
      </c>
      <c r="E40" s="26" t="s">
        <v>1361</v>
      </c>
      <c r="F40" s="26" t="s">
        <v>1315</v>
      </c>
    </row>
    <row r="41" ht="17.25" customHeight="1">
      <c r="B41" s="26" t="s">
        <v>375</v>
      </c>
      <c r="C41" s="26" t="s">
        <v>376</v>
      </c>
      <c r="D41" s="26" t="s">
        <v>1362</v>
      </c>
      <c r="E41" s="26" t="s">
        <v>1361</v>
      </c>
      <c r="F41" s="26" t="s">
        <v>1315</v>
      </c>
    </row>
    <row r="42" ht="17.25" customHeight="1">
      <c r="B42" s="26" t="s">
        <v>375</v>
      </c>
      <c r="C42" s="26" t="s">
        <v>376</v>
      </c>
      <c r="D42" s="26" t="s">
        <v>1363</v>
      </c>
      <c r="E42" s="26" t="s">
        <v>1361</v>
      </c>
      <c r="F42" s="26" t="s">
        <v>1315</v>
      </c>
    </row>
    <row r="43" ht="17.25" customHeight="1">
      <c r="B43" s="26" t="s">
        <v>375</v>
      </c>
      <c r="C43" s="26" t="s">
        <v>376</v>
      </c>
      <c r="D43" s="26" t="s">
        <v>1364</v>
      </c>
      <c r="E43" s="26" t="s">
        <v>1361</v>
      </c>
      <c r="F43" s="26" t="s">
        <v>1315</v>
      </c>
    </row>
    <row r="44" ht="17.25" customHeight="1">
      <c r="B44" s="26" t="s">
        <v>607</v>
      </c>
      <c r="C44" s="26" t="s">
        <v>1365</v>
      </c>
      <c r="D44" s="26" t="s">
        <v>1366</v>
      </c>
      <c r="E44" s="26" t="s">
        <v>1367</v>
      </c>
      <c r="F44" s="26" t="s">
        <v>1327</v>
      </c>
    </row>
    <row r="45" ht="17.25" customHeight="1">
      <c r="B45" s="26" t="s">
        <v>607</v>
      </c>
      <c r="C45" s="26" t="s">
        <v>1365</v>
      </c>
      <c r="D45" s="26" t="s">
        <v>1368</v>
      </c>
      <c r="E45" s="26" t="s">
        <v>1367</v>
      </c>
      <c r="F45" s="26" t="s">
        <v>1327</v>
      </c>
    </row>
    <row r="46" ht="17.25" customHeight="1">
      <c r="B46" s="26" t="s">
        <v>607</v>
      </c>
      <c r="C46" s="26" t="s">
        <v>1365</v>
      </c>
      <c r="D46" s="26" t="s">
        <v>1369</v>
      </c>
      <c r="E46" s="26" t="s">
        <v>1367</v>
      </c>
      <c r="F46" s="26" t="s">
        <v>1327</v>
      </c>
    </row>
    <row r="47" ht="17.25" customHeight="1">
      <c r="B47" s="26" t="s">
        <v>607</v>
      </c>
      <c r="C47" s="26" t="s">
        <v>1365</v>
      </c>
      <c r="D47" s="26" t="s">
        <v>1370</v>
      </c>
      <c r="E47" s="26" t="s">
        <v>1367</v>
      </c>
      <c r="F47" s="26" t="s">
        <v>1327</v>
      </c>
    </row>
    <row r="48" ht="17.25" customHeight="1">
      <c r="B48" s="26" t="s">
        <v>609</v>
      </c>
      <c r="C48" s="26" t="s">
        <v>1371</v>
      </c>
      <c r="D48" s="26" t="s">
        <v>1372</v>
      </c>
      <c r="E48" s="26" t="s">
        <v>1373</v>
      </c>
      <c r="F48" s="26" t="s">
        <v>1315</v>
      </c>
    </row>
    <row r="49" ht="17.25" customHeight="1">
      <c r="B49" s="26" t="s">
        <v>609</v>
      </c>
      <c r="C49" s="26" t="s">
        <v>1371</v>
      </c>
      <c r="D49" s="26" t="s">
        <v>1374</v>
      </c>
      <c r="E49" s="26" t="s">
        <v>1373</v>
      </c>
      <c r="F49" s="26" t="s">
        <v>1315</v>
      </c>
    </row>
    <row r="50" ht="17.25" customHeight="1">
      <c r="B50" s="26" t="s">
        <v>611</v>
      </c>
      <c r="C50" s="26" t="s">
        <v>1375</v>
      </c>
      <c r="D50" s="26" t="s">
        <v>1376</v>
      </c>
      <c r="E50" s="26" t="s">
        <v>1377</v>
      </c>
      <c r="F50" s="26" t="s">
        <v>1327</v>
      </c>
    </row>
    <row r="51" ht="17.25" customHeight="1">
      <c r="B51" s="26" t="s">
        <v>611</v>
      </c>
      <c r="C51" s="26" t="s">
        <v>1375</v>
      </c>
      <c r="D51" s="26" t="s">
        <v>1378</v>
      </c>
      <c r="E51" s="26" t="s">
        <v>1377</v>
      </c>
      <c r="F51" s="26" t="s">
        <v>1327</v>
      </c>
    </row>
    <row r="52" ht="17.25" customHeight="1">
      <c r="B52" s="26" t="s">
        <v>611</v>
      </c>
      <c r="C52" s="26" t="s">
        <v>1375</v>
      </c>
      <c r="D52" s="26" t="s">
        <v>1379</v>
      </c>
      <c r="E52" s="26" t="s">
        <v>1377</v>
      </c>
      <c r="F52" s="26" t="s">
        <v>1327</v>
      </c>
    </row>
    <row r="53" ht="17.25" customHeight="1">
      <c r="B53" s="26" t="s">
        <v>611</v>
      </c>
      <c r="C53" s="26" t="s">
        <v>1375</v>
      </c>
      <c r="D53" s="26" t="s">
        <v>1380</v>
      </c>
      <c r="E53" s="26" t="s">
        <v>1377</v>
      </c>
      <c r="F53" s="26" t="s">
        <v>1327</v>
      </c>
    </row>
    <row r="54" ht="17.25" customHeight="1">
      <c r="B54" s="26" t="s">
        <v>613</v>
      </c>
      <c r="C54" s="26" t="s">
        <v>1381</v>
      </c>
      <c r="D54" s="26" t="s">
        <v>1382</v>
      </c>
      <c r="E54" s="26" t="s">
        <v>1383</v>
      </c>
      <c r="F54" s="26" t="s">
        <v>1327</v>
      </c>
    </row>
    <row r="55" ht="17.25" customHeight="1">
      <c r="B55" s="26" t="s">
        <v>613</v>
      </c>
      <c r="C55" s="26" t="s">
        <v>1381</v>
      </c>
      <c r="D55" s="26" t="s">
        <v>1384</v>
      </c>
      <c r="E55" s="26" t="s">
        <v>1383</v>
      </c>
      <c r="F55" s="26" t="s">
        <v>1327</v>
      </c>
    </row>
    <row r="56" ht="17.25" customHeight="1">
      <c r="B56" s="26" t="s">
        <v>615</v>
      </c>
      <c r="C56" s="26" t="s">
        <v>1385</v>
      </c>
      <c r="D56" s="26" t="s">
        <v>1386</v>
      </c>
      <c r="E56" s="26" t="s">
        <v>1387</v>
      </c>
      <c r="F56" s="26" t="s">
        <v>1315</v>
      </c>
    </row>
    <row r="57" ht="17.25" customHeight="1">
      <c r="B57" s="26" t="s">
        <v>615</v>
      </c>
      <c r="C57" s="26" t="s">
        <v>1385</v>
      </c>
      <c r="D57" s="26" t="s">
        <v>1388</v>
      </c>
      <c r="E57" s="26" t="s">
        <v>1387</v>
      </c>
      <c r="F57" s="26" t="s">
        <v>1315</v>
      </c>
    </row>
    <row r="58" ht="17.25" customHeight="1">
      <c r="B58" s="26" t="s">
        <v>615</v>
      </c>
      <c r="C58" s="26" t="s">
        <v>1385</v>
      </c>
      <c r="D58" s="26" t="s">
        <v>1389</v>
      </c>
      <c r="E58" s="26" t="s">
        <v>1387</v>
      </c>
      <c r="F58" s="26" t="s">
        <v>1315</v>
      </c>
    </row>
    <row r="59" ht="17.25" customHeight="1">
      <c r="B59" s="26" t="s">
        <v>615</v>
      </c>
      <c r="C59" s="26" t="s">
        <v>1385</v>
      </c>
      <c r="D59" s="26" t="s">
        <v>1390</v>
      </c>
      <c r="E59" s="26" t="s">
        <v>1387</v>
      </c>
      <c r="F59" s="26" t="s">
        <v>1315</v>
      </c>
    </row>
    <row r="60" ht="17.25" customHeight="1">
      <c r="B60" s="26" t="s">
        <v>615</v>
      </c>
      <c r="C60" s="26" t="s">
        <v>1385</v>
      </c>
      <c r="D60" s="26" t="s">
        <v>1391</v>
      </c>
      <c r="E60" s="26" t="s">
        <v>1387</v>
      </c>
      <c r="F60" s="26" t="s">
        <v>1315</v>
      </c>
    </row>
    <row r="61" ht="17.25" customHeight="1">
      <c r="B61" s="26" t="s">
        <v>615</v>
      </c>
      <c r="C61" s="26" t="s">
        <v>1385</v>
      </c>
      <c r="D61" s="26" t="s">
        <v>1392</v>
      </c>
      <c r="E61" s="26" t="s">
        <v>1387</v>
      </c>
      <c r="F61" s="26" t="s">
        <v>1315</v>
      </c>
    </row>
    <row r="62" ht="17.25" customHeight="1">
      <c r="B62" s="26" t="s">
        <v>615</v>
      </c>
      <c r="C62" s="26" t="s">
        <v>1385</v>
      </c>
      <c r="D62" s="26" t="s">
        <v>1393</v>
      </c>
      <c r="E62" s="26" t="s">
        <v>1387</v>
      </c>
      <c r="F62" s="26" t="s">
        <v>1315</v>
      </c>
    </row>
    <row r="63" ht="17.25" customHeight="1">
      <c r="B63" s="26" t="s">
        <v>615</v>
      </c>
      <c r="C63" s="26" t="s">
        <v>1385</v>
      </c>
      <c r="D63" s="26" t="s">
        <v>1394</v>
      </c>
      <c r="E63" s="26" t="s">
        <v>1387</v>
      </c>
      <c r="F63" s="26" t="s">
        <v>1315</v>
      </c>
    </row>
    <row r="64" ht="17.25" customHeight="1">
      <c r="B64" s="26" t="s">
        <v>617</v>
      </c>
      <c r="C64" s="26" t="s">
        <v>1395</v>
      </c>
      <c r="D64" s="26" t="s">
        <v>1396</v>
      </c>
      <c r="E64" s="26" t="s">
        <v>1397</v>
      </c>
      <c r="F64" s="26" t="s">
        <v>1315</v>
      </c>
    </row>
    <row r="65" ht="17.25" customHeight="1">
      <c r="B65" s="26" t="s">
        <v>617</v>
      </c>
      <c r="C65" s="26" t="s">
        <v>1395</v>
      </c>
      <c r="D65" s="26" t="s">
        <v>1398</v>
      </c>
      <c r="E65" s="26" t="s">
        <v>1399</v>
      </c>
      <c r="F65" s="26" t="s">
        <v>1315</v>
      </c>
    </row>
    <row r="66" ht="17.25" customHeight="1">
      <c r="B66" s="26" t="s">
        <v>617</v>
      </c>
      <c r="C66" s="26" t="s">
        <v>1395</v>
      </c>
      <c r="D66" s="26" t="s">
        <v>1400</v>
      </c>
      <c r="E66" s="26" t="s">
        <v>1397</v>
      </c>
      <c r="F66" s="26" t="s">
        <v>1315</v>
      </c>
    </row>
    <row r="67" ht="17.25" customHeight="1">
      <c r="B67" s="26" t="s">
        <v>617</v>
      </c>
      <c r="C67" s="26" t="s">
        <v>1395</v>
      </c>
      <c r="D67" s="26" t="s">
        <v>1401</v>
      </c>
      <c r="E67" s="26" t="s">
        <v>1402</v>
      </c>
      <c r="F67" s="26" t="s">
        <v>1315</v>
      </c>
    </row>
    <row r="68" ht="17.25" customHeight="1">
      <c r="B68" s="26" t="s">
        <v>617</v>
      </c>
      <c r="C68" s="26" t="s">
        <v>1395</v>
      </c>
      <c r="D68" s="26" t="s">
        <v>1403</v>
      </c>
      <c r="E68" s="26" t="s">
        <v>1397</v>
      </c>
      <c r="F68" s="26" t="s">
        <v>1315</v>
      </c>
    </row>
    <row r="69" ht="17.25" customHeight="1">
      <c r="B69" s="26" t="s">
        <v>618</v>
      </c>
      <c r="C69" s="26" t="s">
        <v>1404</v>
      </c>
      <c r="D69" s="26" t="s">
        <v>1405</v>
      </c>
      <c r="E69" s="26" t="s">
        <v>1406</v>
      </c>
      <c r="F69" s="26" t="s">
        <v>1315</v>
      </c>
    </row>
    <row r="70" ht="17.25" customHeight="1">
      <c r="B70" s="26" t="s">
        <v>618</v>
      </c>
      <c r="C70" s="26" t="s">
        <v>1404</v>
      </c>
      <c r="D70" s="26" t="s">
        <v>1407</v>
      </c>
      <c r="E70" s="26" t="s">
        <v>1406</v>
      </c>
      <c r="F70" s="26" t="s">
        <v>1315</v>
      </c>
    </row>
    <row r="71" ht="17.25" customHeight="1">
      <c r="B71" s="26" t="s">
        <v>618</v>
      </c>
      <c r="C71" s="26" t="s">
        <v>1404</v>
      </c>
      <c r="D71" s="26" t="s">
        <v>1408</v>
      </c>
      <c r="E71" s="26" t="s">
        <v>1406</v>
      </c>
      <c r="F71" s="26" t="s">
        <v>1315</v>
      </c>
    </row>
    <row r="72" ht="17.25" customHeight="1">
      <c r="B72" s="26" t="s">
        <v>619</v>
      </c>
      <c r="C72" s="26" t="s">
        <v>1409</v>
      </c>
      <c r="D72" s="26" t="s">
        <v>1410</v>
      </c>
      <c r="E72" s="26" t="s">
        <v>1411</v>
      </c>
      <c r="F72" s="26" t="s">
        <v>1315</v>
      </c>
    </row>
    <row r="73" ht="17.25" customHeight="1">
      <c r="B73" s="26" t="s">
        <v>619</v>
      </c>
      <c r="C73" s="26" t="s">
        <v>1409</v>
      </c>
      <c r="D73" s="26" t="s">
        <v>1412</v>
      </c>
      <c r="E73" s="26" t="s">
        <v>1413</v>
      </c>
      <c r="F73" s="26" t="s">
        <v>1315</v>
      </c>
    </row>
    <row r="74" ht="17.25" customHeight="1">
      <c r="B74" s="26" t="s">
        <v>619</v>
      </c>
      <c r="C74" s="26" t="s">
        <v>1409</v>
      </c>
      <c r="D74" s="26" t="s">
        <v>1414</v>
      </c>
      <c r="E74" s="26" t="s">
        <v>1411</v>
      </c>
      <c r="F74" s="26" t="s">
        <v>1315</v>
      </c>
    </row>
    <row r="75" ht="17.25" customHeight="1">
      <c r="B75" s="26" t="s">
        <v>619</v>
      </c>
      <c r="C75" s="26" t="s">
        <v>1409</v>
      </c>
      <c r="D75" s="26" t="s">
        <v>1415</v>
      </c>
      <c r="E75" s="26" t="s">
        <v>1411</v>
      </c>
      <c r="F75" s="26" t="s">
        <v>1315</v>
      </c>
    </row>
    <row r="76" ht="17.25" customHeight="1">
      <c r="B76" s="26" t="s">
        <v>620</v>
      </c>
      <c r="C76" s="26" t="s">
        <v>1416</v>
      </c>
      <c r="D76" s="26" t="s">
        <v>1417</v>
      </c>
      <c r="E76" s="26" t="s">
        <v>1418</v>
      </c>
      <c r="F76" s="26" t="s">
        <v>1315</v>
      </c>
    </row>
    <row r="77" ht="17.25" customHeight="1">
      <c r="B77" s="26" t="s">
        <v>620</v>
      </c>
      <c r="C77" s="26" t="s">
        <v>1416</v>
      </c>
      <c r="D77" s="26" t="s">
        <v>1419</v>
      </c>
      <c r="E77" s="26" t="s">
        <v>1418</v>
      </c>
      <c r="F77" s="26" t="s">
        <v>1315</v>
      </c>
    </row>
    <row r="78" ht="17.25" customHeight="1">
      <c r="B78" s="26" t="s">
        <v>621</v>
      </c>
      <c r="C78" s="26" t="s">
        <v>1420</v>
      </c>
      <c r="D78" s="26" t="s">
        <v>1421</v>
      </c>
      <c r="E78" s="26" t="s">
        <v>1422</v>
      </c>
      <c r="F78" s="26" t="s">
        <v>1315</v>
      </c>
    </row>
    <row r="79" ht="17.25" customHeight="1">
      <c r="B79" s="26" t="s">
        <v>621</v>
      </c>
      <c r="C79" s="26" t="s">
        <v>1420</v>
      </c>
      <c r="D79" s="26" t="s">
        <v>1423</v>
      </c>
      <c r="E79" s="26" t="s">
        <v>1422</v>
      </c>
      <c r="F79" s="26" t="s">
        <v>1315</v>
      </c>
    </row>
    <row r="80" ht="17.25" customHeight="1">
      <c r="B80" s="26" t="s">
        <v>621</v>
      </c>
      <c r="C80" s="26" t="s">
        <v>1420</v>
      </c>
      <c r="D80" s="26" t="s">
        <v>1424</v>
      </c>
      <c r="E80" s="26" t="s">
        <v>1422</v>
      </c>
      <c r="F80" s="26" t="s">
        <v>1315</v>
      </c>
    </row>
    <row r="81" ht="17.25" customHeight="1">
      <c r="B81" s="26" t="s">
        <v>622</v>
      </c>
      <c r="C81" s="26" t="s">
        <v>1425</v>
      </c>
      <c r="D81" s="26" t="s">
        <v>1426</v>
      </c>
      <c r="E81" s="26" t="s">
        <v>1427</v>
      </c>
      <c r="F81" s="26" t="s">
        <v>1327</v>
      </c>
    </row>
    <row r="82" ht="17.25" customHeight="1">
      <c r="B82" s="26" t="s">
        <v>385</v>
      </c>
      <c r="C82" s="26" t="s">
        <v>386</v>
      </c>
      <c r="D82" s="26" t="s">
        <v>1428</v>
      </c>
      <c r="E82" s="26" t="s">
        <v>1429</v>
      </c>
      <c r="F82" s="26" t="s">
        <v>1315</v>
      </c>
    </row>
    <row r="83" ht="17.25" customHeight="1">
      <c r="B83" s="26" t="s">
        <v>385</v>
      </c>
      <c r="C83" s="26" t="s">
        <v>386</v>
      </c>
      <c r="D83" s="26" t="s">
        <v>1430</v>
      </c>
      <c r="E83" s="26" t="s">
        <v>1429</v>
      </c>
      <c r="F83" s="26" t="s">
        <v>1315</v>
      </c>
    </row>
    <row r="84" ht="17.25" customHeight="1">
      <c r="B84" s="26" t="s">
        <v>385</v>
      </c>
      <c r="C84" s="26" t="s">
        <v>386</v>
      </c>
      <c r="D84" s="26" t="s">
        <v>1431</v>
      </c>
      <c r="E84" s="26" t="s">
        <v>1429</v>
      </c>
      <c r="F84" s="26" t="s">
        <v>1315</v>
      </c>
    </row>
    <row r="85" ht="17.25" customHeight="1">
      <c r="B85" s="26" t="s">
        <v>623</v>
      </c>
      <c r="C85" s="26" t="s">
        <v>1432</v>
      </c>
      <c r="D85" s="26" t="s">
        <v>1433</v>
      </c>
      <c r="E85" s="26" t="s">
        <v>1434</v>
      </c>
      <c r="F85" s="26" t="s">
        <v>1315</v>
      </c>
    </row>
    <row r="86" ht="17.25" customHeight="1">
      <c r="B86" s="26" t="s">
        <v>462</v>
      </c>
      <c r="C86" s="26" t="s">
        <v>463</v>
      </c>
      <c r="D86" s="26" t="s">
        <v>1435</v>
      </c>
      <c r="E86" s="26" t="s">
        <v>1436</v>
      </c>
      <c r="F86" s="26" t="s">
        <v>1315</v>
      </c>
    </row>
    <row r="87" ht="17.25" customHeight="1">
      <c r="B87" s="26" t="s">
        <v>624</v>
      </c>
      <c r="C87" s="26" t="s">
        <v>1437</v>
      </c>
      <c r="D87" s="26" t="s">
        <v>1438</v>
      </c>
      <c r="E87" s="26" t="s">
        <v>1439</v>
      </c>
      <c r="F87" s="26" t="s">
        <v>1315</v>
      </c>
    </row>
    <row r="88" ht="17.25" customHeight="1">
      <c r="F88" s="26"/>
    </row>
    <row r="89" ht="17.25" customHeight="1"/>
    <row r="90" ht="17.25" customHeight="1"/>
    <row r="91" ht="17.25" customHeight="1">
      <c r="F91" s="26"/>
    </row>
    <row r="92" ht="17.25" customHeight="1"/>
    <row r="93" ht="17.25" customHeight="1"/>
    <row r="94" ht="17.25" customHeight="1"/>
    <row r="95" ht="17.25" customHeight="1"/>
    <row r="96" ht="17.25" customHeight="1">
      <c r="B96" s="26"/>
    </row>
    <row r="97" ht="17.25" customHeight="1">
      <c r="B97" s="26"/>
      <c r="C97" s="26"/>
    </row>
    <row r="98" ht="17.25" customHeight="1">
      <c r="B98" s="26"/>
      <c r="C98" s="26"/>
    </row>
    <row r="99" ht="17.25" customHeight="1">
      <c r="B99" s="26"/>
      <c r="C99" s="26"/>
    </row>
    <row r="100" ht="17.25" customHeight="1">
      <c r="B100" s="26"/>
      <c r="C100" s="26"/>
    </row>
    <row r="101" ht="17.25" customHeight="1">
      <c r="B101" s="26"/>
      <c r="C101" s="26"/>
    </row>
    <row r="102" ht="17.25" customHeight="1">
      <c r="B102" s="26"/>
    </row>
    <row r="103" ht="17.25" customHeight="1">
      <c r="B103" s="26"/>
    </row>
    <row r="104" ht="17.25" customHeight="1">
      <c r="B104" s="26"/>
    </row>
    <row r="105" ht="17.25" customHeight="1">
      <c r="B105" s="26"/>
    </row>
    <row r="106" ht="17.25" customHeight="1">
      <c r="B106" s="26"/>
    </row>
    <row r="107" ht="17.25" customHeight="1">
      <c r="B107" s="26"/>
    </row>
    <row r="108" ht="17.25" customHeight="1">
      <c r="B108" s="26"/>
    </row>
    <row r="109" ht="17.25" customHeight="1">
      <c r="B109" s="26"/>
    </row>
    <row r="110" ht="17.25" customHeight="1">
      <c r="B110" s="26"/>
    </row>
    <row r="111" ht="17.25" customHeight="1">
      <c r="B111" s="26"/>
    </row>
    <row r="112" ht="17.25" customHeight="1">
      <c r="B112" s="26"/>
    </row>
    <row r="113" ht="17.25" customHeight="1">
      <c r="B113" s="26"/>
    </row>
    <row r="114" ht="17.25" customHeight="1">
      <c r="B114" s="26"/>
    </row>
    <row r="115" ht="17.25" customHeight="1">
      <c r="B115" s="26"/>
    </row>
    <row r="116" ht="17.25" customHeight="1">
      <c r="B116" s="26"/>
    </row>
    <row r="117" ht="17.25" customHeight="1">
      <c r="B117" s="26"/>
    </row>
    <row r="118" ht="17.25" customHeight="1">
      <c r="B118" s="26"/>
    </row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4" width="19.88"/>
    <col customWidth="1" min="5" max="6" width="7.63"/>
    <col customWidth="1" min="7" max="7" width="26.13"/>
    <col customWidth="1" min="8" max="26" width="7.63"/>
  </cols>
  <sheetData>
    <row r="1" ht="17.25" customHeight="1">
      <c r="A1" s="26"/>
      <c r="B1" s="27" t="s">
        <v>1222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7.25" customHeight="1">
      <c r="A2" s="8"/>
      <c r="B2" s="8" t="s">
        <v>1440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7.25" customHeight="1"/>
    <row r="4" ht="17.25" customHeight="1"/>
    <row r="5" ht="17.25" customHeight="1">
      <c r="B5" s="33" t="s">
        <v>0</v>
      </c>
      <c r="C5" s="33" t="s">
        <v>1</v>
      </c>
      <c r="D5" s="33" t="s">
        <v>1224</v>
      </c>
      <c r="E5" s="33" t="s">
        <v>3</v>
      </c>
      <c r="F5" s="33" t="s">
        <v>1225</v>
      </c>
      <c r="G5" s="33" t="s">
        <v>1441</v>
      </c>
      <c r="H5" s="34" t="s">
        <v>692</v>
      </c>
    </row>
    <row r="6" ht="17.25" customHeight="1">
      <c r="B6" s="33" t="s">
        <v>573</v>
      </c>
      <c r="C6" s="33" t="s">
        <v>1442</v>
      </c>
      <c r="D6" s="33" t="s">
        <v>1443</v>
      </c>
      <c r="E6" s="33" t="s">
        <v>1444</v>
      </c>
      <c r="F6" s="33" t="s">
        <v>1445</v>
      </c>
      <c r="G6" s="33" t="s">
        <v>1446</v>
      </c>
      <c r="H6" s="33" t="s">
        <v>1447</v>
      </c>
    </row>
    <row r="7" ht="17.25" customHeight="1">
      <c r="B7" s="33" t="s">
        <v>573</v>
      </c>
      <c r="C7" s="33" t="s">
        <v>1442</v>
      </c>
      <c r="D7" s="33" t="s">
        <v>1443</v>
      </c>
      <c r="E7" s="33" t="s">
        <v>1444</v>
      </c>
      <c r="F7" s="33" t="s">
        <v>1445</v>
      </c>
      <c r="G7" s="33" t="s">
        <v>1448</v>
      </c>
      <c r="H7" s="33" t="s">
        <v>1447</v>
      </c>
    </row>
    <row r="8" ht="17.25" customHeight="1">
      <c r="B8" s="33" t="s">
        <v>573</v>
      </c>
      <c r="C8" s="33" t="s">
        <v>1442</v>
      </c>
      <c r="D8" s="33" t="s">
        <v>1449</v>
      </c>
      <c r="E8" s="33" t="s">
        <v>1450</v>
      </c>
      <c r="F8" s="33" t="s">
        <v>1451</v>
      </c>
      <c r="G8" s="33" t="s">
        <v>1452</v>
      </c>
      <c r="H8" s="33" t="s">
        <v>1447</v>
      </c>
    </row>
    <row r="9" ht="17.25" customHeight="1">
      <c r="B9" s="33" t="s">
        <v>573</v>
      </c>
      <c r="C9" s="33" t="s">
        <v>1442</v>
      </c>
      <c r="D9" s="33" t="s">
        <v>1449</v>
      </c>
      <c r="E9" s="33" t="s">
        <v>1450</v>
      </c>
      <c r="F9" s="33" t="s">
        <v>1451</v>
      </c>
      <c r="G9" s="33" t="s">
        <v>1453</v>
      </c>
      <c r="H9" s="33" t="s">
        <v>1447</v>
      </c>
    </row>
    <row r="10" ht="17.25" customHeight="1">
      <c r="B10" s="33" t="s">
        <v>573</v>
      </c>
      <c r="C10" s="33" t="s">
        <v>1442</v>
      </c>
      <c r="D10" s="33" t="s">
        <v>1449</v>
      </c>
      <c r="E10" s="33" t="s">
        <v>1454</v>
      </c>
      <c r="F10" s="33" t="s">
        <v>1238</v>
      </c>
      <c r="G10" s="33" t="s">
        <v>1452</v>
      </c>
      <c r="H10" s="33" t="s">
        <v>1447</v>
      </c>
    </row>
    <row r="11" ht="17.25" customHeight="1">
      <c r="B11" s="33" t="s">
        <v>573</v>
      </c>
      <c r="C11" s="33" t="s">
        <v>1442</v>
      </c>
      <c r="D11" s="33" t="s">
        <v>1449</v>
      </c>
      <c r="E11" s="33" t="s">
        <v>1454</v>
      </c>
      <c r="F11" s="33" t="s">
        <v>1238</v>
      </c>
      <c r="G11" s="33" t="s">
        <v>1453</v>
      </c>
      <c r="H11" s="33" t="s">
        <v>1447</v>
      </c>
    </row>
    <row r="12" ht="17.25" customHeight="1">
      <c r="B12" s="33" t="s">
        <v>573</v>
      </c>
      <c r="C12" s="33" t="s">
        <v>1442</v>
      </c>
      <c r="D12" s="33" t="s">
        <v>1455</v>
      </c>
      <c r="E12" s="33" t="s">
        <v>1456</v>
      </c>
      <c r="F12" s="33" t="s">
        <v>1457</v>
      </c>
      <c r="G12" s="33" t="s">
        <v>1458</v>
      </c>
      <c r="H12" s="33" t="s">
        <v>1447</v>
      </c>
    </row>
    <row r="13" ht="17.25" customHeight="1">
      <c r="B13" s="33" t="s">
        <v>287</v>
      </c>
      <c r="C13" s="33" t="s">
        <v>288</v>
      </c>
      <c r="D13" s="33" t="s">
        <v>1459</v>
      </c>
      <c r="E13" s="33" t="s">
        <v>289</v>
      </c>
      <c r="F13" s="33" t="s">
        <v>1305</v>
      </c>
      <c r="G13" s="33" t="s">
        <v>1460</v>
      </c>
      <c r="H13" s="33" t="s">
        <v>1461</v>
      </c>
    </row>
    <row r="14" ht="17.25" customHeight="1">
      <c r="B14" s="33" t="s">
        <v>287</v>
      </c>
      <c r="C14" s="33" t="s">
        <v>288</v>
      </c>
      <c r="D14" s="33" t="s">
        <v>1459</v>
      </c>
      <c r="E14" s="33" t="s">
        <v>289</v>
      </c>
      <c r="F14" s="33" t="s">
        <v>1305</v>
      </c>
      <c r="G14" s="33" t="s">
        <v>1462</v>
      </c>
      <c r="H14" s="33" t="s">
        <v>1461</v>
      </c>
    </row>
    <row r="15" ht="17.25" customHeight="1">
      <c r="B15" s="35" t="s">
        <v>1463</v>
      </c>
    </row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7.25" customHeight="1">
      <c r="A1" s="26"/>
      <c r="B1" s="27" t="s">
        <v>1222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7.25" customHeight="1">
      <c r="A2" s="8"/>
      <c r="B2" s="8" t="s">
        <v>1464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5">
      <c r="B5" s="36" t="s">
        <v>687</v>
      </c>
      <c r="C5" s="36" t="s">
        <v>688</v>
      </c>
      <c r="D5" s="36" t="s">
        <v>689</v>
      </c>
      <c r="E5" s="36" t="s">
        <v>690</v>
      </c>
      <c r="F5" s="36" t="s">
        <v>691</v>
      </c>
      <c r="G5" s="36" t="s">
        <v>1465</v>
      </c>
      <c r="H5" s="36" t="s">
        <v>1466</v>
      </c>
      <c r="I5" s="37" t="s">
        <v>1467</v>
      </c>
      <c r="J5" s="37" t="s">
        <v>1468</v>
      </c>
    </row>
    <row r="6">
      <c r="B6" s="24" t="s">
        <v>574</v>
      </c>
      <c r="C6" s="24" t="s">
        <v>1469</v>
      </c>
      <c r="D6" s="24" t="s">
        <v>1274</v>
      </c>
      <c r="E6" s="24" t="s">
        <v>1470</v>
      </c>
      <c r="F6" s="24" t="s">
        <v>1274</v>
      </c>
      <c r="G6" s="38">
        <v>1.2864079E7</v>
      </c>
      <c r="H6" s="38">
        <v>183773.0</v>
      </c>
      <c r="I6" s="39" t="s">
        <v>1471</v>
      </c>
      <c r="J6" s="39" t="s">
        <v>1472</v>
      </c>
    </row>
    <row r="7">
      <c r="B7" s="24" t="s">
        <v>574</v>
      </c>
      <c r="C7" s="24" t="s">
        <v>1469</v>
      </c>
      <c r="D7" s="24" t="s">
        <v>1473</v>
      </c>
      <c r="E7" s="24" t="s">
        <v>1474</v>
      </c>
      <c r="F7" s="24" t="s">
        <v>1473</v>
      </c>
      <c r="G7" s="38">
        <v>6092324.0</v>
      </c>
      <c r="H7" s="38">
        <v>20107.0</v>
      </c>
      <c r="I7" s="39" t="s">
        <v>1471</v>
      </c>
      <c r="J7" s="39" t="s">
        <v>1472</v>
      </c>
    </row>
    <row r="8">
      <c r="B8" s="24" t="s">
        <v>574</v>
      </c>
      <c r="C8" s="24" t="s">
        <v>1469</v>
      </c>
      <c r="D8" s="24" t="s">
        <v>1475</v>
      </c>
      <c r="E8" s="24" t="s">
        <v>1476</v>
      </c>
      <c r="F8" s="24" t="s">
        <v>894</v>
      </c>
      <c r="G8" s="38">
        <v>2.70512374E8</v>
      </c>
      <c r="H8" s="38">
        <v>2003795.0</v>
      </c>
      <c r="I8" s="39" t="s">
        <v>1471</v>
      </c>
      <c r="J8" s="39" t="s">
        <v>1472</v>
      </c>
    </row>
    <row r="9">
      <c r="B9" s="24" t="s">
        <v>574</v>
      </c>
      <c r="C9" s="24" t="s">
        <v>1477</v>
      </c>
      <c r="D9" s="24" t="s">
        <v>1478</v>
      </c>
      <c r="E9" s="24" t="s">
        <v>1479</v>
      </c>
      <c r="F9" s="24" t="s">
        <v>1473</v>
      </c>
      <c r="G9" s="38">
        <v>2.25483138E8</v>
      </c>
      <c r="H9" s="38">
        <v>722702.0</v>
      </c>
      <c r="I9" s="39" t="s">
        <v>1471</v>
      </c>
      <c r="J9" s="39" t="s">
        <v>1472</v>
      </c>
    </row>
    <row r="10">
      <c r="B10" s="24" t="s">
        <v>574</v>
      </c>
      <c r="C10" s="24" t="s">
        <v>1477</v>
      </c>
      <c r="D10" s="24" t="s">
        <v>1473</v>
      </c>
      <c r="E10" s="24" t="s">
        <v>1479</v>
      </c>
      <c r="F10" s="24" t="s">
        <v>1473</v>
      </c>
      <c r="G10" s="38">
        <v>2.46417849E8</v>
      </c>
      <c r="H10" s="38">
        <v>1184701.0</v>
      </c>
      <c r="I10" s="39" t="s">
        <v>1471</v>
      </c>
      <c r="J10" s="39" t="s">
        <v>1472</v>
      </c>
    </row>
    <row r="11">
      <c r="B11" s="24" t="s">
        <v>574</v>
      </c>
      <c r="C11" s="24" t="s">
        <v>1477</v>
      </c>
      <c r="D11" s="24" t="s">
        <v>1475</v>
      </c>
      <c r="E11" s="24" t="s">
        <v>1480</v>
      </c>
      <c r="F11" s="24" t="s">
        <v>894</v>
      </c>
      <c r="G11" s="38">
        <v>5.35581478E8</v>
      </c>
      <c r="H11" s="38">
        <v>1716608.0</v>
      </c>
      <c r="I11" s="39" t="s">
        <v>1471</v>
      </c>
      <c r="J11" s="39" t="s">
        <v>1472</v>
      </c>
    </row>
    <row r="12">
      <c r="B12" s="24" t="s">
        <v>574</v>
      </c>
      <c r="C12" s="24" t="s">
        <v>1477</v>
      </c>
      <c r="D12" s="24" t="s">
        <v>894</v>
      </c>
      <c r="E12" s="24" t="s">
        <v>1480</v>
      </c>
      <c r="F12" s="24" t="s">
        <v>894</v>
      </c>
      <c r="G12" s="38">
        <v>2.0014275E7</v>
      </c>
      <c r="H12" s="38">
        <v>96687.0</v>
      </c>
      <c r="I12" s="39" t="s">
        <v>1471</v>
      </c>
      <c r="J12" s="39" t="s">
        <v>1472</v>
      </c>
    </row>
    <row r="13">
      <c r="B13" s="24" t="s">
        <v>574</v>
      </c>
      <c r="C13" s="24" t="s">
        <v>1477</v>
      </c>
      <c r="D13" s="24" t="s">
        <v>925</v>
      </c>
      <c r="E13" s="24" t="s">
        <v>1481</v>
      </c>
      <c r="F13" s="24" t="s">
        <v>925</v>
      </c>
      <c r="G13" s="38">
        <v>1.43065707E8</v>
      </c>
      <c r="H13" s="38">
        <v>1363792.0</v>
      </c>
      <c r="I13" s="39" t="s">
        <v>1471</v>
      </c>
      <c r="J13" s="39" t="s">
        <v>1472</v>
      </c>
    </row>
    <row r="14">
      <c r="B14" s="24" t="s">
        <v>574</v>
      </c>
      <c r="C14" s="24" t="s">
        <v>1482</v>
      </c>
      <c r="D14" s="24" t="s">
        <v>708</v>
      </c>
      <c r="E14" s="24" t="s">
        <v>1483</v>
      </c>
      <c r="F14" s="24" t="s">
        <v>708</v>
      </c>
      <c r="G14" s="38">
        <v>2.1148567E7</v>
      </c>
      <c r="H14" s="38">
        <v>515819.0</v>
      </c>
      <c r="I14" s="39" t="s">
        <v>1471</v>
      </c>
      <c r="J14" s="24" t="s">
        <v>1482</v>
      </c>
    </row>
    <row r="15">
      <c r="B15" s="24" t="s">
        <v>574</v>
      </c>
      <c r="C15" s="24" t="s">
        <v>1482</v>
      </c>
      <c r="D15" s="24" t="s">
        <v>717</v>
      </c>
      <c r="E15" s="24" t="s">
        <v>1484</v>
      </c>
      <c r="F15" s="24" t="s">
        <v>717</v>
      </c>
      <c r="G15" s="38">
        <v>7891033.0</v>
      </c>
      <c r="H15" s="38">
        <v>151751.0</v>
      </c>
      <c r="I15" s="39" t="s">
        <v>1471</v>
      </c>
      <c r="J15" s="24" t="s">
        <v>1482</v>
      </c>
    </row>
    <row r="16">
      <c r="B16" s="24" t="s">
        <v>574</v>
      </c>
      <c r="C16" s="24" t="s">
        <v>1485</v>
      </c>
      <c r="D16" s="24" t="s">
        <v>1475</v>
      </c>
      <c r="E16" s="24" t="s">
        <v>1486</v>
      </c>
      <c r="F16" s="24" t="s">
        <v>1475</v>
      </c>
      <c r="G16" s="38">
        <v>7.5089448E7</v>
      </c>
      <c r="H16" s="38">
        <v>6608.0</v>
      </c>
      <c r="I16" s="39" t="s">
        <v>1471</v>
      </c>
      <c r="J16" s="24" t="s">
        <v>1482</v>
      </c>
    </row>
    <row r="17">
      <c r="B17" s="24" t="s">
        <v>586</v>
      </c>
      <c r="C17" s="24" t="s">
        <v>1487</v>
      </c>
      <c r="D17" s="24" t="s">
        <v>1488</v>
      </c>
      <c r="E17" s="24" t="s">
        <v>1489</v>
      </c>
      <c r="F17" s="24" t="s">
        <v>1488</v>
      </c>
      <c r="G17" s="38">
        <v>5.50391453E8</v>
      </c>
      <c r="H17" s="38">
        <v>481532.0</v>
      </c>
      <c r="I17" s="40" t="s">
        <v>1490</v>
      </c>
      <c r="J17" s="24" t="s">
        <v>1491</v>
      </c>
    </row>
    <row r="18">
      <c r="B18" s="24" t="s">
        <v>586</v>
      </c>
      <c r="C18" s="24" t="s">
        <v>1492</v>
      </c>
      <c r="D18" s="24" t="s">
        <v>1478</v>
      </c>
      <c r="E18" s="24" t="s">
        <v>1493</v>
      </c>
      <c r="F18" s="24" t="s">
        <v>1473</v>
      </c>
      <c r="G18" s="38">
        <v>5.27228568E8</v>
      </c>
      <c r="H18" s="38">
        <v>2478381.0</v>
      </c>
      <c r="I18" s="40" t="s">
        <v>1490</v>
      </c>
      <c r="J18" s="24" t="s">
        <v>1492</v>
      </c>
    </row>
    <row r="19">
      <c r="B19" s="24" t="s">
        <v>586</v>
      </c>
      <c r="C19" s="24" t="s">
        <v>1494</v>
      </c>
      <c r="D19" s="24" t="s">
        <v>730</v>
      </c>
      <c r="E19" s="24" t="s">
        <v>1495</v>
      </c>
      <c r="F19" s="24" t="s">
        <v>730</v>
      </c>
      <c r="G19" s="38">
        <v>3.4567066E7</v>
      </c>
      <c r="H19" s="38">
        <v>332376.0</v>
      </c>
      <c r="I19" s="40" t="s">
        <v>1490</v>
      </c>
      <c r="J19" s="24" t="s">
        <v>1494</v>
      </c>
    </row>
    <row r="20">
      <c r="B20" s="24" t="s">
        <v>586</v>
      </c>
      <c r="C20" s="24" t="s">
        <v>1494</v>
      </c>
      <c r="D20" s="24" t="s">
        <v>1475</v>
      </c>
      <c r="E20" s="24" t="s">
        <v>1496</v>
      </c>
      <c r="F20" s="24" t="s">
        <v>874</v>
      </c>
      <c r="G20" s="38">
        <v>1.2356912E8</v>
      </c>
      <c r="H20" s="38">
        <v>1154852.0</v>
      </c>
      <c r="I20" s="40" t="s">
        <v>1490</v>
      </c>
      <c r="J20" s="24" t="s">
        <v>1494</v>
      </c>
    </row>
    <row r="21">
      <c r="B21" s="41" t="s">
        <v>586</v>
      </c>
      <c r="C21" s="41" t="s">
        <v>1494</v>
      </c>
      <c r="D21" s="41" t="s">
        <v>941</v>
      </c>
      <c r="E21" s="41" t="s">
        <v>90</v>
      </c>
      <c r="F21" s="41" t="s">
        <v>941</v>
      </c>
      <c r="G21" s="42">
        <v>1.401614308E9</v>
      </c>
      <c r="H21" s="42">
        <v>1.3099199E7</v>
      </c>
      <c r="I21" s="43" t="s">
        <v>1490</v>
      </c>
      <c r="J21" s="41" t="s">
        <v>1494</v>
      </c>
    </row>
    <row r="22">
      <c r="B22" s="24" t="s">
        <v>586</v>
      </c>
      <c r="C22" s="24" t="s">
        <v>1497</v>
      </c>
      <c r="D22" s="24" t="s">
        <v>770</v>
      </c>
      <c r="E22" s="24" t="s">
        <v>1498</v>
      </c>
      <c r="F22" s="24" t="s">
        <v>770</v>
      </c>
      <c r="G22" s="38">
        <v>1.10978228E8</v>
      </c>
      <c r="H22" s="38">
        <v>1441276.0</v>
      </c>
      <c r="I22" s="40" t="s">
        <v>1490</v>
      </c>
      <c r="J22" s="39" t="s">
        <v>1499</v>
      </c>
    </row>
    <row r="23">
      <c r="B23" s="24" t="s">
        <v>586</v>
      </c>
      <c r="C23" s="24" t="s">
        <v>1497</v>
      </c>
      <c r="D23" s="24" t="s">
        <v>788</v>
      </c>
      <c r="E23" s="24" t="s">
        <v>1500</v>
      </c>
      <c r="F23" s="24" t="s">
        <v>788</v>
      </c>
      <c r="G23" s="38">
        <v>5.3654623E7</v>
      </c>
      <c r="H23" s="38">
        <v>755699.0</v>
      </c>
      <c r="I23" s="40" t="s">
        <v>1490</v>
      </c>
      <c r="J23" s="39" t="s">
        <v>1499</v>
      </c>
    </row>
    <row r="24">
      <c r="B24" s="24" t="s">
        <v>586</v>
      </c>
      <c r="C24" s="24" t="s">
        <v>1497</v>
      </c>
      <c r="D24" s="24" t="s">
        <v>1501</v>
      </c>
      <c r="E24" s="24" t="s">
        <v>1502</v>
      </c>
      <c r="F24" s="24" t="s">
        <v>1501</v>
      </c>
      <c r="G24" s="38">
        <v>8809333.0</v>
      </c>
      <c r="H24" s="38">
        <v>114407.0</v>
      </c>
      <c r="I24" s="40" t="s">
        <v>1490</v>
      </c>
      <c r="J24" s="39" t="s">
        <v>1499</v>
      </c>
    </row>
    <row r="25">
      <c r="B25" s="24" t="s">
        <v>586</v>
      </c>
      <c r="C25" s="24" t="s">
        <v>1497</v>
      </c>
      <c r="D25" s="24" t="s">
        <v>1488</v>
      </c>
      <c r="E25" s="24" t="s">
        <v>1503</v>
      </c>
      <c r="F25" s="24" t="s">
        <v>1488</v>
      </c>
      <c r="G25" s="38">
        <v>5.7917464E7</v>
      </c>
      <c r="H25" s="38">
        <v>752175.0</v>
      </c>
      <c r="I25" s="40" t="s">
        <v>1490</v>
      </c>
      <c r="J25" s="39" t="s">
        <v>1499</v>
      </c>
    </row>
    <row r="26">
      <c r="B26" s="24" t="s">
        <v>586</v>
      </c>
      <c r="C26" s="24" t="s">
        <v>1497</v>
      </c>
      <c r="D26" s="24" t="s">
        <v>1488</v>
      </c>
      <c r="E26" s="24" t="s">
        <v>1504</v>
      </c>
      <c r="F26" s="24" t="s">
        <v>1488</v>
      </c>
      <c r="G26" s="38">
        <v>9.01549935E8</v>
      </c>
      <c r="H26" s="38">
        <v>1.2879285E7</v>
      </c>
      <c r="I26" s="40" t="s">
        <v>1490</v>
      </c>
      <c r="J26" s="39" t="s">
        <v>1499</v>
      </c>
    </row>
    <row r="27">
      <c r="B27" s="24" t="s">
        <v>586</v>
      </c>
      <c r="C27" s="24" t="s">
        <v>1497</v>
      </c>
      <c r="D27" s="24" t="s">
        <v>810</v>
      </c>
      <c r="E27" s="24" t="s">
        <v>1505</v>
      </c>
      <c r="F27" s="24" t="s">
        <v>810</v>
      </c>
      <c r="G27" s="38">
        <v>800428.0</v>
      </c>
      <c r="H27" s="38">
        <v>11435.0</v>
      </c>
      <c r="I27" s="40" t="s">
        <v>1490</v>
      </c>
      <c r="J27" s="39" t="s">
        <v>1499</v>
      </c>
    </row>
    <row r="28">
      <c r="B28" s="24" t="s">
        <v>596</v>
      </c>
      <c r="C28" s="24" t="s">
        <v>1506</v>
      </c>
      <c r="D28" s="24" t="s">
        <v>798</v>
      </c>
      <c r="E28" s="24" t="s">
        <v>1507</v>
      </c>
      <c r="F28" s="24" t="s">
        <v>798</v>
      </c>
      <c r="G28" s="38">
        <v>1.0222673E7</v>
      </c>
      <c r="H28" s="38">
        <v>70650.0</v>
      </c>
      <c r="I28" s="24" t="s">
        <v>1508</v>
      </c>
      <c r="J28" s="39" t="s">
        <v>1509</v>
      </c>
    </row>
    <row r="29">
      <c r="B29" s="24" t="s">
        <v>596</v>
      </c>
      <c r="C29" s="24" t="s">
        <v>1506</v>
      </c>
      <c r="D29" s="24" t="s">
        <v>1139</v>
      </c>
      <c r="E29" s="24" t="s">
        <v>1510</v>
      </c>
      <c r="F29" s="24" t="s">
        <v>1139</v>
      </c>
      <c r="G29" s="38">
        <v>3.25399399E8</v>
      </c>
      <c r="H29" s="38">
        <v>1890451.0</v>
      </c>
      <c r="I29" s="24" t="s">
        <v>1508</v>
      </c>
      <c r="J29" s="39" t="s">
        <v>1509</v>
      </c>
    </row>
    <row r="30">
      <c r="B30" s="24" t="s">
        <v>596</v>
      </c>
      <c r="C30" s="24" t="s">
        <v>1511</v>
      </c>
      <c r="D30" s="24" t="s">
        <v>695</v>
      </c>
      <c r="E30" s="24" t="s">
        <v>1512</v>
      </c>
      <c r="F30" s="24" t="s">
        <v>695</v>
      </c>
      <c r="G30" s="38">
        <v>2.214005E7</v>
      </c>
      <c r="H30" s="38">
        <v>299190.0</v>
      </c>
      <c r="I30" s="24" t="s">
        <v>1508</v>
      </c>
      <c r="J30" s="24" t="s">
        <v>1511</v>
      </c>
    </row>
    <row r="31">
      <c r="B31" s="24" t="s">
        <v>596</v>
      </c>
      <c r="C31" s="24" t="s">
        <v>1511</v>
      </c>
      <c r="D31" s="24" t="s">
        <v>759</v>
      </c>
      <c r="E31" s="24" t="s">
        <v>1513</v>
      </c>
      <c r="F31" s="24" t="s">
        <v>759</v>
      </c>
      <c r="G31" s="38">
        <v>1002170.0</v>
      </c>
      <c r="H31" s="38">
        <v>11388.0</v>
      </c>
      <c r="I31" s="24" t="s">
        <v>1508</v>
      </c>
      <c r="J31" s="24" t="s">
        <v>1511</v>
      </c>
    </row>
    <row r="32">
      <c r="B32" s="24" t="s">
        <v>596</v>
      </c>
      <c r="C32" s="24" t="s">
        <v>1511</v>
      </c>
      <c r="D32" s="24" t="s">
        <v>783</v>
      </c>
      <c r="E32" s="24" t="s">
        <v>1514</v>
      </c>
      <c r="F32" s="24" t="s">
        <v>783</v>
      </c>
      <c r="G32" s="38">
        <v>1.2794358E7</v>
      </c>
      <c r="H32" s="38">
        <v>80468.0</v>
      </c>
      <c r="I32" s="24" t="s">
        <v>1508</v>
      </c>
      <c r="J32" s="24" t="s">
        <v>1511</v>
      </c>
    </row>
    <row r="33">
      <c r="B33" s="24" t="s">
        <v>596</v>
      </c>
      <c r="C33" s="24" t="s">
        <v>1511</v>
      </c>
      <c r="D33" s="24" t="s">
        <v>1024</v>
      </c>
      <c r="E33" s="24" t="s">
        <v>1515</v>
      </c>
      <c r="F33" s="24" t="s">
        <v>1024</v>
      </c>
      <c r="G33" s="38">
        <v>8610271.0</v>
      </c>
      <c r="H33" s="38">
        <v>46795.0</v>
      </c>
      <c r="I33" s="24" t="s">
        <v>1508</v>
      </c>
      <c r="J33" s="24" t="s">
        <v>1511</v>
      </c>
    </row>
    <row r="34">
      <c r="B34" s="24" t="s">
        <v>596</v>
      </c>
      <c r="C34" s="24" t="s">
        <v>1511</v>
      </c>
      <c r="D34" s="24" t="s">
        <v>812</v>
      </c>
      <c r="E34" s="24" t="s">
        <v>1516</v>
      </c>
      <c r="F34" s="24" t="s">
        <v>812</v>
      </c>
      <c r="G34" s="38">
        <v>295098.0</v>
      </c>
      <c r="H34" s="38">
        <v>1587.0</v>
      </c>
      <c r="I34" s="24" t="s">
        <v>1508</v>
      </c>
      <c r="J34" s="24" t="s">
        <v>1511</v>
      </c>
    </row>
    <row r="35">
      <c r="B35" s="24" t="s">
        <v>596</v>
      </c>
      <c r="C35" s="24" t="s">
        <v>1511</v>
      </c>
      <c r="D35" s="24" t="s">
        <v>816</v>
      </c>
      <c r="E35" s="24" t="s">
        <v>1517</v>
      </c>
      <c r="F35" s="24" t="s">
        <v>816</v>
      </c>
      <c r="G35" s="38">
        <v>3623274.0</v>
      </c>
      <c r="H35" s="38">
        <v>41174.0</v>
      </c>
      <c r="I35" s="24" t="s">
        <v>1508</v>
      </c>
      <c r="J35" s="24" t="s">
        <v>1511</v>
      </c>
    </row>
    <row r="36">
      <c r="B36" s="24" t="s">
        <v>596</v>
      </c>
      <c r="C36" s="24" t="s">
        <v>1511</v>
      </c>
      <c r="D36" s="24" t="s">
        <v>1038</v>
      </c>
      <c r="E36" s="24" t="s">
        <v>1518</v>
      </c>
      <c r="F36" s="24" t="s">
        <v>1038</v>
      </c>
      <c r="G36" s="38">
        <v>8075131.0</v>
      </c>
      <c r="H36" s="38">
        <v>50787.0</v>
      </c>
      <c r="I36" s="24" t="s">
        <v>1508</v>
      </c>
      <c r="J36" s="24" t="s">
        <v>1511</v>
      </c>
    </row>
    <row r="37">
      <c r="B37" s="24" t="s">
        <v>596</v>
      </c>
      <c r="C37" s="24" t="s">
        <v>1511</v>
      </c>
      <c r="D37" s="24" t="s">
        <v>874</v>
      </c>
      <c r="E37" s="24" t="s">
        <v>1519</v>
      </c>
      <c r="F37" s="24" t="s">
        <v>874</v>
      </c>
      <c r="G37" s="38">
        <v>3.3038905E7</v>
      </c>
      <c r="H37" s="38">
        <v>177629.0</v>
      </c>
      <c r="I37" s="24" t="s">
        <v>1508</v>
      </c>
      <c r="J37" s="24" t="s">
        <v>1511</v>
      </c>
    </row>
    <row r="38">
      <c r="B38" s="24" t="s">
        <v>596</v>
      </c>
      <c r="C38" s="24" t="s">
        <v>1511</v>
      </c>
      <c r="D38" s="24" t="s">
        <v>838</v>
      </c>
      <c r="E38" s="24" t="s">
        <v>1520</v>
      </c>
      <c r="F38" s="24" t="s">
        <v>838</v>
      </c>
      <c r="G38" s="38">
        <v>3013839.0</v>
      </c>
      <c r="H38" s="38">
        <v>18955.0</v>
      </c>
      <c r="I38" s="24" t="s">
        <v>1508</v>
      </c>
      <c r="J38" s="24" t="s">
        <v>1511</v>
      </c>
    </row>
    <row r="39">
      <c r="B39" s="24" t="s">
        <v>596</v>
      </c>
      <c r="C39" s="24" t="s">
        <v>1511</v>
      </c>
      <c r="D39" s="24" t="s">
        <v>900</v>
      </c>
      <c r="E39" s="24" t="s">
        <v>1521</v>
      </c>
      <c r="F39" s="24" t="s">
        <v>900</v>
      </c>
      <c r="G39" s="38">
        <v>670975.0</v>
      </c>
      <c r="H39" s="38">
        <v>3588.0</v>
      </c>
      <c r="I39" s="24" t="s">
        <v>1508</v>
      </c>
      <c r="J39" s="24" t="s">
        <v>1511</v>
      </c>
    </row>
    <row r="40">
      <c r="B40" s="24" t="s">
        <v>596</v>
      </c>
      <c r="C40" s="24" t="s">
        <v>1511</v>
      </c>
      <c r="D40" s="24" t="s">
        <v>925</v>
      </c>
      <c r="E40" s="24" t="s">
        <v>1522</v>
      </c>
      <c r="F40" s="24" t="s">
        <v>925</v>
      </c>
      <c r="G40" s="38">
        <v>3.29469403E8</v>
      </c>
      <c r="H40" s="38">
        <v>2447381.0</v>
      </c>
      <c r="I40" s="24" t="s">
        <v>1508</v>
      </c>
      <c r="J40" s="24" t="s">
        <v>1511</v>
      </c>
    </row>
    <row r="41">
      <c r="B41" s="24" t="s">
        <v>596</v>
      </c>
      <c r="C41" s="24" t="s">
        <v>1523</v>
      </c>
      <c r="D41" s="24" t="s">
        <v>1274</v>
      </c>
      <c r="E41" s="24" t="s">
        <v>1524</v>
      </c>
      <c r="F41" s="24" t="s">
        <v>1274</v>
      </c>
      <c r="G41" s="38">
        <v>3853237.0</v>
      </c>
      <c r="H41" s="38">
        <v>10795.0</v>
      </c>
      <c r="I41" s="24" t="s">
        <v>1508</v>
      </c>
      <c r="J41" s="39" t="s">
        <v>1525</v>
      </c>
    </row>
    <row r="42">
      <c r="B42" s="24" t="s">
        <v>596</v>
      </c>
      <c r="C42" s="24" t="s">
        <v>1526</v>
      </c>
      <c r="D42" s="24" t="s">
        <v>1478</v>
      </c>
      <c r="E42" s="24" t="s">
        <v>1527</v>
      </c>
      <c r="F42" s="24" t="s">
        <v>1473</v>
      </c>
      <c r="G42" s="38">
        <v>4.81658291E8</v>
      </c>
      <c r="H42" s="38">
        <v>4817594.0</v>
      </c>
      <c r="I42" s="24" t="s">
        <v>1508</v>
      </c>
      <c r="J42" s="39" t="s">
        <v>1528</v>
      </c>
    </row>
    <row r="43">
      <c r="B43" s="24" t="s">
        <v>596</v>
      </c>
      <c r="C43" s="24" t="s">
        <v>1526</v>
      </c>
      <c r="D43" s="24" t="s">
        <v>705</v>
      </c>
      <c r="E43" s="24" t="s">
        <v>1529</v>
      </c>
      <c r="F43" s="24" t="s">
        <v>705</v>
      </c>
      <c r="G43" s="38">
        <v>660810.0</v>
      </c>
      <c r="H43" s="38">
        <v>3496.0</v>
      </c>
      <c r="I43" s="24" t="s">
        <v>1508</v>
      </c>
      <c r="J43" s="39" t="s">
        <v>1528</v>
      </c>
    </row>
    <row r="44">
      <c r="B44" s="24" t="s">
        <v>596</v>
      </c>
      <c r="C44" s="24" t="s">
        <v>1526</v>
      </c>
      <c r="D44" s="24" t="s">
        <v>763</v>
      </c>
      <c r="E44" s="24" t="s">
        <v>1530</v>
      </c>
      <c r="F44" s="24" t="s">
        <v>1531</v>
      </c>
      <c r="G44" s="38">
        <v>1.724366964E9</v>
      </c>
      <c r="H44" s="38">
        <v>1.2128908E7</v>
      </c>
      <c r="I44" s="24" t="s">
        <v>1508</v>
      </c>
      <c r="J44" s="39" t="s">
        <v>1528</v>
      </c>
    </row>
    <row r="45">
      <c r="B45" s="24" t="s">
        <v>596</v>
      </c>
      <c r="C45" s="24" t="s">
        <v>1526</v>
      </c>
      <c r="D45" s="24" t="s">
        <v>953</v>
      </c>
      <c r="E45" s="24" t="s">
        <v>1532</v>
      </c>
      <c r="F45" s="24" t="s">
        <v>953</v>
      </c>
      <c r="G45" s="38">
        <v>1.5256913E7</v>
      </c>
      <c r="H45" s="38">
        <v>80724.0</v>
      </c>
      <c r="I45" s="24" t="s">
        <v>1508</v>
      </c>
      <c r="J45" s="39" t="s">
        <v>1528</v>
      </c>
    </row>
    <row r="46">
      <c r="B46" s="24" t="s">
        <v>596</v>
      </c>
      <c r="C46" s="24" t="s">
        <v>1526</v>
      </c>
      <c r="D46" s="24" t="s">
        <v>806</v>
      </c>
      <c r="E46" s="24" t="s">
        <v>1533</v>
      </c>
      <c r="F46" s="24" t="s">
        <v>806</v>
      </c>
      <c r="G46" s="38">
        <v>1.8498418E7</v>
      </c>
      <c r="H46" s="38">
        <v>83326.0</v>
      </c>
      <c r="I46" s="24" t="s">
        <v>1508</v>
      </c>
      <c r="J46" s="39" t="s">
        <v>1528</v>
      </c>
    </row>
    <row r="47">
      <c r="B47" s="24" t="s">
        <v>596</v>
      </c>
      <c r="C47" s="24" t="s">
        <v>1526</v>
      </c>
      <c r="D47" s="24" t="s">
        <v>1473</v>
      </c>
      <c r="E47" s="24" t="s">
        <v>1527</v>
      </c>
      <c r="F47" s="24" t="s">
        <v>1473</v>
      </c>
      <c r="G47" s="38">
        <v>3724099.0</v>
      </c>
      <c r="H47" s="38">
        <v>13444.0</v>
      </c>
      <c r="I47" s="24" t="s">
        <v>1508</v>
      </c>
      <c r="J47" s="39" t="s">
        <v>1528</v>
      </c>
    </row>
    <row r="48">
      <c r="B48" s="24" t="s">
        <v>596</v>
      </c>
      <c r="C48" s="24" t="s">
        <v>1526</v>
      </c>
      <c r="D48" s="24" t="s">
        <v>983</v>
      </c>
      <c r="E48" s="24" t="s">
        <v>1534</v>
      </c>
      <c r="F48" s="24" t="s">
        <v>983</v>
      </c>
      <c r="G48" s="38">
        <v>7639619.0</v>
      </c>
      <c r="H48" s="38">
        <v>50594.0</v>
      </c>
      <c r="I48" s="24" t="s">
        <v>1508</v>
      </c>
      <c r="J48" s="39" t="s">
        <v>1528</v>
      </c>
    </row>
    <row r="49">
      <c r="B49" s="24" t="s">
        <v>596</v>
      </c>
      <c r="C49" s="24" t="s">
        <v>1526</v>
      </c>
      <c r="D49" s="24" t="s">
        <v>734</v>
      </c>
      <c r="E49" s="24" t="s">
        <v>1535</v>
      </c>
      <c r="F49" s="24" t="s">
        <v>734</v>
      </c>
      <c r="G49" s="38">
        <v>4.0632036E7</v>
      </c>
      <c r="H49" s="38">
        <v>214984.0</v>
      </c>
      <c r="I49" s="24" t="s">
        <v>1508</v>
      </c>
      <c r="J49" s="39" t="s">
        <v>1528</v>
      </c>
    </row>
    <row r="50">
      <c r="B50" s="24" t="s">
        <v>596</v>
      </c>
      <c r="C50" s="24" t="s">
        <v>1526</v>
      </c>
      <c r="D50" s="24" t="s">
        <v>886</v>
      </c>
      <c r="E50" s="24" t="s">
        <v>1536</v>
      </c>
      <c r="F50" s="24" t="s">
        <v>886</v>
      </c>
      <c r="G50" s="38">
        <v>2.0519117E7</v>
      </c>
      <c r="H50" s="38">
        <v>108567.0</v>
      </c>
      <c r="I50" s="24" t="s">
        <v>1508</v>
      </c>
      <c r="J50" s="39" t="s">
        <v>1528</v>
      </c>
    </row>
    <row r="51">
      <c r="B51" s="24" t="s">
        <v>596</v>
      </c>
      <c r="C51" s="24" t="s">
        <v>1537</v>
      </c>
      <c r="D51" s="24" t="s">
        <v>1538</v>
      </c>
      <c r="E51" s="24" t="s">
        <v>1539</v>
      </c>
      <c r="F51" s="24" t="s">
        <v>1538</v>
      </c>
      <c r="G51" s="38">
        <v>637399.0</v>
      </c>
      <c r="H51" s="38">
        <v>5902.0</v>
      </c>
      <c r="I51" s="24" t="s">
        <v>1508</v>
      </c>
      <c r="J51" s="39" t="s">
        <v>1540</v>
      </c>
    </row>
    <row r="52">
      <c r="B52" s="24" t="s">
        <v>596</v>
      </c>
      <c r="C52" s="24" t="s">
        <v>1541</v>
      </c>
      <c r="D52" s="24" t="s">
        <v>739</v>
      </c>
      <c r="E52" s="24" t="s">
        <v>1542</v>
      </c>
      <c r="F52" s="24" t="s">
        <v>739</v>
      </c>
      <c r="G52" s="38">
        <v>5.645094E7</v>
      </c>
      <c r="H52" s="38">
        <v>181008.0</v>
      </c>
      <c r="I52" s="24" t="s">
        <v>1508</v>
      </c>
      <c r="J52" s="24" t="s">
        <v>1541</v>
      </c>
    </row>
    <row r="53">
      <c r="B53" s="24" t="s">
        <v>596</v>
      </c>
      <c r="C53" s="24" t="s">
        <v>1541</v>
      </c>
      <c r="D53" s="24" t="s">
        <v>695</v>
      </c>
      <c r="E53" s="24" t="s">
        <v>1543</v>
      </c>
      <c r="F53" s="24" t="s">
        <v>695</v>
      </c>
      <c r="G53" s="38">
        <v>1.85263246E8</v>
      </c>
      <c r="H53" s="38">
        <v>483413.0</v>
      </c>
      <c r="I53" s="24" t="s">
        <v>1508</v>
      </c>
      <c r="J53" s="24" t="s">
        <v>1541</v>
      </c>
    </row>
    <row r="54">
      <c r="B54" s="24" t="s">
        <v>596</v>
      </c>
      <c r="C54" s="24" t="s">
        <v>1541</v>
      </c>
      <c r="D54" s="24" t="s">
        <v>742</v>
      </c>
      <c r="E54" s="24" t="s">
        <v>1544</v>
      </c>
      <c r="F54" s="24" t="s">
        <v>742</v>
      </c>
      <c r="G54" s="38">
        <v>1.804594E7</v>
      </c>
      <c r="H54" s="38">
        <v>50128.0</v>
      </c>
      <c r="I54" s="24" t="s">
        <v>1508</v>
      </c>
      <c r="J54" s="24" t="s">
        <v>1541</v>
      </c>
    </row>
    <row r="55">
      <c r="B55" s="24" t="s">
        <v>596</v>
      </c>
      <c r="C55" s="24" t="s">
        <v>1541</v>
      </c>
      <c r="D55" s="24" t="s">
        <v>749</v>
      </c>
      <c r="E55" s="24" t="s">
        <v>1545</v>
      </c>
      <c r="F55" s="24" t="s">
        <v>749</v>
      </c>
      <c r="G55" s="38">
        <v>3.5038781E7</v>
      </c>
      <c r="H55" s="38">
        <v>97330.0</v>
      </c>
      <c r="I55" s="24" t="s">
        <v>1508</v>
      </c>
      <c r="J55" s="24" t="s">
        <v>1541</v>
      </c>
    </row>
    <row r="56">
      <c r="B56" s="24" t="s">
        <v>596</v>
      </c>
      <c r="C56" s="24" t="s">
        <v>1541</v>
      </c>
      <c r="D56" s="24" t="s">
        <v>757</v>
      </c>
      <c r="E56" s="24" t="s">
        <v>1546</v>
      </c>
      <c r="F56" s="24" t="s">
        <v>757</v>
      </c>
      <c r="G56" s="38">
        <v>1.5858715E7</v>
      </c>
      <c r="H56" s="38">
        <v>46125.0</v>
      </c>
      <c r="I56" s="24" t="s">
        <v>1508</v>
      </c>
      <c r="J56" s="24" t="s">
        <v>1541</v>
      </c>
    </row>
    <row r="57">
      <c r="B57" s="24" t="s">
        <v>596</v>
      </c>
      <c r="C57" s="24" t="s">
        <v>1541</v>
      </c>
      <c r="D57" s="24" t="s">
        <v>761</v>
      </c>
      <c r="E57" s="24" t="s">
        <v>1547</v>
      </c>
      <c r="F57" s="24" t="s">
        <v>761</v>
      </c>
      <c r="G57" s="38">
        <v>9.7332985E7</v>
      </c>
      <c r="H57" s="38">
        <v>230102.0</v>
      </c>
      <c r="I57" s="24" t="s">
        <v>1508</v>
      </c>
      <c r="J57" s="24" t="s">
        <v>1541</v>
      </c>
    </row>
    <row r="58">
      <c r="B58" s="24" t="s">
        <v>596</v>
      </c>
      <c r="C58" s="24" t="s">
        <v>1541</v>
      </c>
      <c r="D58" s="24" t="s">
        <v>761</v>
      </c>
      <c r="E58" s="24" t="s">
        <v>1548</v>
      </c>
      <c r="F58" s="24" t="s">
        <v>763</v>
      </c>
      <c r="G58" s="38">
        <v>9.9272381E7</v>
      </c>
      <c r="H58" s="38">
        <v>279641.0</v>
      </c>
      <c r="I58" s="24" t="s">
        <v>1508</v>
      </c>
      <c r="J58" s="24" t="s">
        <v>1541</v>
      </c>
    </row>
    <row r="59">
      <c r="B59" s="24" t="s">
        <v>596</v>
      </c>
      <c r="C59" s="24" t="s">
        <v>1541</v>
      </c>
      <c r="D59" s="24" t="s">
        <v>768</v>
      </c>
      <c r="E59" s="24" t="s">
        <v>1549</v>
      </c>
      <c r="F59" s="24" t="s">
        <v>768</v>
      </c>
      <c r="G59" s="38">
        <v>1.04578347E8</v>
      </c>
      <c r="H59" s="38">
        <v>264662.0</v>
      </c>
      <c r="I59" s="24" t="s">
        <v>1508</v>
      </c>
      <c r="J59" s="24" t="s">
        <v>1541</v>
      </c>
    </row>
    <row r="60">
      <c r="B60" s="24" t="s">
        <v>596</v>
      </c>
      <c r="C60" s="24" t="s">
        <v>1541</v>
      </c>
      <c r="D60" s="24" t="s">
        <v>774</v>
      </c>
      <c r="E60" s="24" t="s">
        <v>1550</v>
      </c>
      <c r="F60" s="24" t="s">
        <v>774</v>
      </c>
      <c r="G60" s="38">
        <v>1.8842843E7</v>
      </c>
      <c r="H60" s="38">
        <v>52341.0</v>
      </c>
      <c r="I60" s="24" t="s">
        <v>1508</v>
      </c>
      <c r="J60" s="24" t="s">
        <v>1541</v>
      </c>
    </row>
    <row r="61">
      <c r="B61" s="24" t="s">
        <v>596</v>
      </c>
      <c r="C61" s="24" t="s">
        <v>1541</v>
      </c>
      <c r="D61" s="24" t="s">
        <v>1061</v>
      </c>
      <c r="E61" s="24" t="s">
        <v>1551</v>
      </c>
      <c r="F61" s="24" t="s">
        <v>1061</v>
      </c>
      <c r="G61" s="38">
        <v>6.8158714E7</v>
      </c>
      <c r="H61" s="38">
        <v>217103.0</v>
      </c>
      <c r="I61" s="24" t="s">
        <v>1508</v>
      </c>
      <c r="J61" s="24" t="s">
        <v>1541</v>
      </c>
    </row>
    <row r="62">
      <c r="B62" s="24" t="s">
        <v>596</v>
      </c>
      <c r="C62" s="24" t="s">
        <v>1541</v>
      </c>
      <c r="D62" s="24" t="s">
        <v>779</v>
      </c>
      <c r="E62" s="24" t="s">
        <v>1552</v>
      </c>
      <c r="F62" s="24" t="s">
        <v>779</v>
      </c>
      <c r="G62" s="38">
        <v>2.8824988E7</v>
      </c>
      <c r="H62" s="38">
        <v>80069.0</v>
      </c>
      <c r="I62" s="24" t="s">
        <v>1508</v>
      </c>
      <c r="J62" s="24" t="s">
        <v>1541</v>
      </c>
    </row>
    <row r="63">
      <c r="B63" s="24" t="s">
        <v>596</v>
      </c>
      <c r="C63" s="24" t="s">
        <v>1541</v>
      </c>
      <c r="D63" s="24" t="s">
        <v>783</v>
      </c>
      <c r="E63" s="24" t="s">
        <v>1553</v>
      </c>
      <c r="F63" s="24" t="s">
        <v>783</v>
      </c>
      <c r="G63" s="38">
        <v>4531493.0</v>
      </c>
      <c r="H63" s="38">
        <v>12587.0</v>
      </c>
      <c r="I63" s="24" t="s">
        <v>1508</v>
      </c>
      <c r="J63" s="24" t="s">
        <v>1541</v>
      </c>
    </row>
    <row r="64">
      <c r="B64" s="24" t="s">
        <v>596</v>
      </c>
      <c r="C64" s="24" t="s">
        <v>1541</v>
      </c>
      <c r="D64" s="24" t="s">
        <v>1554</v>
      </c>
      <c r="E64" s="24" t="s">
        <v>1555</v>
      </c>
      <c r="F64" s="24" t="s">
        <v>1554</v>
      </c>
      <c r="G64" s="38">
        <v>1.4285169E7</v>
      </c>
      <c r="H64" s="38">
        <v>37910.0</v>
      </c>
      <c r="I64" s="24" t="s">
        <v>1508</v>
      </c>
      <c r="J64" s="24" t="s">
        <v>1541</v>
      </c>
    </row>
    <row r="65">
      <c r="B65" s="24" t="s">
        <v>596</v>
      </c>
      <c r="C65" s="24" t="s">
        <v>1541</v>
      </c>
      <c r="D65" s="24" t="s">
        <v>786</v>
      </c>
      <c r="E65" s="24" t="s">
        <v>1556</v>
      </c>
      <c r="F65" s="24" t="s">
        <v>786</v>
      </c>
      <c r="G65" s="38">
        <v>6.6984032E7</v>
      </c>
      <c r="H65" s="38">
        <v>204700.0</v>
      </c>
      <c r="I65" s="24" t="s">
        <v>1508</v>
      </c>
      <c r="J65" s="24" t="s">
        <v>1541</v>
      </c>
    </row>
    <row r="66">
      <c r="B66" s="24" t="s">
        <v>596</v>
      </c>
      <c r="C66" s="24" t="s">
        <v>1541</v>
      </c>
      <c r="D66" s="24" t="s">
        <v>1274</v>
      </c>
      <c r="E66" s="24" t="s">
        <v>1557</v>
      </c>
      <c r="F66" s="24" t="s">
        <v>1274</v>
      </c>
      <c r="G66" s="38">
        <v>3697383.0</v>
      </c>
      <c r="H66" s="38">
        <v>9505.0</v>
      </c>
      <c r="I66" s="24" t="s">
        <v>1508</v>
      </c>
      <c r="J66" s="24" t="s">
        <v>1541</v>
      </c>
    </row>
    <row r="67">
      <c r="B67" s="24" t="s">
        <v>596</v>
      </c>
      <c r="C67" s="24" t="s">
        <v>1541</v>
      </c>
      <c r="D67" s="24" t="s">
        <v>1501</v>
      </c>
      <c r="E67" s="24" t="s">
        <v>1558</v>
      </c>
      <c r="F67" s="24" t="s">
        <v>1501</v>
      </c>
      <c r="G67" s="38">
        <v>2219508.0</v>
      </c>
      <c r="H67" s="38">
        <v>6165.0</v>
      </c>
      <c r="I67" s="24" t="s">
        <v>1508</v>
      </c>
      <c r="J67" s="24" t="s">
        <v>1541</v>
      </c>
    </row>
    <row r="68">
      <c r="B68" s="24" t="s">
        <v>596</v>
      </c>
      <c r="C68" s="24" t="s">
        <v>1541</v>
      </c>
      <c r="D68" s="24" t="s">
        <v>796</v>
      </c>
      <c r="E68" s="24" t="s">
        <v>1559</v>
      </c>
      <c r="F68" s="24" t="s">
        <v>796</v>
      </c>
      <c r="G68" s="38">
        <v>2.4275068E7</v>
      </c>
      <c r="H68" s="38">
        <v>70009.0</v>
      </c>
      <c r="I68" s="24" t="s">
        <v>1508</v>
      </c>
      <c r="J68" s="24" t="s">
        <v>1541</v>
      </c>
    </row>
    <row r="69">
      <c r="B69" s="24" t="s">
        <v>596</v>
      </c>
      <c r="C69" s="24" t="s">
        <v>1541</v>
      </c>
      <c r="D69" s="24" t="s">
        <v>800</v>
      </c>
      <c r="E69" s="24" t="s">
        <v>1560</v>
      </c>
      <c r="F69" s="24" t="s">
        <v>800</v>
      </c>
      <c r="G69" s="38">
        <v>9.7812448E7</v>
      </c>
      <c r="H69" s="38">
        <v>293364.0</v>
      </c>
      <c r="I69" s="24" t="s">
        <v>1508</v>
      </c>
      <c r="J69" s="24" t="s">
        <v>1541</v>
      </c>
    </row>
    <row r="70">
      <c r="B70" s="24" t="s">
        <v>596</v>
      </c>
      <c r="C70" s="24" t="s">
        <v>1541</v>
      </c>
      <c r="D70" s="24" t="s">
        <v>953</v>
      </c>
      <c r="E70" s="24" t="s">
        <v>1561</v>
      </c>
      <c r="F70" s="24" t="s">
        <v>953</v>
      </c>
      <c r="G70" s="38">
        <v>1.2594598E7</v>
      </c>
      <c r="H70" s="38">
        <v>34985.0</v>
      </c>
      <c r="I70" s="24" t="s">
        <v>1508</v>
      </c>
      <c r="J70" s="24" t="s">
        <v>1541</v>
      </c>
    </row>
    <row r="71">
      <c r="B71" s="24" t="s">
        <v>596</v>
      </c>
      <c r="C71" s="24" t="s">
        <v>1541</v>
      </c>
      <c r="D71" s="24" t="s">
        <v>814</v>
      </c>
      <c r="E71" s="24" t="s">
        <v>1562</v>
      </c>
      <c r="F71" s="24" t="s">
        <v>814</v>
      </c>
      <c r="G71" s="38">
        <v>6.5156479E7</v>
      </c>
      <c r="H71" s="38">
        <v>223905.0</v>
      </c>
      <c r="I71" s="24" t="s">
        <v>1508</v>
      </c>
      <c r="J71" s="24" t="s">
        <v>1541</v>
      </c>
    </row>
    <row r="72">
      <c r="B72" s="24" t="s">
        <v>596</v>
      </c>
      <c r="C72" s="24" t="s">
        <v>1541</v>
      </c>
      <c r="D72" s="24" t="s">
        <v>816</v>
      </c>
      <c r="E72" s="24" t="s">
        <v>1563</v>
      </c>
      <c r="F72" s="24" t="s">
        <v>816</v>
      </c>
      <c r="G72" s="38">
        <v>9.6432157E7</v>
      </c>
      <c r="H72" s="38">
        <v>264140.0</v>
      </c>
      <c r="I72" s="24" t="s">
        <v>1508</v>
      </c>
      <c r="J72" s="24" t="s">
        <v>1541</v>
      </c>
    </row>
    <row r="73">
      <c r="B73" s="24" t="s">
        <v>596</v>
      </c>
      <c r="C73" s="24" t="s">
        <v>1541</v>
      </c>
      <c r="D73" s="24" t="s">
        <v>818</v>
      </c>
      <c r="E73" s="24" t="s">
        <v>1564</v>
      </c>
      <c r="F73" s="24" t="s">
        <v>818</v>
      </c>
      <c r="G73" s="38">
        <v>2.3694119E7</v>
      </c>
      <c r="H73" s="38">
        <v>74044.0</v>
      </c>
      <c r="I73" s="24" t="s">
        <v>1508</v>
      </c>
      <c r="J73" s="24" t="s">
        <v>1541</v>
      </c>
    </row>
    <row r="74">
      <c r="B74" s="24" t="s">
        <v>596</v>
      </c>
      <c r="C74" s="24" t="s">
        <v>1541</v>
      </c>
      <c r="D74" s="24" t="s">
        <v>828</v>
      </c>
      <c r="E74" s="24" t="s">
        <v>1565</v>
      </c>
      <c r="F74" s="24" t="s">
        <v>828</v>
      </c>
      <c r="G74" s="38">
        <v>6.4984944E7</v>
      </c>
      <c r="H74" s="38">
        <v>203022.0</v>
      </c>
      <c r="I74" s="24" t="s">
        <v>1508</v>
      </c>
      <c r="J74" s="24" t="s">
        <v>1541</v>
      </c>
    </row>
    <row r="75">
      <c r="B75" s="24" t="s">
        <v>596</v>
      </c>
      <c r="C75" s="24" t="s">
        <v>1541</v>
      </c>
      <c r="D75" s="24" t="s">
        <v>830</v>
      </c>
      <c r="E75" s="24" t="s">
        <v>1566</v>
      </c>
      <c r="F75" s="24" t="s">
        <v>830</v>
      </c>
      <c r="G75" s="38">
        <v>9719482.0</v>
      </c>
      <c r="H75" s="38">
        <v>28988.0</v>
      </c>
      <c r="I75" s="24" t="s">
        <v>1508</v>
      </c>
      <c r="J75" s="24" t="s">
        <v>1541</v>
      </c>
    </row>
    <row r="76">
      <c r="B76" s="24" t="s">
        <v>596</v>
      </c>
      <c r="C76" s="24" t="s">
        <v>1541</v>
      </c>
      <c r="D76" s="24" t="s">
        <v>834</v>
      </c>
      <c r="E76" s="24" t="s">
        <v>1567</v>
      </c>
      <c r="F76" s="24" t="s">
        <v>834</v>
      </c>
      <c r="G76" s="38">
        <v>658275.0</v>
      </c>
      <c r="H76" s="38">
        <v>1829.0</v>
      </c>
      <c r="I76" s="24" t="s">
        <v>1508</v>
      </c>
      <c r="J76" s="24" t="s">
        <v>1541</v>
      </c>
    </row>
    <row r="77">
      <c r="B77" s="24" t="s">
        <v>596</v>
      </c>
      <c r="C77" s="24" t="s">
        <v>1541</v>
      </c>
      <c r="D77" s="24" t="s">
        <v>836</v>
      </c>
      <c r="E77" s="24" t="s">
        <v>1568</v>
      </c>
      <c r="F77" s="24" t="s">
        <v>836</v>
      </c>
      <c r="G77" s="38">
        <v>2.5657469E7</v>
      </c>
      <c r="H77" s="38">
        <v>66863.0</v>
      </c>
      <c r="I77" s="24" t="s">
        <v>1508</v>
      </c>
      <c r="J77" s="24" t="s">
        <v>1541</v>
      </c>
    </row>
    <row r="78">
      <c r="B78" s="24" t="s">
        <v>596</v>
      </c>
      <c r="C78" s="24" t="s">
        <v>1541</v>
      </c>
      <c r="D78" s="24" t="s">
        <v>710</v>
      </c>
      <c r="E78" s="24" t="s">
        <v>1569</v>
      </c>
      <c r="F78" s="24" t="s">
        <v>710</v>
      </c>
      <c r="G78" s="38">
        <v>8.6577764E7</v>
      </c>
      <c r="H78" s="38">
        <v>263383.0</v>
      </c>
      <c r="I78" s="24" t="s">
        <v>1508</v>
      </c>
      <c r="J78" s="24" t="s">
        <v>1541</v>
      </c>
    </row>
    <row r="79">
      <c r="B79" s="24" t="s">
        <v>596</v>
      </c>
      <c r="C79" s="24" t="s">
        <v>1541</v>
      </c>
      <c r="D79" s="24" t="s">
        <v>862</v>
      </c>
      <c r="E79" s="24" t="s">
        <v>1570</v>
      </c>
      <c r="F79" s="24" t="s">
        <v>862</v>
      </c>
      <c r="G79" s="38">
        <v>4.7871519E7</v>
      </c>
      <c r="H79" s="38">
        <v>113171.0</v>
      </c>
      <c r="I79" s="24" t="s">
        <v>1508</v>
      </c>
      <c r="J79" s="24" t="s">
        <v>1541</v>
      </c>
    </row>
    <row r="80">
      <c r="B80" s="24" t="s">
        <v>596</v>
      </c>
      <c r="C80" s="24" t="s">
        <v>1541</v>
      </c>
      <c r="D80" s="24" t="s">
        <v>730</v>
      </c>
      <c r="E80" s="24" t="s">
        <v>1571</v>
      </c>
      <c r="F80" s="24" t="s">
        <v>730</v>
      </c>
      <c r="G80" s="38">
        <v>3.2239434E7</v>
      </c>
      <c r="H80" s="38">
        <v>76216.0</v>
      </c>
      <c r="I80" s="24" t="s">
        <v>1508</v>
      </c>
      <c r="J80" s="24" t="s">
        <v>1541</v>
      </c>
    </row>
    <row r="81">
      <c r="B81" s="24" t="s">
        <v>596</v>
      </c>
      <c r="C81" s="24" t="s">
        <v>1541</v>
      </c>
      <c r="D81" s="24" t="s">
        <v>870</v>
      </c>
      <c r="E81" s="24" t="s">
        <v>1572</v>
      </c>
      <c r="F81" s="24" t="s">
        <v>870</v>
      </c>
      <c r="G81" s="38">
        <v>4.3721689E7</v>
      </c>
      <c r="H81" s="38">
        <v>112697.0</v>
      </c>
      <c r="I81" s="24" t="s">
        <v>1508</v>
      </c>
      <c r="J81" s="24" t="s">
        <v>1541</v>
      </c>
    </row>
    <row r="82">
      <c r="B82" s="24" t="s">
        <v>596</v>
      </c>
      <c r="C82" s="24" t="s">
        <v>1541</v>
      </c>
      <c r="D82" s="24" t="s">
        <v>734</v>
      </c>
      <c r="E82" s="24" t="s">
        <v>1573</v>
      </c>
      <c r="F82" s="24" t="s">
        <v>734</v>
      </c>
      <c r="G82" s="38">
        <v>1.8182347E7</v>
      </c>
      <c r="H82" s="38">
        <v>50507.0</v>
      </c>
      <c r="I82" s="24" t="s">
        <v>1508</v>
      </c>
      <c r="J82" s="24" t="s">
        <v>1541</v>
      </c>
    </row>
    <row r="83">
      <c r="B83" s="24" t="s">
        <v>596</v>
      </c>
      <c r="C83" s="24" t="s">
        <v>1541</v>
      </c>
      <c r="D83" s="24" t="s">
        <v>880</v>
      </c>
      <c r="E83" s="24" t="s">
        <v>1574</v>
      </c>
      <c r="F83" s="24" t="s">
        <v>880</v>
      </c>
      <c r="G83" s="38">
        <v>3.517098852E9</v>
      </c>
      <c r="H83" s="38">
        <v>1.3423022E7</v>
      </c>
      <c r="I83" s="24" t="s">
        <v>1508</v>
      </c>
      <c r="J83" s="24" t="s">
        <v>1541</v>
      </c>
    </row>
    <row r="84">
      <c r="B84" s="24" t="s">
        <v>596</v>
      </c>
      <c r="C84" s="24" t="s">
        <v>1541</v>
      </c>
      <c r="D84" s="24" t="s">
        <v>880</v>
      </c>
      <c r="E84" s="24" t="s">
        <v>1575</v>
      </c>
      <c r="F84" s="24" t="s">
        <v>880</v>
      </c>
      <c r="G84" s="38">
        <v>1.268520162E9</v>
      </c>
      <c r="H84" s="38">
        <v>2536204.0</v>
      </c>
      <c r="I84" s="24" t="s">
        <v>1508</v>
      </c>
      <c r="J84" s="24" t="s">
        <v>1541</v>
      </c>
    </row>
    <row r="85">
      <c r="B85" s="24" t="s">
        <v>596</v>
      </c>
      <c r="C85" s="24" t="s">
        <v>1541</v>
      </c>
      <c r="D85" s="24" t="s">
        <v>886</v>
      </c>
      <c r="E85" s="24" t="s">
        <v>1576</v>
      </c>
      <c r="F85" s="24" t="s">
        <v>886</v>
      </c>
      <c r="G85" s="38">
        <v>1.4856117E7</v>
      </c>
      <c r="H85" s="38">
        <v>35121.0</v>
      </c>
      <c r="I85" s="24" t="s">
        <v>1508</v>
      </c>
      <c r="J85" s="24" t="s">
        <v>1541</v>
      </c>
    </row>
    <row r="86">
      <c r="B86" s="24" t="s">
        <v>596</v>
      </c>
      <c r="C86" s="24" t="s">
        <v>1541</v>
      </c>
      <c r="D86" s="24" t="s">
        <v>898</v>
      </c>
      <c r="E86" s="24" t="s">
        <v>1577</v>
      </c>
      <c r="F86" s="24" t="s">
        <v>898</v>
      </c>
      <c r="G86" s="38">
        <v>1.1888874E7</v>
      </c>
      <c r="H86" s="38">
        <v>33025.0</v>
      </c>
      <c r="I86" s="24" t="s">
        <v>1508</v>
      </c>
      <c r="J86" s="24" t="s">
        <v>1541</v>
      </c>
    </row>
    <row r="87">
      <c r="B87" s="24" t="s">
        <v>596</v>
      </c>
      <c r="C87" s="24" t="s">
        <v>1541</v>
      </c>
      <c r="D87" s="24" t="s">
        <v>717</v>
      </c>
      <c r="E87" s="24" t="s">
        <v>1578</v>
      </c>
      <c r="F87" s="24" t="s">
        <v>717</v>
      </c>
      <c r="G87" s="38">
        <v>3.3642465E7</v>
      </c>
      <c r="H87" s="38">
        <v>79533.0</v>
      </c>
      <c r="I87" s="24" t="s">
        <v>1508</v>
      </c>
      <c r="J87" s="24" t="s">
        <v>1541</v>
      </c>
    </row>
    <row r="88">
      <c r="B88" s="24" t="s">
        <v>596</v>
      </c>
      <c r="C88" s="24" t="s">
        <v>1541</v>
      </c>
      <c r="D88" s="24" t="s">
        <v>1176</v>
      </c>
      <c r="E88" s="24" t="s">
        <v>1579</v>
      </c>
      <c r="F88" s="24" t="s">
        <v>1176</v>
      </c>
      <c r="G88" s="38">
        <v>3192777.0</v>
      </c>
      <c r="H88" s="38">
        <v>8869.0</v>
      </c>
      <c r="I88" s="24" t="s">
        <v>1508</v>
      </c>
      <c r="J88" s="24" t="s">
        <v>1541</v>
      </c>
    </row>
    <row r="89">
      <c r="B89" s="24" t="s">
        <v>596</v>
      </c>
      <c r="C89" s="24" t="s">
        <v>1541</v>
      </c>
      <c r="D89" s="24" t="s">
        <v>915</v>
      </c>
      <c r="E89" s="24" t="s">
        <v>1580</v>
      </c>
      <c r="F89" s="24" t="s">
        <v>915</v>
      </c>
      <c r="G89" s="38">
        <v>4.2176831E7</v>
      </c>
      <c r="H89" s="38">
        <v>99709.0</v>
      </c>
      <c r="I89" s="24" t="s">
        <v>1508</v>
      </c>
      <c r="J89" s="24" t="s">
        <v>1541</v>
      </c>
    </row>
    <row r="90">
      <c r="B90" s="24" t="s">
        <v>596</v>
      </c>
      <c r="C90" s="24" t="s">
        <v>1541</v>
      </c>
      <c r="D90" s="24" t="s">
        <v>917</v>
      </c>
      <c r="E90" s="24" t="s">
        <v>1581</v>
      </c>
      <c r="F90" s="24" t="s">
        <v>917</v>
      </c>
      <c r="G90" s="38">
        <v>1.82138165E8</v>
      </c>
      <c r="H90" s="38">
        <v>359561.0</v>
      </c>
      <c r="I90" s="24" t="s">
        <v>1508</v>
      </c>
      <c r="J90" s="24" t="s">
        <v>1541</v>
      </c>
    </row>
    <row r="91">
      <c r="B91" s="24" t="s">
        <v>596</v>
      </c>
      <c r="C91" s="24" t="s">
        <v>1541</v>
      </c>
      <c r="D91" s="24" t="s">
        <v>917</v>
      </c>
      <c r="E91" s="24" t="s">
        <v>1582</v>
      </c>
      <c r="F91" s="24" t="s">
        <v>917</v>
      </c>
      <c r="G91" s="38">
        <v>1.591993E8</v>
      </c>
      <c r="H91" s="38">
        <v>427637.0</v>
      </c>
      <c r="I91" s="24" t="s">
        <v>1508</v>
      </c>
      <c r="J91" s="24" t="s">
        <v>1541</v>
      </c>
    </row>
    <row r="92">
      <c r="B92" s="24" t="s">
        <v>596</v>
      </c>
      <c r="C92" s="24" t="s">
        <v>1541</v>
      </c>
      <c r="D92" s="24" t="s">
        <v>937</v>
      </c>
      <c r="E92" s="24" t="s">
        <v>1583</v>
      </c>
      <c r="F92" s="24" t="s">
        <v>937</v>
      </c>
      <c r="G92" s="38">
        <v>6103123.0</v>
      </c>
      <c r="H92" s="38">
        <v>16953.0</v>
      </c>
      <c r="I92" s="24" t="s">
        <v>1508</v>
      </c>
      <c r="J92" s="24" t="s">
        <v>1541</v>
      </c>
    </row>
    <row r="93">
      <c r="B93" s="24" t="s">
        <v>596</v>
      </c>
      <c r="C93" s="24" t="s">
        <v>1541</v>
      </c>
      <c r="D93" s="24" t="s">
        <v>736</v>
      </c>
      <c r="E93" s="24" t="s">
        <v>1584</v>
      </c>
      <c r="F93" s="24" t="s">
        <v>736</v>
      </c>
      <c r="G93" s="38">
        <v>1.2525489E7</v>
      </c>
      <c r="H93" s="38">
        <v>37491.0</v>
      </c>
      <c r="I93" s="24" t="s">
        <v>1508</v>
      </c>
      <c r="J93" s="24" t="s">
        <v>1541</v>
      </c>
    </row>
    <row r="94">
      <c r="B94" s="24" t="s">
        <v>596</v>
      </c>
      <c r="C94" s="24" t="s">
        <v>1585</v>
      </c>
      <c r="D94" s="24" t="s">
        <v>880</v>
      </c>
      <c r="E94" s="24" t="s">
        <v>1586</v>
      </c>
      <c r="F94" s="24" t="s">
        <v>880</v>
      </c>
      <c r="G94" s="38">
        <v>1.510061893E9</v>
      </c>
      <c r="H94" s="38">
        <v>3065686.0</v>
      </c>
      <c r="I94" s="24" t="s">
        <v>1508</v>
      </c>
      <c r="J94" s="24" t="s">
        <v>1541</v>
      </c>
    </row>
    <row r="95">
      <c r="B95" s="24" t="s">
        <v>596</v>
      </c>
      <c r="C95" s="24" t="s">
        <v>1587</v>
      </c>
      <c r="D95" s="24" t="s">
        <v>820</v>
      </c>
      <c r="E95" s="24" t="s">
        <v>1588</v>
      </c>
      <c r="F95" s="24" t="s">
        <v>701</v>
      </c>
      <c r="G95" s="38">
        <v>5407855.0</v>
      </c>
      <c r="H95" s="38">
        <v>40058.0</v>
      </c>
      <c r="I95" s="24" t="s">
        <v>1508</v>
      </c>
      <c r="J95" s="39" t="s">
        <v>1589</v>
      </c>
    </row>
    <row r="96">
      <c r="B96" s="24" t="s">
        <v>596</v>
      </c>
      <c r="C96" s="24" t="s">
        <v>1590</v>
      </c>
      <c r="D96" s="24" t="s">
        <v>1591</v>
      </c>
      <c r="E96" s="24" t="s">
        <v>1592</v>
      </c>
      <c r="F96" s="24" t="s">
        <v>1591</v>
      </c>
      <c r="G96" s="38">
        <v>1.1144687E7</v>
      </c>
      <c r="H96" s="38">
        <v>54364.0</v>
      </c>
      <c r="I96" s="24" t="s">
        <v>1508</v>
      </c>
      <c r="J96" s="24" t="s">
        <v>1590</v>
      </c>
    </row>
    <row r="97">
      <c r="B97" s="24" t="s">
        <v>596</v>
      </c>
      <c r="C97" s="24" t="s">
        <v>1593</v>
      </c>
      <c r="D97" s="24" t="s">
        <v>1473</v>
      </c>
      <c r="E97" s="24" t="s">
        <v>1594</v>
      </c>
      <c r="F97" s="24" t="s">
        <v>1473</v>
      </c>
      <c r="G97" s="38">
        <v>6.7145634E7</v>
      </c>
      <c r="H97" s="38">
        <v>771789.0</v>
      </c>
      <c r="I97" s="24" t="s">
        <v>1508</v>
      </c>
      <c r="J97" s="39" t="s">
        <v>1595</v>
      </c>
    </row>
    <row r="98">
      <c r="B98" s="24" t="s">
        <v>596</v>
      </c>
      <c r="C98" s="24" t="s">
        <v>1593</v>
      </c>
      <c r="D98" s="24" t="s">
        <v>1596</v>
      </c>
      <c r="E98" s="24" t="s">
        <v>1597</v>
      </c>
      <c r="F98" s="24" t="s">
        <v>746</v>
      </c>
      <c r="G98" s="38">
        <v>6.6717355E7</v>
      </c>
      <c r="H98" s="38">
        <v>766866.0</v>
      </c>
      <c r="I98" s="24" t="s">
        <v>1508</v>
      </c>
      <c r="J98" s="39" t="s">
        <v>1595</v>
      </c>
    </row>
    <row r="99">
      <c r="B99" s="24" t="s">
        <v>596</v>
      </c>
      <c r="C99" s="24" t="s">
        <v>1598</v>
      </c>
      <c r="D99" s="24" t="s">
        <v>1478</v>
      </c>
      <c r="E99" s="24" t="s">
        <v>1594</v>
      </c>
      <c r="F99" s="24" t="s">
        <v>1473</v>
      </c>
      <c r="G99" s="38">
        <v>3.19613107E8</v>
      </c>
      <c r="H99" s="38">
        <v>2283217.0</v>
      </c>
      <c r="I99" s="24" t="s">
        <v>1508</v>
      </c>
      <c r="J99" s="39" t="s">
        <v>1595</v>
      </c>
    </row>
    <row r="100">
      <c r="B100" s="24" t="s">
        <v>596</v>
      </c>
      <c r="C100" s="24" t="s">
        <v>1598</v>
      </c>
      <c r="D100" s="24" t="s">
        <v>776</v>
      </c>
      <c r="E100" s="24" t="s">
        <v>1599</v>
      </c>
      <c r="F100" s="24" t="s">
        <v>776</v>
      </c>
      <c r="G100" s="38">
        <v>3.2236688E7</v>
      </c>
      <c r="H100" s="38">
        <v>168779.0</v>
      </c>
      <c r="I100" s="24" t="s">
        <v>1508</v>
      </c>
      <c r="J100" s="39" t="s">
        <v>1595</v>
      </c>
    </row>
    <row r="101">
      <c r="B101" s="24" t="s">
        <v>596</v>
      </c>
      <c r="C101" s="24" t="s">
        <v>1598</v>
      </c>
      <c r="D101" s="24" t="s">
        <v>826</v>
      </c>
      <c r="E101" s="24" t="s">
        <v>1600</v>
      </c>
      <c r="F101" s="24" t="s">
        <v>826</v>
      </c>
      <c r="G101" s="38">
        <v>7.350501E7</v>
      </c>
      <c r="H101" s="38">
        <v>326689.0</v>
      </c>
      <c r="I101" s="24" t="s">
        <v>1508</v>
      </c>
      <c r="J101" s="39" t="s">
        <v>1595</v>
      </c>
    </row>
    <row r="102">
      <c r="B102" s="24" t="s">
        <v>596</v>
      </c>
      <c r="C102" s="24" t="s">
        <v>1598</v>
      </c>
      <c r="D102" s="24" t="s">
        <v>850</v>
      </c>
      <c r="E102" s="24" t="s">
        <v>1601</v>
      </c>
      <c r="F102" s="24" t="s">
        <v>850</v>
      </c>
      <c r="G102" s="38">
        <v>341737.0</v>
      </c>
      <c r="H102" s="38">
        <v>1789.0</v>
      </c>
      <c r="I102" s="24" t="s">
        <v>1508</v>
      </c>
      <c r="J102" s="39" t="s">
        <v>1595</v>
      </c>
    </row>
    <row r="103">
      <c r="B103" s="24" t="s">
        <v>596</v>
      </c>
      <c r="C103" s="24" t="s">
        <v>1598</v>
      </c>
      <c r="D103" s="24" t="s">
        <v>1602</v>
      </c>
      <c r="E103" s="24" t="s">
        <v>1603</v>
      </c>
      <c r="F103" s="24" t="s">
        <v>1602</v>
      </c>
      <c r="G103" s="38">
        <v>7629103.0</v>
      </c>
      <c r="H103" s="38">
        <v>39943.0</v>
      </c>
      <c r="I103" s="24" t="s">
        <v>1508</v>
      </c>
      <c r="J103" s="39" t="s">
        <v>1595</v>
      </c>
    </row>
    <row r="104">
      <c r="B104" s="24" t="s">
        <v>596</v>
      </c>
      <c r="C104" s="24" t="s">
        <v>1598</v>
      </c>
      <c r="D104" s="24" t="s">
        <v>1596</v>
      </c>
      <c r="E104" s="24" t="s">
        <v>1604</v>
      </c>
      <c r="F104" s="24" t="s">
        <v>1596</v>
      </c>
      <c r="G104" s="38">
        <v>7.87976886E8</v>
      </c>
      <c r="H104" s="38">
        <v>3517755.0</v>
      </c>
      <c r="I104" s="24" t="s">
        <v>1508</v>
      </c>
      <c r="J104" s="39" t="s">
        <v>1595</v>
      </c>
    </row>
    <row r="105">
      <c r="B105" s="24" t="s">
        <v>596</v>
      </c>
      <c r="C105" s="24" t="s">
        <v>1598</v>
      </c>
      <c r="D105" s="24" t="s">
        <v>1596</v>
      </c>
      <c r="E105" s="24" t="s">
        <v>1597</v>
      </c>
      <c r="F105" s="24" t="s">
        <v>746</v>
      </c>
      <c r="G105" s="38">
        <v>1.80155571E8</v>
      </c>
      <c r="H105" s="38">
        <v>1364815.0</v>
      </c>
      <c r="I105" s="24" t="s">
        <v>1508</v>
      </c>
      <c r="J105" s="39" t="s">
        <v>1595</v>
      </c>
    </row>
    <row r="106">
      <c r="B106" s="24" t="s">
        <v>596</v>
      </c>
      <c r="C106" s="24" t="s">
        <v>1598</v>
      </c>
      <c r="D106" s="24" t="s">
        <v>919</v>
      </c>
      <c r="E106" s="24" t="s">
        <v>1605</v>
      </c>
      <c r="F106" s="24" t="s">
        <v>919</v>
      </c>
      <c r="G106" s="38">
        <v>2.7199972E7</v>
      </c>
      <c r="H106" s="38">
        <v>120889.0</v>
      </c>
      <c r="I106" s="24" t="s">
        <v>1508</v>
      </c>
      <c r="J106" s="39" t="s">
        <v>1595</v>
      </c>
    </row>
    <row r="107">
      <c r="B107" s="24" t="s">
        <v>596</v>
      </c>
      <c r="C107" s="24" t="s">
        <v>1606</v>
      </c>
      <c r="D107" s="24" t="s">
        <v>726</v>
      </c>
      <c r="E107" s="24" t="s">
        <v>1607</v>
      </c>
      <c r="F107" s="24" t="s">
        <v>726</v>
      </c>
      <c r="G107" s="38">
        <v>2.7684554E8</v>
      </c>
      <c r="H107" s="38">
        <v>1.4389598E7</v>
      </c>
      <c r="I107" s="24" t="s">
        <v>1508</v>
      </c>
      <c r="J107" s="39" t="s">
        <v>1608</v>
      </c>
    </row>
    <row r="108">
      <c r="B108" s="24" t="s">
        <v>596</v>
      </c>
      <c r="C108" s="24" t="s">
        <v>1606</v>
      </c>
      <c r="D108" s="24" t="s">
        <v>919</v>
      </c>
      <c r="E108" s="24" t="s">
        <v>1609</v>
      </c>
      <c r="F108" s="24" t="s">
        <v>919</v>
      </c>
      <c r="G108" s="38">
        <v>911841.0</v>
      </c>
      <c r="H108" s="38">
        <v>30395.0</v>
      </c>
      <c r="I108" s="24" t="s">
        <v>1508</v>
      </c>
      <c r="J108" s="39" t="s">
        <v>1608</v>
      </c>
    </row>
    <row r="109">
      <c r="B109" s="24" t="s">
        <v>596</v>
      </c>
      <c r="C109" s="24" t="s">
        <v>1608</v>
      </c>
      <c r="D109" s="24" t="s">
        <v>830</v>
      </c>
      <c r="E109" s="24" t="s">
        <v>1610</v>
      </c>
      <c r="F109" s="24" t="s">
        <v>830</v>
      </c>
      <c r="G109" s="38">
        <v>34747.0</v>
      </c>
      <c r="H109" s="44">
        <v>229.0</v>
      </c>
      <c r="I109" s="24" t="s">
        <v>1508</v>
      </c>
      <c r="J109" s="39" t="s">
        <v>1608</v>
      </c>
    </row>
    <row r="110">
      <c r="B110" s="24" t="s">
        <v>596</v>
      </c>
      <c r="C110" s="24" t="s">
        <v>1611</v>
      </c>
      <c r="D110" s="24" t="s">
        <v>1188</v>
      </c>
      <c r="E110" s="24" t="s">
        <v>1612</v>
      </c>
      <c r="F110" s="24" t="s">
        <v>1188</v>
      </c>
      <c r="G110" s="38">
        <v>2.4383125E7</v>
      </c>
      <c r="H110" s="38">
        <v>201513.0</v>
      </c>
      <c r="I110" s="24" t="s">
        <v>1508</v>
      </c>
      <c r="J110" s="39" t="s">
        <v>1613</v>
      </c>
    </row>
    <row r="111">
      <c r="B111" s="24" t="s">
        <v>600</v>
      </c>
      <c r="C111" s="24" t="s">
        <v>1614</v>
      </c>
      <c r="D111" s="24" t="s">
        <v>1139</v>
      </c>
      <c r="E111" s="24" t="s">
        <v>1615</v>
      </c>
      <c r="F111" s="24" t="s">
        <v>1139</v>
      </c>
      <c r="G111" s="38">
        <v>1.32636035E8</v>
      </c>
      <c r="H111" s="38">
        <v>345406.0</v>
      </c>
      <c r="I111" s="24" t="s">
        <v>1616</v>
      </c>
      <c r="J111" s="39" t="s">
        <v>1617</v>
      </c>
    </row>
    <row r="112">
      <c r="B112" s="24" t="s">
        <v>600</v>
      </c>
      <c r="C112" s="24" t="s">
        <v>1618</v>
      </c>
      <c r="D112" s="24" t="s">
        <v>739</v>
      </c>
      <c r="E112" s="24" t="s">
        <v>1619</v>
      </c>
      <c r="F112" s="24" t="s">
        <v>739</v>
      </c>
      <c r="G112" s="38">
        <v>8065315.0</v>
      </c>
      <c r="H112" s="38">
        <v>25850.0</v>
      </c>
      <c r="I112" s="24" t="s">
        <v>1616</v>
      </c>
      <c r="J112" s="39" t="s">
        <v>1617</v>
      </c>
    </row>
    <row r="113">
      <c r="B113" s="24" t="s">
        <v>600</v>
      </c>
      <c r="C113" s="24" t="s">
        <v>1618</v>
      </c>
      <c r="D113" s="24" t="s">
        <v>742</v>
      </c>
      <c r="E113" s="24" t="s">
        <v>1620</v>
      </c>
      <c r="F113" s="24" t="s">
        <v>742</v>
      </c>
      <c r="G113" s="38">
        <v>6.5996075E7</v>
      </c>
      <c r="H113" s="38">
        <v>211526.0</v>
      </c>
      <c r="I113" s="24" t="s">
        <v>1616</v>
      </c>
      <c r="J113" s="39" t="s">
        <v>1617</v>
      </c>
    </row>
    <row r="114">
      <c r="B114" s="24" t="s">
        <v>600</v>
      </c>
      <c r="C114" s="24" t="s">
        <v>1618</v>
      </c>
      <c r="D114" s="24" t="s">
        <v>749</v>
      </c>
      <c r="E114" s="24" t="s">
        <v>1621</v>
      </c>
      <c r="F114" s="24" t="s">
        <v>749</v>
      </c>
      <c r="G114" s="38">
        <v>1.53978425E8</v>
      </c>
      <c r="H114" s="38">
        <v>452878.0</v>
      </c>
      <c r="I114" s="24" t="s">
        <v>1616</v>
      </c>
      <c r="J114" s="39" t="s">
        <v>1617</v>
      </c>
    </row>
    <row r="115">
      <c r="B115" s="24" t="s">
        <v>600</v>
      </c>
      <c r="C115" s="24" t="s">
        <v>1618</v>
      </c>
      <c r="D115" s="24" t="s">
        <v>753</v>
      </c>
      <c r="E115" s="24" t="s">
        <v>1622</v>
      </c>
      <c r="F115" s="24" t="s">
        <v>753</v>
      </c>
      <c r="G115" s="38">
        <v>1170246.0</v>
      </c>
      <c r="H115" s="38">
        <v>3751.0</v>
      </c>
      <c r="I115" s="24" t="s">
        <v>1616</v>
      </c>
      <c r="J115" s="39" t="s">
        <v>1617</v>
      </c>
    </row>
    <row r="116">
      <c r="B116" s="24" t="s">
        <v>600</v>
      </c>
      <c r="C116" s="24" t="s">
        <v>1618</v>
      </c>
      <c r="D116" s="24" t="s">
        <v>757</v>
      </c>
      <c r="E116" s="24" t="s">
        <v>1623</v>
      </c>
      <c r="F116" s="24" t="s">
        <v>757</v>
      </c>
      <c r="G116" s="38">
        <v>2.1465276E7</v>
      </c>
      <c r="H116" s="38">
        <v>68799.0</v>
      </c>
      <c r="I116" s="24" t="s">
        <v>1616</v>
      </c>
      <c r="J116" s="39" t="s">
        <v>1617</v>
      </c>
    </row>
    <row r="117">
      <c r="B117" s="24" t="s">
        <v>600</v>
      </c>
      <c r="C117" s="24" t="s">
        <v>1618</v>
      </c>
      <c r="D117" s="24" t="s">
        <v>761</v>
      </c>
      <c r="E117" s="24" t="s">
        <v>1624</v>
      </c>
      <c r="F117" s="24" t="s">
        <v>761</v>
      </c>
      <c r="G117" s="38">
        <v>1.8864185E8</v>
      </c>
      <c r="H117" s="38">
        <v>604621.0</v>
      </c>
      <c r="I117" s="24" t="s">
        <v>1616</v>
      </c>
      <c r="J117" s="39" t="s">
        <v>1617</v>
      </c>
    </row>
    <row r="118">
      <c r="B118" s="24" t="s">
        <v>600</v>
      </c>
      <c r="C118" s="24" t="s">
        <v>1618</v>
      </c>
      <c r="D118" s="24" t="s">
        <v>765</v>
      </c>
      <c r="E118" s="24" t="s">
        <v>1625</v>
      </c>
      <c r="F118" s="24" t="s">
        <v>765</v>
      </c>
      <c r="G118" s="38">
        <v>4.4851065E7</v>
      </c>
      <c r="H118" s="38">
        <v>143753.0</v>
      </c>
      <c r="I118" s="24" t="s">
        <v>1616</v>
      </c>
      <c r="J118" s="39" t="s">
        <v>1617</v>
      </c>
    </row>
    <row r="119">
      <c r="B119" s="24" t="s">
        <v>600</v>
      </c>
      <c r="C119" s="24" t="s">
        <v>1618</v>
      </c>
      <c r="D119" s="24" t="s">
        <v>770</v>
      </c>
      <c r="E119" s="24" t="s">
        <v>1626</v>
      </c>
      <c r="F119" s="24" t="s">
        <v>770</v>
      </c>
      <c r="G119" s="38">
        <v>6.3534496E7</v>
      </c>
      <c r="H119" s="38">
        <v>203636.0</v>
      </c>
      <c r="I119" s="24" t="s">
        <v>1616</v>
      </c>
      <c r="J119" s="39" t="s">
        <v>1617</v>
      </c>
    </row>
    <row r="120">
      <c r="B120" s="24" t="s">
        <v>600</v>
      </c>
      <c r="C120" s="24" t="s">
        <v>1618</v>
      </c>
      <c r="D120" s="24" t="s">
        <v>776</v>
      </c>
      <c r="E120" s="24" t="s">
        <v>1627</v>
      </c>
      <c r="F120" s="24" t="s">
        <v>776</v>
      </c>
      <c r="G120" s="38">
        <v>7.9252747E7</v>
      </c>
      <c r="H120" s="38">
        <v>276142.0</v>
      </c>
      <c r="I120" s="24" t="s">
        <v>1616</v>
      </c>
      <c r="J120" s="39" t="s">
        <v>1617</v>
      </c>
    </row>
    <row r="121">
      <c r="B121" s="24" t="s">
        <v>600</v>
      </c>
      <c r="C121" s="24" t="s">
        <v>1618</v>
      </c>
      <c r="D121" s="24" t="s">
        <v>1098</v>
      </c>
      <c r="E121" s="24" t="s">
        <v>1628</v>
      </c>
      <c r="F121" s="24" t="s">
        <v>1098</v>
      </c>
      <c r="G121" s="38">
        <v>1072622.0</v>
      </c>
      <c r="H121" s="38">
        <v>3438.0</v>
      </c>
      <c r="I121" s="24" t="s">
        <v>1616</v>
      </c>
      <c r="J121" s="39" t="s">
        <v>1617</v>
      </c>
    </row>
    <row r="122">
      <c r="B122" s="24" t="s">
        <v>600</v>
      </c>
      <c r="C122" s="24" t="s">
        <v>1618</v>
      </c>
      <c r="D122" s="24" t="s">
        <v>720</v>
      </c>
      <c r="E122" s="24" t="s">
        <v>1629</v>
      </c>
      <c r="F122" s="24" t="s">
        <v>720</v>
      </c>
      <c r="G122" s="38">
        <v>6.9396793E7</v>
      </c>
      <c r="H122" s="38">
        <v>193487.0</v>
      </c>
      <c r="I122" s="24" t="s">
        <v>1616</v>
      </c>
      <c r="J122" s="39" t="s">
        <v>1617</v>
      </c>
    </row>
    <row r="123">
      <c r="B123" s="24" t="s">
        <v>600</v>
      </c>
      <c r="C123" s="24" t="s">
        <v>1618</v>
      </c>
      <c r="D123" s="24" t="s">
        <v>779</v>
      </c>
      <c r="E123" s="24" t="s">
        <v>1630</v>
      </c>
      <c r="F123" s="24" t="s">
        <v>779</v>
      </c>
      <c r="G123" s="38">
        <v>1.1218664E7</v>
      </c>
      <c r="H123" s="38">
        <v>35957.0</v>
      </c>
      <c r="I123" s="24" t="s">
        <v>1616</v>
      </c>
      <c r="J123" s="39" t="s">
        <v>1617</v>
      </c>
    </row>
    <row r="124">
      <c r="B124" s="24" t="s">
        <v>600</v>
      </c>
      <c r="C124" s="24" t="s">
        <v>1618</v>
      </c>
      <c r="D124" s="24" t="s">
        <v>783</v>
      </c>
      <c r="E124" s="24" t="s">
        <v>1631</v>
      </c>
      <c r="F124" s="24" t="s">
        <v>783</v>
      </c>
      <c r="G124" s="38">
        <v>2.5866875E7</v>
      </c>
      <c r="H124" s="38">
        <v>82907.0</v>
      </c>
      <c r="I124" s="24" t="s">
        <v>1616</v>
      </c>
      <c r="J124" s="39" t="s">
        <v>1617</v>
      </c>
    </row>
    <row r="125">
      <c r="B125" s="24" t="s">
        <v>600</v>
      </c>
      <c r="C125" s="24" t="s">
        <v>1618</v>
      </c>
      <c r="D125" s="24" t="s">
        <v>708</v>
      </c>
      <c r="E125" s="24" t="s">
        <v>1632</v>
      </c>
      <c r="F125" s="24" t="s">
        <v>708</v>
      </c>
      <c r="G125" s="38">
        <v>2.20181473E8</v>
      </c>
      <c r="H125" s="38">
        <v>683793.0</v>
      </c>
      <c r="I125" s="24" t="s">
        <v>1616</v>
      </c>
      <c r="J125" s="39" t="s">
        <v>1617</v>
      </c>
    </row>
    <row r="126">
      <c r="B126" s="24" t="s">
        <v>600</v>
      </c>
      <c r="C126" s="24" t="s">
        <v>1618</v>
      </c>
      <c r="D126" s="24" t="s">
        <v>1109</v>
      </c>
      <c r="E126" s="24" t="s">
        <v>1633</v>
      </c>
      <c r="F126" s="24" t="s">
        <v>1109</v>
      </c>
      <c r="G126" s="38">
        <v>8966128.0</v>
      </c>
      <c r="H126" s="38">
        <v>28738.0</v>
      </c>
      <c r="I126" s="24" t="s">
        <v>1616</v>
      </c>
      <c r="J126" s="39" t="s">
        <v>1617</v>
      </c>
    </row>
    <row r="127">
      <c r="B127" s="24" t="s">
        <v>600</v>
      </c>
      <c r="C127" s="24" t="s">
        <v>1618</v>
      </c>
      <c r="D127" s="24" t="s">
        <v>786</v>
      </c>
      <c r="E127" s="24" t="s">
        <v>1634</v>
      </c>
      <c r="F127" s="24" t="s">
        <v>786</v>
      </c>
      <c r="G127" s="38">
        <v>9.3354766E7</v>
      </c>
      <c r="H127" s="38">
        <v>254373.0</v>
      </c>
      <c r="I127" s="24" t="s">
        <v>1616</v>
      </c>
      <c r="J127" s="39" t="s">
        <v>1617</v>
      </c>
    </row>
    <row r="128">
      <c r="B128" s="24" t="s">
        <v>600</v>
      </c>
      <c r="C128" s="24" t="s">
        <v>1618</v>
      </c>
      <c r="D128" s="24" t="s">
        <v>790</v>
      </c>
      <c r="E128" s="24" t="s">
        <v>1635</v>
      </c>
      <c r="F128" s="24" t="s">
        <v>790</v>
      </c>
      <c r="G128" s="38">
        <v>5.7835462E7</v>
      </c>
      <c r="H128" s="38">
        <v>185370.0</v>
      </c>
      <c r="I128" s="24" t="s">
        <v>1616</v>
      </c>
      <c r="J128" s="39" t="s">
        <v>1617</v>
      </c>
    </row>
    <row r="129">
      <c r="B129" s="24" t="s">
        <v>600</v>
      </c>
      <c r="C129" s="24" t="s">
        <v>1618</v>
      </c>
      <c r="D129" s="24" t="s">
        <v>1274</v>
      </c>
      <c r="E129" s="24" t="s">
        <v>1636</v>
      </c>
      <c r="F129" s="24" t="s">
        <v>1274</v>
      </c>
      <c r="G129" s="38">
        <v>2.3575979E7</v>
      </c>
      <c r="H129" s="38">
        <v>72354.0</v>
      </c>
      <c r="I129" s="24" t="s">
        <v>1616</v>
      </c>
      <c r="J129" s="39" t="s">
        <v>1617</v>
      </c>
    </row>
    <row r="130">
      <c r="B130" s="24" t="s">
        <v>600</v>
      </c>
      <c r="C130" s="24" t="s">
        <v>1618</v>
      </c>
      <c r="D130" s="24" t="s">
        <v>1637</v>
      </c>
      <c r="E130" s="24" t="s">
        <v>1638</v>
      </c>
      <c r="F130" s="24" t="s">
        <v>1637</v>
      </c>
      <c r="G130" s="38">
        <v>9041606.0</v>
      </c>
      <c r="H130" s="38">
        <v>25760.0</v>
      </c>
      <c r="I130" s="24" t="s">
        <v>1616</v>
      </c>
      <c r="J130" s="39" t="s">
        <v>1617</v>
      </c>
    </row>
    <row r="131">
      <c r="B131" s="24" t="s">
        <v>600</v>
      </c>
      <c r="C131" s="24" t="s">
        <v>1618</v>
      </c>
      <c r="D131" s="24" t="s">
        <v>1639</v>
      </c>
      <c r="E131" s="24" t="s">
        <v>1640</v>
      </c>
      <c r="F131" s="24" t="s">
        <v>1639</v>
      </c>
      <c r="G131" s="38">
        <v>5.47633058E9</v>
      </c>
      <c r="H131" s="38">
        <v>1.4724101E7</v>
      </c>
      <c r="I131" s="24" t="s">
        <v>1616</v>
      </c>
      <c r="J131" s="39" t="s">
        <v>1617</v>
      </c>
    </row>
    <row r="132">
      <c r="B132" s="24" t="s">
        <v>600</v>
      </c>
      <c r="C132" s="24" t="s">
        <v>1618</v>
      </c>
      <c r="D132" s="24" t="s">
        <v>794</v>
      </c>
      <c r="E132" s="24" t="s">
        <v>1641</v>
      </c>
      <c r="F132" s="24" t="s">
        <v>794</v>
      </c>
      <c r="G132" s="38">
        <v>2.4301964E7</v>
      </c>
      <c r="H132" s="38">
        <v>77891.0</v>
      </c>
      <c r="I132" s="24" t="s">
        <v>1616</v>
      </c>
      <c r="J132" s="39" t="s">
        <v>1617</v>
      </c>
    </row>
    <row r="133">
      <c r="B133" s="24" t="s">
        <v>600</v>
      </c>
      <c r="C133" s="24" t="s">
        <v>1618</v>
      </c>
      <c r="D133" s="24" t="s">
        <v>796</v>
      </c>
      <c r="E133" s="24" t="s">
        <v>1642</v>
      </c>
      <c r="F133" s="24" t="s">
        <v>796</v>
      </c>
      <c r="G133" s="38">
        <v>1.51037517E8</v>
      </c>
      <c r="H133" s="38">
        <v>399511.0</v>
      </c>
      <c r="I133" s="24" t="s">
        <v>1616</v>
      </c>
      <c r="J133" s="39" t="s">
        <v>1617</v>
      </c>
    </row>
    <row r="134">
      <c r="B134" s="24" t="s">
        <v>600</v>
      </c>
      <c r="C134" s="24" t="s">
        <v>1618</v>
      </c>
      <c r="D134" s="24" t="s">
        <v>804</v>
      </c>
      <c r="E134" s="24" t="s">
        <v>1643</v>
      </c>
      <c r="F134" s="24" t="s">
        <v>804</v>
      </c>
      <c r="G134" s="38">
        <v>5.7356927E7</v>
      </c>
      <c r="H134" s="38">
        <v>156286.0</v>
      </c>
      <c r="I134" s="24" t="s">
        <v>1616</v>
      </c>
      <c r="J134" s="39" t="s">
        <v>1617</v>
      </c>
    </row>
    <row r="135">
      <c r="B135" s="24" t="s">
        <v>600</v>
      </c>
      <c r="C135" s="24" t="s">
        <v>1618</v>
      </c>
      <c r="D135" s="24" t="s">
        <v>1121</v>
      </c>
      <c r="E135" s="24" t="s">
        <v>1644</v>
      </c>
      <c r="F135" s="24" t="s">
        <v>1121</v>
      </c>
      <c r="G135" s="38">
        <v>1.283392E7</v>
      </c>
      <c r="H135" s="38">
        <v>41134.0</v>
      </c>
      <c r="I135" s="24" t="s">
        <v>1616</v>
      </c>
      <c r="J135" s="39" t="s">
        <v>1617</v>
      </c>
    </row>
    <row r="136">
      <c r="B136" s="24" t="s">
        <v>600</v>
      </c>
      <c r="C136" s="24" t="s">
        <v>1618</v>
      </c>
      <c r="D136" s="24" t="s">
        <v>1024</v>
      </c>
      <c r="E136" s="24" t="s">
        <v>1645</v>
      </c>
      <c r="F136" s="24" t="s">
        <v>1024</v>
      </c>
      <c r="G136" s="38">
        <v>4.0005302E7</v>
      </c>
      <c r="H136" s="38">
        <v>113651.0</v>
      </c>
      <c r="I136" s="24" t="s">
        <v>1616</v>
      </c>
      <c r="J136" s="39" t="s">
        <v>1617</v>
      </c>
    </row>
    <row r="137">
      <c r="B137" s="24" t="s">
        <v>600</v>
      </c>
      <c r="C137" s="24" t="s">
        <v>1618</v>
      </c>
      <c r="D137" s="24" t="s">
        <v>806</v>
      </c>
      <c r="E137" s="24" t="s">
        <v>1646</v>
      </c>
      <c r="F137" s="24" t="s">
        <v>806</v>
      </c>
      <c r="G137" s="38">
        <v>2.2591103E7</v>
      </c>
      <c r="H137" s="38">
        <v>61556.0</v>
      </c>
      <c r="I137" s="24" t="s">
        <v>1616</v>
      </c>
      <c r="J137" s="39" t="s">
        <v>1617</v>
      </c>
    </row>
    <row r="138">
      <c r="B138" s="24" t="s">
        <v>600</v>
      </c>
      <c r="C138" s="24" t="s">
        <v>1618</v>
      </c>
      <c r="D138" s="24" t="s">
        <v>810</v>
      </c>
      <c r="E138" s="24" t="s">
        <v>1647</v>
      </c>
      <c r="F138" s="24" t="s">
        <v>810</v>
      </c>
      <c r="G138" s="38">
        <v>3.54304539E8</v>
      </c>
      <c r="H138" s="38">
        <v>1001840.0</v>
      </c>
      <c r="I138" s="24" t="s">
        <v>1616</v>
      </c>
      <c r="J138" s="39" t="s">
        <v>1617</v>
      </c>
    </row>
    <row r="139">
      <c r="B139" s="24" t="s">
        <v>600</v>
      </c>
      <c r="C139" s="24" t="s">
        <v>1618</v>
      </c>
      <c r="D139" s="24" t="s">
        <v>1028</v>
      </c>
      <c r="E139" s="24" t="s">
        <v>1648</v>
      </c>
      <c r="F139" s="24" t="s">
        <v>1028</v>
      </c>
      <c r="G139" s="38">
        <v>1.8790511E7</v>
      </c>
      <c r="H139" s="38">
        <v>60420.0</v>
      </c>
      <c r="I139" s="24" t="s">
        <v>1616</v>
      </c>
      <c r="J139" s="39" t="s">
        <v>1617</v>
      </c>
    </row>
    <row r="140">
      <c r="B140" s="24" t="s">
        <v>600</v>
      </c>
      <c r="C140" s="24" t="s">
        <v>1618</v>
      </c>
      <c r="D140" s="24" t="s">
        <v>812</v>
      </c>
      <c r="E140" s="24" t="s">
        <v>1649</v>
      </c>
      <c r="F140" s="24" t="s">
        <v>812</v>
      </c>
      <c r="G140" s="38">
        <v>2.7041186E7</v>
      </c>
      <c r="H140" s="38">
        <v>74663.0</v>
      </c>
      <c r="I140" s="24" t="s">
        <v>1616</v>
      </c>
      <c r="J140" s="39" t="s">
        <v>1617</v>
      </c>
    </row>
    <row r="141">
      <c r="B141" s="24" t="s">
        <v>600</v>
      </c>
      <c r="C141" s="24" t="s">
        <v>1618</v>
      </c>
      <c r="D141" s="24" t="s">
        <v>814</v>
      </c>
      <c r="E141" s="24" t="s">
        <v>1650</v>
      </c>
      <c r="F141" s="24" t="s">
        <v>814</v>
      </c>
      <c r="G141" s="38">
        <v>1.72749104E8</v>
      </c>
      <c r="H141" s="38">
        <v>466134.0</v>
      </c>
      <c r="I141" s="24" t="s">
        <v>1616</v>
      </c>
      <c r="J141" s="39" t="s">
        <v>1617</v>
      </c>
    </row>
    <row r="142">
      <c r="B142" s="24" t="s">
        <v>600</v>
      </c>
      <c r="C142" s="24" t="s">
        <v>1618</v>
      </c>
      <c r="D142" s="24" t="s">
        <v>1651</v>
      </c>
      <c r="E142" s="24" t="s">
        <v>1652</v>
      </c>
      <c r="F142" s="24" t="s">
        <v>1651</v>
      </c>
      <c r="G142" s="38">
        <v>961526.0</v>
      </c>
      <c r="H142" s="38">
        <v>3422.0</v>
      </c>
      <c r="I142" s="24" t="s">
        <v>1616</v>
      </c>
      <c r="J142" s="39" t="s">
        <v>1617</v>
      </c>
    </row>
    <row r="143">
      <c r="B143" s="24" t="s">
        <v>600</v>
      </c>
      <c r="C143" s="24" t="s">
        <v>1618</v>
      </c>
      <c r="D143" s="24" t="s">
        <v>816</v>
      </c>
      <c r="E143" s="24" t="s">
        <v>1653</v>
      </c>
      <c r="F143" s="24" t="s">
        <v>816</v>
      </c>
      <c r="G143" s="38">
        <v>5.980001E7</v>
      </c>
      <c r="H143" s="38">
        <v>163388.0</v>
      </c>
      <c r="I143" s="24" t="s">
        <v>1616</v>
      </c>
      <c r="J143" s="39" t="s">
        <v>1617</v>
      </c>
    </row>
    <row r="144">
      <c r="B144" s="24" t="s">
        <v>600</v>
      </c>
      <c r="C144" s="24" t="s">
        <v>1618</v>
      </c>
      <c r="D144" s="24" t="s">
        <v>818</v>
      </c>
      <c r="E144" s="24" t="s">
        <v>1654</v>
      </c>
      <c r="F144" s="24" t="s">
        <v>818</v>
      </c>
      <c r="G144" s="38">
        <v>1.0938923E7</v>
      </c>
      <c r="H144" s="38">
        <v>35061.0</v>
      </c>
      <c r="I144" s="24" t="s">
        <v>1616</v>
      </c>
      <c r="J144" s="39" t="s">
        <v>1617</v>
      </c>
    </row>
    <row r="145">
      <c r="B145" s="24" t="s">
        <v>600</v>
      </c>
      <c r="C145" s="24" t="s">
        <v>1618</v>
      </c>
      <c r="D145" s="24" t="s">
        <v>822</v>
      </c>
      <c r="E145" s="24" t="s">
        <v>1655</v>
      </c>
      <c r="F145" s="24" t="s">
        <v>822</v>
      </c>
      <c r="G145" s="38">
        <v>7564487.0</v>
      </c>
      <c r="H145" s="38">
        <v>24245.0</v>
      </c>
      <c r="I145" s="24" t="s">
        <v>1616</v>
      </c>
      <c r="J145" s="39" t="s">
        <v>1617</v>
      </c>
    </row>
    <row r="146">
      <c r="B146" s="24" t="s">
        <v>600</v>
      </c>
      <c r="C146" s="24" t="s">
        <v>1618</v>
      </c>
      <c r="D146" s="24" t="s">
        <v>826</v>
      </c>
      <c r="E146" s="24" t="s">
        <v>1656</v>
      </c>
      <c r="F146" s="24" t="s">
        <v>826</v>
      </c>
      <c r="G146" s="38">
        <v>5.8338225E7</v>
      </c>
      <c r="H146" s="38">
        <v>186982.0</v>
      </c>
      <c r="I146" s="24" t="s">
        <v>1616</v>
      </c>
      <c r="J146" s="39" t="s">
        <v>1617</v>
      </c>
    </row>
    <row r="147">
      <c r="B147" s="24" t="s">
        <v>600</v>
      </c>
      <c r="C147" s="24" t="s">
        <v>1618</v>
      </c>
      <c r="D147" s="24" t="s">
        <v>828</v>
      </c>
      <c r="E147" s="24" t="s">
        <v>1657</v>
      </c>
      <c r="F147" s="24" t="s">
        <v>828</v>
      </c>
      <c r="G147" s="38">
        <v>5711352.0</v>
      </c>
      <c r="H147" s="38">
        <v>13407.0</v>
      </c>
      <c r="I147" s="24" t="s">
        <v>1616</v>
      </c>
      <c r="J147" s="39" t="s">
        <v>1617</v>
      </c>
    </row>
    <row r="148">
      <c r="B148" s="24" t="s">
        <v>600</v>
      </c>
      <c r="C148" s="24" t="s">
        <v>1618</v>
      </c>
      <c r="D148" s="24" t="s">
        <v>834</v>
      </c>
      <c r="E148" s="24" t="s">
        <v>1658</v>
      </c>
      <c r="F148" s="24" t="s">
        <v>834</v>
      </c>
      <c r="G148" s="38">
        <v>1.12294291E8</v>
      </c>
      <c r="H148" s="38">
        <v>305979.0</v>
      </c>
      <c r="I148" s="24" t="s">
        <v>1616</v>
      </c>
      <c r="J148" s="39" t="s">
        <v>1617</v>
      </c>
    </row>
    <row r="149">
      <c r="B149" s="24" t="s">
        <v>600</v>
      </c>
      <c r="C149" s="24" t="s">
        <v>1618</v>
      </c>
      <c r="D149" s="24" t="s">
        <v>839</v>
      </c>
      <c r="E149" s="24" t="s">
        <v>1659</v>
      </c>
      <c r="F149" s="24" t="s">
        <v>839</v>
      </c>
      <c r="G149" s="38">
        <v>3.4570155E7</v>
      </c>
      <c r="H149" s="38">
        <v>110802.0</v>
      </c>
      <c r="I149" s="24" t="s">
        <v>1616</v>
      </c>
      <c r="J149" s="39" t="s">
        <v>1617</v>
      </c>
    </row>
    <row r="150">
      <c r="B150" s="24" t="s">
        <v>600</v>
      </c>
      <c r="C150" s="24" t="s">
        <v>1618</v>
      </c>
      <c r="D150" s="24" t="s">
        <v>710</v>
      </c>
      <c r="E150" s="24" t="s">
        <v>1660</v>
      </c>
      <c r="F150" s="24" t="s">
        <v>710</v>
      </c>
      <c r="G150" s="38">
        <v>2.92482382E8</v>
      </c>
      <c r="H150" s="38">
        <v>836328.0</v>
      </c>
      <c r="I150" s="24" t="s">
        <v>1616</v>
      </c>
      <c r="J150" s="39" t="s">
        <v>1617</v>
      </c>
    </row>
    <row r="151">
      <c r="B151" s="24" t="s">
        <v>600</v>
      </c>
      <c r="C151" s="24" t="s">
        <v>1618</v>
      </c>
      <c r="D151" s="24" t="s">
        <v>842</v>
      </c>
      <c r="E151" s="24" t="s">
        <v>1661</v>
      </c>
      <c r="F151" s="24" t="s">
        <v>842</v>
      </c>
      <c r="G151" s="38">
        <v>2.3124337E7</v>
      </c>
      <c r="H151" s="38">
        <v>74116.0</v>
      </c>
      <c r="I151" s="24" t="s">
        <v>1616</v>
      </c>
      <c r="J151" s="39" t="s">
        <v>1617</v>
      </c>
    </row>
    <row r="152">
      <c r="B152" s="24" t="s">
        <v>600</v>
      </c>
      <c r="C152" s="24" t="s">
        <v>1618</v>
      </c>
      <c r="D152" s="24" t="s">
        <v>850</v>
      </c>
      <c r="E152" s="24" t="s">
        <v>1662</v>
      </c>
      <c r="F152" s="24" t="s">
        <v>850</v>
      </c>
      <c r="G152" s="38">
        <v>3.1557895E7</v>
      </c>
      <c r="H152" s="38">
        <v>99867.0</v>
      </c>
      <c r="I152" s="24" t="s">
        <v>1616</v>
      </c>
      <c r="J152" s="39" t="s">
        <v>1617</v>
      </c>
    </row>
    <row r="153">
      <c r="B153" s="24" t="s">
        <v>600</v>
      </c>
      <c r="C153" s="24" t="s">
        <v>1618</v>
      </c>
      <c r="D153" s="24" t="s">
        <v>852</v>
      </c>
      <c r="E153" s="24" t="s">
        <v>1663</v>
      </c>
      <c r="F153" s="24" t="s">
        <v>852</v>
      </c>
      <c r="G153" s="38">
        <v>7.1232764E7</v>
      </c>
      <c r="H153" s="38">
        <v>228310.0</v>
      </c>
      <c r="I153" s="24" t="s">
        <v>1616</v>
      </c>
      <c r="J153" s="39" t="s">
        <v>1617</v>
      </c>
    </row>
    <row r="154">
      <c r="B154" s="24" t="s">
        <v>600</v>
      </c>
      <c r="C154" s="24" t="s">
        <v>1618</v>
      </c>
      <c r="D154" s="24" t="s">
        <v>728</v>
      </c>
      <c r="E154" s="24" t="s">
        <v>1664</v>
      </c>
      <c r="F154" s="24" t="s">
        <v>728</v>
      </c>
      <c r="G154" s="38">
        <v>3447442.0</v>
      </c>
      <c r="H154" s="38">
        <v>11050.0</v>
      </c>
      <c r="I154" s="24" t="s">
        <v>1616</v>
      </c>
      <c r="J154" s="39" t="s">
        <v>1617</v>
      </c>
    </row>
    <row r="155">
      <c r="B155" s="24" t="s">
        <v>600</v>
      </c>
      <c r="C155" s="24" t="s">
        <v>1618</v>
      </c>
      <c r="D155" s="24" t="s">
        <v>856</v>
      </c>
      <c r="E155" s="24" t="s">
        <v>1665</v>
      </c>
      <c r="F155" s="24" t="s">
        <v>856</v>
      </c>
      <c r="G155" s="38">
        <v>4.7522313E7</v>
      </c>
      <c r="H155" s="38">
        <v>152315.0</v>
      </c>
      <c r="I155" s="24" t="s">
        <v>1616</v>
      </c>
      <c r="J155" s="39" t="s">
        <v>1617</v>
      </c>
    </row>
    <row r="156">
      <c r="B156" s="24" t="s">
        <v>600</v>
      </c>
      <c r="C156" s="24" t="s">
        <v>1618</v>
      </c>
      <c r="D156" s="24" t="s">
        <v>858</v>
      </c>
      <c r="E156" s="24" t="s">
        <v>1666</v>
      </c>
      <c r="F156" s="24" t="s">
        <v>858</v>
      </c>
      <c r="G156" s="38">
        <v>1.5165546E7</v>
      </c>
      <c r="H156" s="38">
        <v>48608.0</v>
      </c>
      <c r="I156" s="24" t="s">
        <v>1616</v>
      </c>
      <c r="J156" s="39" t="s">
        <v>1617</v>
      </c>
    </row>
    <row r="157">
      <c r="B157" s="24" t="s">
        <v>600</v>
      </c>
      <c r="C157" s="24" t="s">
        <v>1618</v>
      </c>
      <c r="D157" s="24" t="s">
        <v>862</v>
      </c>
      <c r="E157" s="24" t="s">
        <v>1667</v>
      </c>
      <c r="F157" s="24" t="s">
        <v>862</v>
      </c>
      <c r="G157" s="38">
        <v>1.15046938E8</v>
      </c>
      <c r="H157" s="38">
        <v>313479.0</v>
      </c>
      <c r="I157" s="24" t="s">
        <v>1616</v>
      </c>
      <c r="J157" s="39" t="s">
        <v>1617</v>
      </c>
    </row>
    <row r="158">
      <c r="B158" s="24" t="s">
        <v>600</v>
      </c>
      <c r="C158" s="24" t="s">
        <v>1618</v>
      </c>
      <c r="D158" s="24" t="s">
        <v>730</v>
      </c>
      <c r="E158" s="24" t="s">
        <v>1668</v>
      </c>
      <c r="F158" s="24" t="s">
        <v>730</v>
      </c>
      <c r="G158" s="38">
        <v>2.87265947E8</v>
      </c>
      <c r="H158" s="38">
        <v>759343.0</v>
      </c>
      <c r="I158" s="24" t="s">
        <v>1616</v>
      </c>
      <c r="J158" s="39" t="s">
        <v>1617</v>
      </c>
    </row>
    <row r="159">
      <c r="B159" s="24" t="s">
        <v>600</v>
      </c>
      <c r="C159" s="24" t="s">
        <v>1618</v>
      </c>
      <c r="D159" s="24" t="s">
        <v>713</v>
      </c>
      <c r="E159" s="24" t="s">
        <v>1669</v>
      </c>
      <c r="F159" s="24" t="s">
        <v>713</v>
      </c>
      <c r="G159" s="38">
        <v>3.2277094E7</v>
      </c>
      <c r="H159" s="38">
        <v>103452.0</v>
      </c>
      <c r="I159" s="24" t="s">
        <v>1616</v>
      </c>
      <c r="J159" s="39" t="s">
        <v>1617</v>
      </c>
    </row>
    <row r="160">
      <c r="B160" s="24" t="s">
        <v>600</v>
      </c>
      <c r="C160" s="24" t="s">
        <v>1618</v>
      </c>
      <c r="D160" s="24" t="s">
        <v>868</v>
      </c>
      <c r="E160" s="24" t="s">
        <v>1670</v>
      </c>
      <c r="F160" s="24" t="s">
        <v>868</v>
      </c>
      <c r="G160" s="38">
        <v>5.1612104E7</v>
      </c>
      <c r="H160" s="38">
        <v>165423.0</v>
      </c>
      <c r="I160" s="24" t="s">
        <v>1616</v>
      </c>
      <c r="J160" s="39" t="s">
        <v>1617</v>
      </c>
    </row>
    <row r="161">
      <c r="B161" s="24" t="s">
        <v>600</v>
      </c>
      <c r="C161" s="24" t="s">
        <v>1618</v>
      </c>
      <c r="D161" s="24" t="s">
        <v>1265</v>
      </c>
      <c r="E161" s="24" t="s">
        <v>1671</v>
      </c>
      <c r="F161" s="24" t="s">
        <v>1265</v>
      </c>
      <c r="G161" s="38">
        <v>6635917.0</v>
      </c>
      <c r="H161" s="38">
        <v>21269.0</v>
      </c>
      <c r="I161" s="24" t="s">
        <v>1616</v>
      </c>
      <c r="J161" s="39" t="s">
        <v>1617</v>
      </c>
    </row>
    <row r="162">
      <c r="B162" s="24" t="s">
        <v>600</v>
      </c>
      <c r="C162" s="24" t="s">
        <v>1618</v>
      </c>
      <c r="D162" s="24" t="s">
        <v>734</v>
      </c>
      <c r="E162" s="24" t="s">
        <v>1672</v>
      </c>
      <c r="F162" s="24" t="s">
        <v>734</v>
      </c>
      <c r="G162" s="38">
        <v>5.2844308E7</v>
      </c>
      <c r="H162" s="38">
        <v>145979.0</v>
      </c>
      <c r="I162" s="24" t="s">
        <v>1616</v>
      </c>
      <c r="J162" s="39" t="s">
        <v>1617</v>
      </c>
    </row>
    <row r="163">
      <c r="B163" s="24" t="s">
        <v>600</v>
      </c>
      <c r="C163" s="24" t="s">
        <v>1618</v>
      </c>
      <c r="D163" s="24" t="s">
        <v>874</v>
      </c>
      <c r="E163" s="24" t="s">
        <v>1673</v>
      </c>
      <c r="F163" s="24" t="s">
        <v>874</v>
      </c>
      <c r="G163" s="38">
        <v>1.12437E7</v>
      </c>
      <c r="H163" s="38">
        <v>36038.0</v>
      </c>
      <c r="I163" s="24" t="s">
        <v>1616</v>
      </c>
      <c r="J163" s="39" t="s">
        <v>1617</v>
      </c>
    </row>
    <row r="164">
      <c r="B164" s="24" t="s">
        <v>600</v>
      </c>
      <c r="C164" s="24" t="s">
        <v>1618</v>
      </c>
      <c r="D164" s="24" t="s">
        <v>999</v>
      </c>
      <c r="E164" s="24" t="s">
        <v>1674</v>
      </c>
      <c r="F164" s="24" t="s">
        <v>999</v>
      </c>
      <c r="G164" s="38">
        <v>2.24879815E8</v>
      </c>
      <c r="H164" s="38">
        <v>622936.0</v>
      </c>
      <c r="I164" s="24" t="s">
        <v>1616</v>
      </c>
      <c r="J164" s="39" t="s">
        <v>1617</v>
      </c>
    </row>
    <row r="165">
      <c r="B165" s="24" t="s">
        <v>600</v>
      </c>
      <c r="C165" s="24" t="s">
        <v>1618</v>
      </c>
      <c r="D165" s="24" t="s">
        <v>884</v>
      </c>
      <c r="E165" s="24" t="s">
        <v>1675</v>
      </c>
      <c r="F165" s="24" t="s">
        <v>884</v>
      </c>
      <c r="G165" s="38">
        <v>2.3542884E7</v>
      </c>
      <c r="H165" s="38">
        <v>75458.0</v>
      </c>
      <c r="I165" s="24" t="s">
        <v>1616</v>
      </c>
      <c r="J165" s="39" t="s">
        <v>1617</v>
      </c>
    </row>
    <row r="166">
      <c r="B166" s="24" t="s">
        <v>600</v>
      </c>
      <c r="C166" s="24" t="s">
        <v>1618</v>
      </c>
      <c r="D166" s="24" t="s">
        <v>886</v>
      </c>
      <c r="E166" s="24" t="s">
        <v>1676</v>
      </c>
      <c r="F166" s="24" t="s">
        <v>886</v>
      </c>
      <c r="G166" s="38">
        <v>1.03044467E8</v>
      </c>
      <c r="H166" s="38">
        <v>293574.0</v>
      </c>
      <c r="I166" s="24" t="s">
        <v>1616</v>
      </c>
      <c r="J166" s="39" t="s">
        <v>1617</v>
      </c>
    </row>
    <row r="167">
      <c r="B167" s="24" t="s">
        <v>600</v>
      </c>
      <c r="C167" s="24" t="s">
        <v>1618</v>
      </c>
      <c r="D167" s="24" t="s">
        <v>838</v>
      </c>
      <c r="E167" s="24" t="s">
        <v>1677</v>
      </c>
      <c r="F167" s="24" t="s">
        <v>838</v>
      </c>
      <c r="G167" s="38">
        <v>2914679.0</v>
      </c>
      <c r="H167" s="38">
        <v>9342.0</v>
      </c>
      <c r="I167" s="24" t="s">
        <v>1616</v>
      </c>
      <c r="J167" s="39" t="s">
        <v>1617</v>
      </c>
    </row>
    <row r="168">
      <c r="B168" s="24" t="s">
        <v>600</v>
      </c>
      <c r="C168" s="24" t="s">
        <v>1618</v>
      </c>
      <c r="D168" s="24" t="s">
        <v>890</v>
      </c>
      <c r="E168" s="24" t="s">
        <v>1678</v>
      </c>
      <c r="F168" s="24" t="s">
        <v>890</v>
      </c>
      <c r="G168" s="38">
        <v>1.475776E7</v>
      </c>
      <c r="H168" s="38">
        <v>47453.0</v>
      </c>
      <c r="I168" s="24" t="s">
        <v>1616</v>
      </c>
      <c r="J168" s="39" t="s">
        <v>1617</v>
      </c>
    </row>
    <row r="169">
      <c r="B169" s="24" t="s">
        <v>600</v>
      </c>
      <c r="C169" s="24" t="s">
        <v>1618</v>
      </c>
      <c r="D169" s="24" t="s">
        <v>894</v>
      </c>
      <c r="E169" s="24" t="s">
        <v>1679</v>
      </c>
      <c r="F169" s="24" t="s">
        <v>894</v>
      </c>
      <c r="G169" s="38">
        <v>1.1222066E7</v>
      </c>
      <c r="H169" s="38">
        <v>35968.0</v>
      </c>
      <c r="I169" s="24" t="s">
        <v>1616</v>
      </c>
      <c r="J169" s="39" t="s">
        <v>1617</v>
      </c>
    </row>
    <row r="170">
      <c r="B170" s="24" t="s">
        <v>600</v>
      </c>
      <c r="C170" s="24" t="s">
        <v>1618</v>
      </c>
      <c r="D170" s="24" t="s">
        <v>898</v>
      </c>
      <c r="E170" s="24" t="s">
        <v>1680</v>
      </c>
      <c r="F170" s="24" t="s">
        <v>898</v>
      </c>
      <c r="G170" s="38">
        <v>8093829.0</v>
      </c>
      <c r="H170" s="38">
        <v>25942.0</v>
      </c>
      <c r="I170" s="24" t="s">
        <v>1616</v>
      </c>
      <c r="J170" s="39" t="s">
        <v>1617</v>
      </c>
    </row>
    <row r="171">
      <c r="B171" s="24" t="s">
        <v>600</v>
      </c>
      <c r="C171" s="24" t="s">
        <v>1618</v>
      </c>
      <c r="D171" s="24" t="s">
        <v>1681</v>
      </c>
      <c r="E171" s="24" t="s">
        <v>1682</v>
      </c>
      <c r="F171" s="24" t="s">
        <v>1681</v>
      </c>
      <c r="G171" s="38">
        <v>1227658.0</v>
      </c>
      <c r="H171" s="38">
        <v>3935.0</v>
      </c>
      <c r="I171" s="24" t="s">
        <v>1616</v>
      </c>
      <c r="J171" s="39" t="s">
        <v>1617</v>
      </c>
    </row>
    <row r="172">
      <c r="B172" s="24" t="s">
        <v>600</v>
      </c>
      <c r="C172" s="24" t="s">
        <v>1618</v>
      </c>
      <c r="D172" s="24" t="s">
        <v>1167</v>
      </c>
      <c r="E172" s="24" t="s">
        <v>1683</v>
      </c>
      <c r="F172" s="24" t="s">
        <v>1167</v>
      </c>
      <c r="G172" s="38">
        <v>3.2260594E7</v>
      </c>
      <c r="H172" s="38">
        <v>103399.0</v>
      </c>
      <c r="I172" s="24" t="s">
        <v>1616</v>
      </c>
      <c r="J172" s="39" t="s">
        <v>1617</v>
      </c>
    </row>
    <row r="173">
      <c r="B173" s="24" t="s">
        <v>600</v>
      </c>
      <c r="C173" s="24" t="s">
        <v>1618</v>
      </c>
      <c r="D173" s="24" t="s">
        <v>902</v>
      </c>
      <c r="E173" s="24" t="s">
        <v>1684</v>
      </c>
      <c r="F173" s="24" t="s">
        <v>902</v>
      </c>
      <c r="G173" s="38">
        <v>4.0513668E7</v>
      </c>
      <c r="H173" s="38">
        <v>118808.0</v>
      </c>
      <c r="I173" s="24" t="s">
        <v>1616</v>
      </c>
      <c r="J173" s="39" t="s">
        <v>1617</v>
      </c>
    </row>
    <row r="174">
      <c r="B174" s="24" t="s">
        <v>600</v>
      </c>
      <c r="C174" s="24" t="s">
        <v>1618</v>
      </c>
      <c r="D174" s="24" t="s">
        <v>717</v>
      </c>
      <c r="E174" s="24" t="s">
        <v>1685</v>
      </c>
      <c r="F174" s="24" t="s">
        <v>717</v>
      </c>
      <c r="G174" s="38">
        <v>1.93836039E8</v>
      </c>
      <c r="H174" s="38">
        <v>531058.0</v>
      </c>
      <c r="I174" s="24" t="s">
        <v>1616</v>
      </c>
      <c r="J174" s="39" t="s">
        <v>1617</v>
      </c>
    </row>
    <row r="175">
      <c r="B175" s="24" t="s">
        <v>600</v>
      </c>
      <c r="C175" s="24" t="s">
        <v>1618</v>
      </c>
      <c r="D175" s="24" t="s">
        <v>915</v>
      </c>
      <c r="E175" s="24" t="s">
        <v>1686</v>
      </c>
      <c r="F175" s="24" t="s">
        <v>915</v>
      </c>
      <c r="G175" s="38">
        <v>1.8350543E7</v>
      </c>
      <c r="H175" s="38">
        <v>52281.0</v>
      </c>
      <c r="I175" s="24" t="s">
        <v>1616</v>
      </c>
      <c r="J175" s="39" t="s">
        <v>1617</v>
      </c>
    </row>
    <row r="176">
      <c r="B176" s="24" t="s">
        <v>600</v>
      </c>
      <c r="C176" s="24" t="s">
        <v>1618</v>
      </c>
      <c r="D176" s="24" t="s">
        <v>921</v>
      </c>
      <c r="E176" s="24" t="s">
        <v>1687</v>
      </c>
      <c r="F176" s="24" t="s">
        <v>921</v>
      </c>
      <c r="G176" s="38">
        <v>1.0828105E7</v>
      </c>
      <c r="H176" s="38">
        <v>34705.0</v>
      </c>
      <c r="I176" s="24" t="s">
        <v>1616</v>
      </c>
      <c r="J176" s="39" t="s">
        <v>1617</v>
      </c>
    </row>
    <row r="177">
      <c r="B177" s="24" t="s">
        <v>600</v>
      </c>
      <c r="C177" s="24" t="s">
        <v>1618</v>
      </c>
      <c r="D177" s="24" t="s">
        <v>925</v>
      </c>
      <c r="E177" s="24" t="s">
        <v>1688</v>
      </c>
      <c r="F177" s="24" t="s">
        <v>925</v>
      </c>
      <c r="G177" s="38">
        <v>8.790248E7</v>
      </c>
      <c r="H177" s="38">
        <v>247001.0</v>
      </c>
      <c r="I177" s="24" t="s">
        <v>1616</v>
      </c>
      <c r="J177" s="39" t="s">
        <v>1617</v>
      </c>
    </row>
    <row r="178">
      <c r="B178" s="24" t="s">
        <v>600</v>
      </c>
      <c r="C178" s="24" t="s">
        <v>1618</v>
      </c>
      <c r="D178" s="24" t="s">
        <v>927</v>
      </c>
      <c r="E178" s="24" t="s">
        <v>1689</v>
      </c>
      <c r="F178" s="24" t="s">
        <v>927</v>
      </c>
      <c r="G178" s="38">
        <v>5.327982E7</v>
      </c>
      <c r="H178" s="38">
        <v>145177.0</v>
      </c>
      <c r="I178" s="24" t="s">
        <v>1616</v>
      </c>
      <c r="J178" s="39" t="s">
        <v>1617</v>
      </c>
    </row>
    <row r="179">
      <c r="B179" s="24" t="s">
        <v>600</v>
      </c>
      <c r="C179" s="24" t="s">
        <v>1618</v>
      </c>
      <c r="D179" s="24" t="s">
        <v>933</v>
      </c>
      <c r="E179" s="24" t="s">
        <v>1690</v>
      </c>
      <c r="F179" s="24" t="s">
        <v>933</v>
      </c>
      <c r="G179" s="38">
        <v>1.86564204E8</v>
      </c>
      <c r="H179" s="38">
        <v>508349.0</v>
      </c>
      <c r="I179" s="24" t="s">
        <v>1616</v>
      </c>
      <c r="J179" s="39" t="s">
        <v>1617</v>
      </c>
    </row>
    <row r="180">
      <c r="B180" s="24" t="s">
        <v>600</v>
      </c>
      <c r="C180" s="24" t="s">
        <v>1618</v>
      </c>
      <c r="D180" s="24" t="s">
        <v>935</v>
      </c>
      <c r="E180" s="24" t="s">
        <v>1691</v>
      </c>
      <c r="F180" s="24" t="s">
        <v>935</v>
      </c>
      <c r="G180" s="38">
        <v>1.58724915E8</v>
      </c>
      <c r="H180" s="38">
        <v>432493.0</v>
      </c>
      <c r="I180" s="24" t="s">
        <v>1616</v>
      </c>
      <c r="J180" s="39" t="s">
        <v>1617</v>
      </c>
    </row>
    <row r="181">
      <c r="B181" s="24" t="s">
        <v>600</v>
      </c>
      <c r="C181" s="24" t="s">
        <v>1618</v>
      </c>
      <c r="D181" s="24" t="s">
        <v>1188</v>
      </c>
      <c r="E181" s="24" t="s">
        <v>1692</v>
      </c>
      <c r="F181" s="24" t="s">
        <v>1188</v>
      </c>
      <c r="G181" s="38">
        <v>2.5242521E7</v>
      </c>
      <c r="H181" s="38">
        <v>68781.0</v>
      </c>
      <c r="I181" s="24" t="s">
        <v>1616</v>
      </c>
      <c r="J181" s="39" t="s">
        <v>1617</v>
      </c>
    </row>
    <row r="182">
      <c r="B182" s="24" t="s">
        <v>600</v>
      </c>
      <c r="C182" s="24" t="s">
        <v>1618</v>
      </c>
      <c r="D182" s="24" t="s">
        <v>736</v>
      </c>
      <c r="E182" s="24" t="s">
        <v>1693</v>
      </c>
      <c r="F182" s="24" t="s">
        <v>736</v>
      </c>
      <c r="G182" s="38">
        <v>6.7251834E7</v>
      </c>
      <c r="H182" s="38">
        <v>184252.0</v>
      </c>
      <c r="I182" s="24" t="s">
        <v>1616</v>
      </c>
      <c r="J182" s="39" t="s">
        <v>1617</v>
      </c>
    </row>
    <row r="183">
      <c r="B183" s="24" t="s">
        <v>600</v>
      </c>
      <c r="C183" s="24" t="s">
        <v>1618</v>
      </c>
      <c r="D183" s="24" t="s">
        <v>1050</v>
      </c>
      <c r="E183" s="24" t="s">
        <v>1694</v>
      </c>
      <c r="F183" s="24" t="s">
        <v>1050</v>
      </c>
      <c r="G183" s="38">
        <v>3.12017772E8</v>
      </c>
      <c r="H183" s="38">
        <v>850185.0</v>
      </c>
      <c r="I183" s="24" t="s">
        <v>1616</v>
      </c>
      <c r="J183" s="39" t="s">
        <v>1617</v>
      </c>
    </row>
    <row r="184">
      <c r="B184" s="24" t="s">
        <v>600</v>
      </c>
      <c r="C184" s="24" t="s">
        <v>1695</v>
      </c>
      <c r="D184" s="24" t="s">
        <v>1639</v>
      </c>
      <c r="E184" s="24" t="s">
        <v>1640</v>
      </c>
      <c r="F184" s="24" t="s">
        <v>1639</v>
      </c>
      <c r="G184" s="38">
        <v>6.95672103E8</v>
      </c>
      <c r="H184" s="38">
        <v>2898634.0</v>
      </c>
      <c r="I184" s="24" t="s">
        <v>1616</v>
      </c>
      <c r="J184" s="39" t="s">
        <v>1617</v>
      </c>
    </row>
    <row r="185">
      <c r="B185" s="24" t="s">
        <v>600</v>
      </c>
      <c r="C185" s="24" t="s">
        <v>1696</v>
      </c>
      <c r="D185" s="24" t="s">
        <v>917</v>
      </c>
      <c r="E185" s="24" t="s">
        <v>1697</v>
      </c>
      <c r="F185" s="24" t="s">
        <v>917</v>
      </c>
      <c r="G185" s="38">
        <v>1.839383006E9</v>
      </c>
      <c r="H185" s="38">
        <v>4716367.0</v>
      </c>
      <c r="I185" s="24" t="s">
        <v>1616</v>
      </c>
      <c r="J185" s="39" t="s">
        <v>1617</v>
      </c>
    </row>
    <row r="186">
      <c r="B186" s="24" t="s">
        <v>600</v>
      </c>
      <c r="C186" s="24" t="s">
        <v>1698</v>
      </c>
      <c r="D186" s="24" t="s">
        <v>917</v>
      </c>
      <c r="E186" s="24" t="s">
        <v>1697</v>
      </c>
      <c r="F186" s="24" t="s">
        <v>917</v>
      </c>
      <c r="G186" s="38">
        <v>2.37350066E8</v>
      </c>
      <c r="H186" s="38">
        <v>909387.0</v>
      </c>
      <c r="I186" s="24" t="s">
        <v>1616</v>
      </c>
      <c r="J186" s="39" t="s">
        <v>1617</v>
      </c>
    </row>
    <row r="187">
      <c r="B187" s="24" t="s">
        <v>600</v>
      </c>
      <c r="C187" s="24" t="s">
        <v>1699</v>
      </c>
      <c r="D187" s="24" t="s">
        <v>753</v>
      </c>
      <c r="E187" s="24" t="s">
        <v>1700</v>
      </c>
      <c r="F187" s="24" t="s">
        <v>753</v>
      </c>
      <c r="G187" s="38">
        <v>1.483367E7</v>
      </c>
      <c r="H187" s="38">
        <v>79324.0</v>
      </c>
      <c r="I187" s="24" t="s">
        <v>1616</v>
      </c>
      <c r="J187" s="39" t="s">
        <v>1617</v>
      </c>
    </row>
    <row r="188">
      <c r="B188" s="24" t="s">
        <v>600</v>
      </c>
      <c r="C188" s="24" t="s">
        <v>1699</v>
      </c>
      <c r="D188" s="24" t="s">
        <v>759</v>
      </c>
      <c r="E188" s="24" t="s">
        <v>1701</v>
      </c>
      <c r="F188" s="24" t="s">
        <v>759</v>
      </c>
      <c r="G188" s="38">
        <v>1.4529781E7</v>
      </c>
      <c r="H188" s="38">
        <v>77286.0</v>
      </c>
      <c r="I188" s="24" t="s">
        <v>1616</v>
      </c>
      <c r="J188" s="39" t="s">
        <v>1617</v>
      </c>
    </row>
    <row r="189">
      <c r="B189" s="24" t="s">
        <v>600</v>
      </c>
      <c r="C189" s="24" t="s">
        <v>1699</v>
      </c>
      <c r="D189" s="24" t="s">
        <v>768</v>
      </c>
      <c r="E189" s="24" t="s">
        <v>1702</v>
      </c>
      <c r="F189" s="24" t="s">
        <v>768</v>
      </c>
      <c r="G189" s="38">
        <v>536260.0</v>
      </c>
      <c r="H189" s="38">
        <v>2899.0</v>
      </c>
      <c r="I189" s="24" t="s">
        <v>1616</v>
      </c>
      <c r="J189" s="39" t="s">
        <v>1617</v>
      </c>
    </row>
    <row r="190">
      <c r="B190" s="24" t="s">
        <v>600</v>
      </c>
      <c r="C190" s="24" t="s">
        <v>1699</v>
      </c>
      <c r="D190" s="24" t="s">
        <v>726</v>
      </c>
      <c r="E190" s="24" t="s">
        <v>1703</v>
      </c>
      <c r="F190" s="24" t="s">
        <v>726</v>
      </c>
      <c r="G190" s="38">
        <v>4.9863651E7</v>
      </c>
      <c r="H190" s="38">
        <v>265232.0</v>
      </c>
      <c r="I190" s="24" t="s">
        <v>1616</v>
      </c>
      <c r="J190" s="39" t="s">
        <v>1617</v>
      </c>
    </row>
    <row r="191">
      <c r="B191" s="24" t="s">
        <v>600</v>
      </c>
      <c r="C191" s="24" t="s">
        <v>1699</v>
      </c>
      <c r="D191" s="24" t="s">
        <v>774</v>
      </c>
      <c r="E191" s="24" t="s">
        <v>1704</v>
      </c>
      <c r="F191" s="24" t="s">
        <v>774</v>
      </c>
      <c r="G191" s="38">
        <v>4.026673E7</v>
      </c>
      <c r="H191" s="38">
        <v>222468.0</v>
      </c>
      <c r="I191" s="24" t="s">
        <v>1616</v>
      </c>
      <c r="J191" s="39" t="s">
        <v>1617</v>
      </c>
    </row>
    <row r="192">
      <c r="B192" s="24" t="s">
        <v>600</v>
      </c>
      <c r="C192" s="24" t="s">
        <v>1699</v>
      </c>
      <c r="D192" s="24" t="s">
        <v>720</v>
      </c>
      <c r="E192" s="24" t="s">
        <v>1705</v>
      </c>
      <c r="F192" s="24" t="s">
        <v>720</v>
      </c>
      <c r="G192" s="38">
        <v>1.1479843E7</v>
      </c>
      <c r="H192" s="38">
        <v>85670.0</v>
      </c>
      <c r="I192" s="24" t="s">
        <v>1616</v>
      </c>
      <c r="J192" s="39" t="s">
        <v>1617</v>
      </c>
    </row>
    <row r="193">
      <c r="B193" s="24" t="s">
        <v>600</v>
      </c>
      <c r="C193" s="24" t="s">
        <v>1699</v>
      </c>
      <c r="D193" s="24" t="s">
        <v>856</v>
      </c>
      <c r="E193" s="24" t="s">
        <v>1706</v>
      </c>
      <c r="F193" s="24" t="s">
        <v>856</v>
      </c>
      <c r="G193" s="38">
        <v>6474609.0</v>
      </c>
      <c r="H193" s="38">
        <v>34439.0</v>
      </c>
      <c r="I193" s="24" t="s">
        <v>1616</v>
      </c>
      <c r="J193" s="39" t="s">
        <v>1617</v>
      </c>
    </row>
    <row r="194">
      <c r="B194" s="24" t="s">
        <v>600</v>
      </c>
      <c r="C194" s="24" t="s">
        <v>1699</v>
      </c>
      <c r="D194" s="24" t="s">
        <v>701</v>
      </c>
      <c r="E194" s="24" t="s">
        <v>1707</v>
      </c>
      <c r="F194" s="24" t="s">
        <v>701</v>
      </c>
      <c r="G194" s="38">
        <v>1.30984078E8</v>
      </c>
      <c r="H194" s="38">
        <v>700368.0</v>
      </c>
      <c r="I194" s="24" t="s">
        <v>1616</v>
      </c>
      <c r="J194" s="39" t="s">
        <v>1617</v>
      </c>
    </row>
    <row r="195">
      <c r="B195" s="24" t="s">
        <v>600</v>
      </c>
      <c r="C195" s="24" t="s">
        <v>1699</v>
      </c>
      <c r="D195" s="24" t="s">
        <v>870</v>
      </c>
      <c r="E195" s="24" t="s">
        <v>1708</v>
      </c>
      <c r="F195" s="24" t="s">
        <v>870</v>
      </c>
      <c r="G195" s="38">
        <v>3.3023492E7</v>
      </c>
      <c r="H195" s="38">
        <v>176596.0</v>
      </c>
      <c r="I195" s="24" t="s">
        <v>1616</v>
      </c>
      <c r="J195" s="39" t="s">
        <v>1617</v>
      </c>
    </row>
    <row r="196">
      <c r="B196" s="24" t="s">
        <v>600</v>
      </c>
      <c r="C196" s="24" t="s">
        <v>1699</v>
      </c>
      <c r="D196" s="24" t="s">
        <v>734</v>
      </c>
      <c r="E196" s="24" t="s">
        <v>1709</v>
      </c>
      <c r="F196" s="24" t="s">
        <v>734</v>
      </c>
      <c r="G196" s="38">
        <v>2.1478327E7</v>
      </c>
      <c r="H196" s="38">
        <v>115475.0</v>
      </c>
      <c r="I196" s="24" t="s">
        <v>1616</v>
      </c>
      <c r="J196" s="39" t="s">
        <v>1617</v>
      </c>
    </row>
    <row r="197">
      <c r="B197" s="24" t="s">
        <v>600</v>
      </c>
      <c r="C197" s="24" t="s">
        <v>1699</v>
      </c>
      <c r="D197" s="24" t="s">
        <v>880</v>
      </c>
      <c r="E197" s="24" t="s">
        <v>1710</v>
      </c>
      <c r="F197" s="24" t="s">
        <v>880</v>
      </c>
      <c r="G197" s="38">
        <v>2.10660224E8</v>
      </c>
      <c r="H197" s="38">
        <v>1203773.0</v>
      </c>
      <c r="I197" s="24" t="s">
        <v>1616</v>
      </c>
      <c r="J197" s="39" t="s">
        <v>1617</v>
      </c>
    </row>
    <row r="198">
      <c r="B198" s="24" t="s">
        <v>600</v>
      </c>
      <c r="C198" s="24" t="s">
        <v>1699</v>
      </c>
      <c r="D198" s="24" t="s">
        <v>894</v>
      </c>
      <c r="E198" s="24" t="s">
        <v>1711</v>
      </c>
      <c r="F198" s="24" t="s">
        <v>894</v>
      </c>
      <c r="G198" s="38">
        <v>1101844.0</v>
      </c>
      <c r="H198" s="38">
        <v>6054.0</v>
      </c>
      <c r="I198" s="24" t="s">
        <v>1616</v>
      </c>
      <c r="J198" s="39" t="s">
        <v>1617</v>
      </c>
    </row>
    <row r="199">
      <c r="B199" s="24" t="s">
        <v>600</v>
      </c>
      <c r="C199" s="24" t="s">
        <v>1699</v>
      </c>
      <c r="D199" s="24" t="s">
        <v>1712</v>
      </c>
      <c r="E199" s="24" t="s">
        <v>1713</v>
      </c>
      <c r="F199" s="24" t="s">
        <v>1712</v>
      </c>
      <c r="G199" s="38">
        <v>2.2810822E7</v>
      </c>
      <c r="H199" s="38">
        <v>125334.0</v>
      </c>
      <c r="I199" s="24" t="s">
        <v>1616</v>
      </c>
      <c r="J199" s="39" t="s">
        <v>1617</v>
      </c>
    </row>
    <row r="200">
      <c r="B200" s="24" t="s">
        <v>600</v>
      </c>
      <c r="C200" s="24" t="s">
        <v>1699</v>
      </c>
      <c r="D200" s="24" t="s">
        <v>906</v>
      </c>
      <c r="E200" s="24" t="s">
        <v>1714</v>
      </c>
      <c r="F200" s="24" t="s">
        <v>906</v>
      </c>
      <c r="G200" s="38">
        <v>3.5875787E7</v>
      </c>
      <c r="H200" s="38">
        <v>190829.0</v>
      </c>
      <c r="I200" s="24" t="s">
        <v>1616</v>
      </c>
      <c r="J200" s="39" t="s">
        <v>1617</v>
      </c>
    </row>
    <row r="201">
      <c r="B201" s="24" t="s">
        <v>600</v>
      </c>
      <c r="C201" s="24" t="s">
        <v>1699</v>
      </c>
      <c r="D201" s="24" t="s">
        <v>717</v>
      </c>
      <c r="E201" s="24" t="s">
        <v>1715</v>
      </c>
      <c r="F201" s="24" t="s">
        <v>717</v>
      </c>
      <c r="G201" s="38">
        <v>2.7437841E7</v>
      </c>
      <c r="H201" s="38">
        <v>146726.0</v>
      </c>
      <c r="I201" s="24" t="s">
        <v>1616</v>
      </c>
      <c r="J201" s="39" t="s">
        <v>1617</v>
      </c>
    </row>
    <row r="202">
      <c r="B202" s="24" t="s">
        <v>600</v>
      </c>
      <c r="C202" s="24" t="s">
        <v>1699</v>
      </c>
      <c r="D202" s="24" t="s">
        <v>913</v>
      </c>
      <c r="E202" s="24" t="s">
        <v>1716</v>
      </c>
      <c r="F202" s="24" t="s">
        <v>913</v>
      </c>
      <c r="G202" s="38">
        <v>1.6816546E7</v>
      </c>
      <c r="H202" s="38">
        <v>100698.0</v>
      </c>
      <c r="I202" s="24" t="s">
        <v>1616</v>
      </c>
      <c r="J202" s="39" t="s">
        <v>1617</v>
      </c>
    </row>
    <row r="203">
      <c r="B203" s="24" t="s">
        <v>600</v>
      </c>
      <c r="C203" s="24" t="s">
        <v>1699</v>
      </c>
      <c r="D203" s="24" t="s">
        <v>915</v>
      </c>
      <c r="E203" s="24" t="s">
        <v>1717</v>
      </c>
      <c r="F203" s="24" t="s">
        <v>915</v>
      </c>
      <c r="G203" s="38">
        <v>2.2684106E7</v>
      </c>
      <c r="H203" s="38">
        <v>123283.0</v>
      </c>
      <c r="I203" s="24" t="s">
        <v>1616</v>
      </c>
      <c r="J203" s="39" t="s">
        <v>1617</v>
      </c>
    </row>
    <row r="204">
      <c r="B204" s="24" t="s">
        <v>600</v>
      </c>
      <c r="C204" s="24" t="s">
        <v>1699</v>
      </c>
      <c r="D204" s="24" t="s">
        <v>919</v>
      </c>
      <c r="E204" s="24" t="s">
        <v>1718</v>
      </c>
      <c r="F204" s="24" t="s">
        <v>919</v>
      </c>
      <c r="G204" s="38">
        <v>6377574.0</v>
      </c>
      <c r="H204" s="38">
        <v>55457.0</v>
      </c>
      <c r="I204" s="24" t="s">
        <v>1616</v>
      </c>
      <c r="J204" s="39" t="s">
        <v>1617</v>
      </c>
    </row>
    <row r="205">
      <c r="B205" s="24" t="s">
        <v>600</v>
      </c>
      <c r="C205" s="24" t="s">
        <v>1699</v>
      </c>
      <c r="D205" s="24" t="s">
        <v>736</v>
      </c>
      <c r="E205" s="24" t="s">
        <v>1719</v>
      </c>
      <c r="F205" s="24" t="s">
        <v>736</v>
      </c>
      <c r="G205" s="38">
        <v>3.5551314E7</v>
      </c>
      <c r="H205" s="38">
        <v>191136.0</v>
      </c>
      <c r="I205" s="24" t="s">
        <v>1616</v>
      </c>
      <c r="J205" s="39" t="s">
        <v>1617</v>
      </c>
    </row>
    <row r="206">
      <c r="B206" s="24" t="s">
        <v>600</v>
      </c>
      <c r="C206" s="24" t="s">
        <v>1699</v>
      </c>
      <c r="D206" s="24" t="s">
        <v>939</v>
      </c>
      <c r="E206" s="24" t="s">
        <v>1720</v>
      </c>
      <c r="F206" s="24" t="s">
        <v>939</v>
      </c>
      <c r="G206" s="38">
        <v>1.9284916E7</v>
      </c>
      <c r="H206" s="38">
        <v>104243.0</v>
      </c>
      <c r="I206" s="24" t="s">
        <v>1616</v>
      </c>
      <c r="J206" s="39" t="s">
        <v>1617</v>
      </c>
    </row>
    <row r="207">
      <c r="B207" s="24" t="s">
        <v>600</v>
      </c>
      <c r="C207" s="24" t="s">
        <v>1721</v>
      </c>
      <c r="D207" s="24" t="s">
        <v>1024</v>
      </c>
      <c r="E207" s="24" t="s">
        <v>1722</v>
      </c>
      <c r="F207" s="24" t="s">
        <v>1024</v>
      </c>
      <c r="G207" s="38">
        <v>1317641.0</v>
      </c>
      <c r="H207" s="38">
        <v>6723.0</v>
      </c>
      <c r="I207" s="24" t="s">
        <v>1616</v>
      </c>
      <c r="J207" s="39" t="s">
        <v>1617</v>
      </c>
    </row>
    <row r="208">
      <c r="B208" s="24" t="s">
        <v>600</v>
      </c>
      <c r="C208" s="24" t="s">
        <v>1721</v>
      </c>
      <c r="D208" s="24" t="s">
        <v>836</v>
      </c>
      <c r="E208" s="24" t="s">
        <v>1723</v>
      </c>
      <c r="F208" s="24" t="s">
        <v>836</v>
      </c>
      <c r="G208" s="38">
        <v>2.0498835E7</v>
      </c>
      <c r="H208" s="38">
        <v>74082.0</v>
      </c>
      <c r="I208" s="24" t="s">
        <v>1616</v>
      </c>
      <c r="J208" s="39" t="s">
        <v>1617</v>
      </c>
    </row>
    <row r="209">
      <c r="B209" s="24" t="s">
        <v>600</v>
      </c>
      <c r="C209" s="24" t="s">
        <v>1721</v>
      </c>
      <c r="D209" s="24" t="s">
        <v>983</v>
      </c>
      <c r="E209" s="24" t="s">
        <v>1724</v>
      </c>
      <c r="F209" s="24" t="s">
        <v>983</v>
      </c>
      <c r="G209" s="38">
        <v>1372927.0</v>
      </c>
      <c r="H209" s="38">
        <v>7585.0</v>
      </c>
      <c r="I209" s="24" t="s">
        <v>1616</v>
      </c>
      <c r="J209" s="39" t="s">
        <v>1617</v>
      </c>
    </row>
    <row r="210">
      <c r="B210" s="24" t="s">
        <v>600</v>
      </c>
      <c r="C210" s="24" t="s">
        <v>1721</v>
      </c>
      <c r="D210" s="24" t="s">
        <v>874</v>
      </c>
      <c r="E210" s="24" t="s">
        <v>1725</v>
      </c>
      <c r="F210" s="24" t="s">
        <v>874</v>
      </c>
      <c r="G210" s="38">
        <v>1.9988994E7</v>
      </c>
      <c r="H210" s="38">
        <v>90041.0</v>
      </c>
      <c r="I210" s="24" t="s">
        <v>1616</v>
      </c>
      <c r="J210" s="39" t="s">
        <v>1617</v>
      </c>
    </row>
    <row r="211">
      <c r="B211" s="24" t="s">
        <v>600</v>
      </c>
      <c r="C211" s="24" t="s">
        <v>1726</v>
      </c>
      <c r="D211" s="24" t="s">
        <v>763</v>
      </c>
      <c r="E211" s="24" t="s">
        <v>1727</v>
      </c>
      <c r="F211" s="24" t="s">
        <v>763</v>
      </c>
      <c r="G211" s="38">
        <v>4.3517939E7</v>
      </c>
      <c r="H211" s="38">
        <v>105626.0</v>
      </c>
      <c r="I211" s="24" t="s">
        <v>1616</v>
      </c>
      <c r="J211" s="39" t="s">
        <v>1617</v>
      </c>
    </row>
    <row r="212">
      <c r="B212" s="24" t="s">
        <v>600</v>
      </c>
      <c r="C212" s="24" t="s">
        <v>1726</v>
      </c>
      <c r="D212" s="24" t="s">
        <v>1040</v>
      </c>
      <c r="E212" s="24" t="s">
        <v>1728</v>
      </c>
      <c r="F212" s="24" t="s">
        <v>1040</v>
      </c>
      <c r="G212" s="38">
        <v>3.8683718E7</v>
      </c>
      <c r="H212" s="38">
        <v>119394.0</v>
      </c>
      <c r="I212" s="24" t="s">
        <v>1616</v>
      </c>
      <c r="J212" s="39" t="s">
        <v>1617</v>
      </c>
    </row>
    <row r="213">
      <c r="B213" s="24" t="s">
        <v>600</v>
      </c>
      <c r="C213" s="24" t="s">
        <v>1729</v>
      </c>
      <c r="D213" s="24" t="s">
        <v>1061</v>
      </c>
      <c r="E213" s="24" t="s">
        <v>1730</v>
      </c>
      <c r="F213" s="24" t="s">
        <v>1061</v>
      </c>
      <c r="G213" s="38">
        <v>5.54802514E8</v>
      </c>
      <c r="H213" s="38">
        <v>1460007.0</v>
      </c>
      <c r="I213" s="24" t="s">
        <v>1616</v>
      </c>
      <c r="J213" s="39" t="s">
        <v>1617</v>
      </c>
    </row>
    <row r="214">
      <c r="B214" s="24" t="s">
        <v>600</v>
      </c>
      <c r="C214" s="24" t="s">
        <v>1731</v>
      </c>
      <c r="D214" s="24" t="s">
        <v>783</v>
      </c>
      <c r="E214" s="24" t="s">
        <v>1732</v>
      </c>
      <c r="F214" s="24" t="s">
        <v>783</v>
      </c>
      <c r="G214" s="38">
        <v>1.5481075E7</v>
      </c>
      <c r="H214" s="38">
        <v>63028.0</v>
      </c>
      <c r="I214" s="45" t="s">
        <v>1616</v>
      </c>
      <c r="J214" s="46" t="s">
        <v>1731</v>
      </c>
    </row>
    <row r="215">
      <c r="B215" s="24" t="s">
        <v>600</v>
      </c>
      <c r="C215" s="24" t="s">
        <v>1731</v>
      </c>
      <c r="D215" s="24" t="s">
        <v>732</v>
      </c>
      <c r="E215" s="24" t="s">
        <v>1733</v>
      </c>
      <c r="F215" s="24" t="s">
        <v>1265</v>
      </c>
      <c r="G215" s="38">
        <v>1.0428294E7</v>
      </c>
      <c r="H215" s="38">
        <v>28649.0</v>
      </c>
      <c r="I215" s="45" t="s">
        <v>1616</v>
      </c>
      <c r="J215" s="46" t="s">
        <v>1731</v>
      </c>
    </row>
    <row r="216">
      <c r="B216" s="24" t="s">
        <v>600</v>
      </c>
      <c r="C216" s="24" t="s">
        <v>1731</v>
      </c>
      <c r="D216" s="24" t="s">
        <v>913</v>
      </c>
      <c r="E216" s="24" t="s">
        <v>1734</v>
      </c>
      <c r="F216" s="24" t="s">
        <v>913</v>
      </c>
      <c r="G216" s="38">
        <v>5879916.0</v>
      </c>
      <c r="H216" s="38">
        <v>28000.0</v>
      </c>
      <c r="I216" s="45" t="s">
        <v>1616</v>
      </c>
      <c r="J216" s="46" t="s">
        <v>1731</v>
      </c>
    </row>
    <row r="217">
      <c r="B217" s="24" t="s">
        <v>600</v>
      </c>
      <c r="C217" s="24" t="s">
        <v>1731</v>
      </c>
      <c r="D217" s="24" t="s">
        <v>935</v>
      </c>
      <c r="E217" s="24" t="s">
        <v>1735</v>
      </c>
      <c r="F217" s="24" t="s">
        <v>935</v>
      </c>
      <c r="G217" s="38">
        <v>1.2858707E7</v>
      </c>
      <c r="H217" s="38">
        <v>44204.0</v>
      </c>
      <c r="I217" s="45" t="s">
        <v>1616</v>
      </c>
      <c r="J217" s="46" t="s">
        <v>1731</v>
      </c>
    </row>
    <row r="218">
      <c r="B218" s="24" t="s">
        <v>600</v>
      </c>
      <c r="C218" s="24" t="s">
        <v>1731</v>
      </c>
      <c r="D218" s="24" t="s">
        <v>736</v>
      </c>
      <c r="E218" s="24" t="s">
        <v>1736</v>
      </c>
      <c r="F218" s="24" t="s">
        <v>736</v>
      </c>
      <c r="G218" s="38">
        <v>1007395.0</v>
      </c>
      <c r="H218" s="38">
        <v>4797.0</v>
      </c>
      <c r="I218" s="45" t="s">
        <v>1616</v>
      </c>
      <c r="J218" s="46" t="s">
        <v>1731</v>
      </c>
    </row>
    <row r="219">
      <c r="B219" s="24" t="s">
        <v>600</v>
      </c>
      <c r="C219" s="24" t="s">
        <v>1737</v>
      </c>
      <c r="D219" s="24" t="s">
        <v>1738</v>
      </c>
      <c r="E219" s="24" t="s">
        <v>1739</v>
      </c>
      <c r="F219" s="24" t="s">
        <v>876</v>
      </c>
      <c r="G219" s="38">
        <v>6.3689302E7</v>
      </c>
      <c r="H219" s="38">
        <v>158240.0</v>
      </c>
      <c r="I219" s="45" t="s">
        <v>1616</v>
      </c>
      <c r="J219" s="46" t="s">
        <v>1740</v>
      </c>
    </row>
    <row r="220">
      <c r="B220" s="24" t="s">
        <v>600</v>
      </c>
      <c r="C220" s="24" t="s">
        <v>1741</v>
      </c>
      <c r="D220" s="24" t="s">
        <v>1554</v>
      </c>
      <c r="E220" s="24" t="s">
        <v>1742</v>
      </c>
      <c r="F220" s="24" t="s">
        <v>1554</v>
      </c>
      <c r="G220" s="38">
        <v>2.22270382E8</v>
      </c>
      <c r="H220" s="38">
        <v>529626.0</v>
      </c>
      <c r="I220" s="45" t="s">
        <v>1616</v>
      </c>
      <c r="J220" s="24" t="s">
        <v>1741</v>
      </c>
    </row>
    <row r="221">
      <c r="B221" s="24" t="s">
        <v>600</v>
      </c>
      <c r="C221" s="24" t="s">
        <v>1741</v>
      </c>
      <c r="D221" s="24" t="s">
        <v>850</v>
      </c>
      <c r="E221" s="24" t="s">
        <v>1743</v>
      </c>
      <c r="F221" s="24" t="s">
        <v>850</v>
      </c>
      <c r="G221" s="38">
        <v>4.54361719E8</v>
      </c>
      <c r="H221" s="38">
        <v>1077566.0</v>
      </c>
      <c r="I221" s="45" t="s">
        <v>1616</v>
      </c>
      <c r="J221" s="24" t="s">
        <v>1741</v>
      </c>
    </row>
    <row r="222">
      <c r="B222" s="24" t="s">
        <v>600</v>
      </c>
      <c r="C222" s="24" t="s">
        <v>1741</v>
      </c>
      <c r="D222" s="24" t="s">
        <v>1040</v>
      </c>
      <c r="E222" s="24" t="s">
        <v>1744</v>
      </c>
      <c r="F222" s="24" t="s">
        <v>1040</v>
      </c>
      <c r="G222" s="38">
        <v>2.3796521E7</v>
      </c>
      <c r="H222" s="38">
        <v>61197.0</v>
      </c>
      <c r="I222" s="45" t="s">
        <v>1616</v>
      </c>
      <c r="J222" s="24" t="s">
        <v>1741</v>
      </c>
    </row>
    <row r="223">
      <c r="B223" s="24" t="s">
        <v>600</v>
      </c>
      <c r="C223" s="24" t="s">
        <v>1745</v>
      </c>
      <c r="D223" s="24" t="s">
        <v>788</v>
      </c>
      <c r="E223" s="24" t="s">
        <v>1746</v>
      </c>
      <c r="F223" s="24" t="s">
        <v>788</v>
      </c>
      <c r="G223" s="38">
        <v>2.41113042E8</v>
      </c>
      <c r="H223" s="38">
        <v>832655.0</v>
      </c>
      <c r="I223" s="45" t="s">
        <v>1616</v>
      </c>
      <c r="J223" s="24" t="s">
        <v>1741</v>
      </c>
    </row>
    <row r="224">
      <c r="B224" s="24" t="s">
        <v>600</v>
      </c>
      <c r="C224" s="24" t="s">
        <v>1747</v>
      </c>
      <c r="D224" s="24" t="s">
        <v>1139</v>
      </c>
      <c r="E224" s="24" t="s">
        <v>1748</v>
      </c>
      <c r="F224" s="24" t="s">
        <v>1139</v>
      </c>
      <c r="G224" s="38">
        <v>1.975070813E9</v>
      </c>
      <c r="H224" s="38">
        <v>1.2825303E7</v>
      </c>
      <c r="I224" s="40" t="s">
        <v>1749</v>
      </c>
      <c r="J224" s="46" t="s">
        <v>1750</v>
      </c>
    </row>
    <row r="225">
      <c r="B225" s="24" t="s">
        <v>600</v>
      </c>
      <c r="C225" s="24" t="s">
        <v>1747</v>
      </c>
      <c r="D225" s="24" t="s">
        <v>1475</v>
      </c>
      <c r="E225" s="24" t="s">
        <v>1751</v>
      </c>
      <c r="F225" s="24" t="s">
        <v>1475</v>
      </c>
      <c r="G225" s="38">
        <v>1.78209188E8</v>
      </c>
      <c r="H225" s="38">
        <v>822554.0</v>
      </c>
      <c r="I225" s="40" t="s">
        <v>1749</v>
      </c>
      <c r="J225" s="46" t="s">
        <v>1750</v>
      </c>
    </row>
    <row r="226">
      <c r="B226" s="24" t="s">
        <v>600</v>
      </c>
      <c r="C226" s="24" t="s">
        <v>1747</v>
      </c>
      <c r="D226" s="24" t="s">
        <v>931</v>
      </c>
      <c r="E226" s="24" t="s">
        <v>1752</v>
      </c>
      <c r="F226" s="24" t="s">
        <v>931</v>
      </c>
      <c r="G226" s="38">
        <v>1.2616047E7</v>
      </c>
      <c r="H226" s="38">
        <v>197126.0</v>
      </c>
      <c r="I226" s="40" t="s">
        <v>1749</v>
      </c>
      <c r="J226" s="46" t="s">
        <v>1750</v>
      </c>
    </row>
    <row r="227">
      <c r="B227" s="24" t="s">
        <v>600</v>
      </c>
      <c r="C227" s="24" t="s">
        <v>1747</v>
      </c>
      <c r="D227" s="24" t="s">
        <v>736</v>
      </c>
      <c r="E227" s="24" t="s">
        <v>1753</v>
      </c>
      <c r="F227" s="24" t="s">
        <v>736</v>
      </c>
      <c r="G227" s="38">
        <v>1.8079189E7</v>
      </c>
      <c r="H227" s="38">
        <v>98256.0</v>
      </c>
      <c r="I227" s="40" t="s">
        <v>1749</v>
      </c>
      <c r="J227" s="46" t="s">
        <v>1750</v>
      </c>
    </row>
    <row r="228">
      <c r="B228" s="24" t="s">
        <v>600</v>
      </c>
      <c r="C228" s="24" t="s">
        <v>1754</v>
      </c>
      <c r="D228" s="24" t="s">
        <v>699</v>
      </c>
      <c r="E228" s="24" t="s">
        <v>1755</v>
      </c>
      <c r="F228" s="24" t="s">
        <v>699</v>
      </c>
      <c r="G228" s="38">
        <v>2.28438E7</v>
      </c>
      <c r="H228" s="38">
        <v>60012.0</v>
      </c>
      <c r="I228" s="46" t="s">
        <v>1616</v>
      </c>
      <c r="J228" s="46" t="s">
        <v>1756</v>
      </c>
    </row>
    <row r="229">
      <c r="B229" s="24" t="s">
        <v>600</v>
      </c>
      <c r="C229" s="24" t="s">
        <v>1757</v>
      </c>
      <c r="D229" s="24" t="s">
        <v>695</v>
      </c>
      <c r="E229" s="24" t="s">
        <v>1758</v>
      </c>
      <c r="F229" s="24" t="s">
        <v>695</v>
      </c>
      <c r="G229" s="38">
        <v>1901978.0</v>
      </c>
      <c r="H229" s="38">
        <v>5183.0</v>
      </c>
      <c r="I229" s="40" t="s">
        <v>1616</v>
      </c>
      <c r="J229" s="24" t="s">
        <v>1757</v>
      </c>
    </row>
    <row r="230">
      <c r="B230" s="24" t="s">
        <v>600</v>
      </c>
      <c r="C230" s="24" t="s">
        <v>1757</v>
      </c>
      <c r="D230" s="24" t="s">
        <v>751</v>
      </c>
      <c r="E230" s="24" t="s">
        <v>1759</v>
      </c>
      <c r="F230" s="24" t="s">
        <v>751</v>
      </c>
      <c r="G230" s="38">
        <v>2.8565335E7</v>
      </c>
      <c r="H230" s="38">
        <v>91556.0</v>
      </c>
      <c r="I230" s="40" t="s">
        <v>1616</v>
      </c>
      <c r="J230" s="24" t="s">
        <v>1757</v>
      </c>
    </row>
    <row r="231">
      <c r="B231" s="24" t="s">
        <v>600</v>
      </c>
      <c r="C231" s="24" t="s">
        <v>1757</v>
      </c>
      <c r="D231" s="24" t="s">
        <v>753</v>
      </c>
      <c r="E231" s="24" t="s">
        <v>1760</v>
      </c>
      <c r="F231" s="24" t="s">
        <v>753</v>
      </c>
      <c r="G231" s="38">
        <v>1.2663671E7</v>
      </c>
      <c r="H231" s="38">
        <v>40589.0</v>
      </c>
      <c r="I231" s="40" t="s">
        <v>1616</v>
      </c>
      <c r="J231" s="24" t="s">
        <v>1757</v>
      </c>
    </row>
    <row r="232">
      <c r="B232" s="24" t="s">
        <v>600</v>
      </c>
      <c r="C232" s="24" t="s">
        <v>1757</v>
      </c>
      <c r="D232" s="24" t="s">
        <v>1761</v>
      </c>
      <c r="E232" s="24" t="s">
        <v>1762</v>
      </c>
      <c r="F232" s="24" t="s">
        <v>1761</v>
      </c>
      <c r="G232" s="38">
        <v>2.9182843E7</v>
      </c>
      <c r="H232" s="38">
        <v>80839.0</v>
      </c>
      <c r="I232" s="40" t="s">
        <v>1616</v>
      </c>
      <c r="J232" s="24" t="s">
        <v>1757</v>
      </c>
    </row>
    <row r="233">
      <c r="B233" s="24" t="s">
        <v>600</v>
      </c>
      <c r="C233" s="24" t="s">
        <v>1757</v>
      </c>
      <c r="D233" s="24" t="s">
        <v>786</v>
      </c>
      <c r="E233" s="24" t="s">
        <v>1763</v>
      </c>
      <c r="F233" s="24" t="s">
        <v>786</v>
      </c>
      <c r="G233" s="38">
        <v>1.0114653E7</v>
      </c>
      <c r="H233" s="38">
        <v>32419.0</v>
      </c>
      <c r="I233" s="40" t="s">
        <v>1616</v>
      </c>
      <c r="J233" s="24" t="s">
        <v>1757</v>
      </c>
    </row>
    <row r="234">
      <c r="B234" s="24" t="s">
        <v>600</v>
      </c>
      <c r="C234" s="24" t="s">
        <v>1757</v>
      </c>
      <c r="D234" s="24" t="s">
        <v>796</v>
      </c>
      <c r="E234" s="24" t="s">
        <v>1764</v>
      </c>
      <c r="F234" s="24" t="s">
        <v>796</v>
      </c>
      <c r="G234" s="38">
        <v>7535826.0</v>
      </c>
      <c r="H234" s="38">
        <v>24153.0</v>
      </c>
      <c r="I234" s="40" t="s">
        <v>1616</v>
      </c>
      <c r="J234" s="24" t="s">
        <v>1757</v>
      </c>
    </row>
    <row r="235">
      <c r="B235" s="24" t="s">
        <v>600</v>
      </c>
      <c r="C235" s="24" t="s">
        <v>1757</v>
      </c>
      <c r="D235" s="24" t="s">
        <v>810</v>
      </c>
      <c r="E235" s="24" t="s">
        <v>1765</v>
      </c>
      <c r="F235" s="24" t="s">
        <v>810</v>
      </c>
      <c r="G235" s="38">
        <v>1.4214486E7</v>
      </c>
      <c r="H235" s="38">
        <v>45559.0</v>
      </c>
      <c r="I235" s="40" t="s">
        <v>1616</v>
      </c>
      <c r="J235" s="24" t="s">
        <v>1757</v>
      </c>
    </row>
    <row r="236">
      <c r="B236" s="24" t="s">
        <v>600</v>
      </c>
      <c r="C236" s="24" t="s">
        <v>1757</v>
      </c>
      <c r="D236" s="24" t="s">
        <v>820</v>
      </c>
      <c r="E236" s="24" t="s">
        <v>1766</v>
      </c>
      <c r="F236" s="24" t="s">
        <v>701</v>
      </c>
      <c r="G236" s="38">
        <v>4.7345229E7</v>
      </c>
      <c r="H236" s="38">
        <v>130069.0</v>
      </c>
      <c r="I236" s="40" t="s">
        <v>1616</v>
      </c>
      <c r="J236" s="24" t="s">
        <v>1757</v>
      </c>
    </row>
    <row r="237">
      <c r="B237" s="24" t="s">
        <v>600</v>
      </c>
      <c r="C237" s="24" t="s">
        <v>1757</v>
      </c>
      <c r="D237" s="24" t="s">
        <v>848</v>
      </c>
      <c r="E237" s="24" t="s">
        <v>1767</v>
      </c>
      <c r="F237" s="24" t="s">
        <v>848</v>
      </c>
      <c r="G237" s="38">
        <v>1.9369562E7</v>
      </c>
      <c r="H237" s="38">
        <v>62082.0</v>
      </c>
      <c r="I237" s="40" t="s">
        <v>1616</v>
      </c>
      <c r="J237" s="24" t="s">
        <v>1757</v>
      </c>
    </row>
    <row r="238">
      <c r="B238" s="24" t="s">
        <v>600</v>
      </c>
      <c r="C238" s="24" t="s">
        <v>1757</v>
      </c>
      <c r="D238" s="24" t="s">
        <v>862</v>
      </c>
      <c r="E238" s="24" t="s">
        <v>1768</v>
      </c>
      <c r="F238" s="24" t="s">
        <v>862</v>
      </c>
      <c r="G238" s="38">
        <v>4.9659177E7</v>
      </c>
      <c r="H238" s="38">
        <v>135311.0</v>
      </c>
      <c r="I238" s="40" t="s">
        <v>1616</v>
      </c>
      <c r="J238" s="24" t="s">
        <v>1757</v>
      </c>
    </row>
    <row r="239">
      <c r="B239" s="24" t="s">
        <v>600</v>
      </c>
      <c r="C239" s="24" t="s">
        <v>1757</v>
      </c>
      <c r="D239" s="24" t="s">
        <v>734</v>
      </c>
      <c r="E239" s="24" t="s">
        <v>1769</v>
      </c>
      <c r="F239" s="24" t="s">
        <v>734</v>
      </c>
      <c r="G239" s="38">
        <v>4862448.0</v>
      </c>
      <c r="H239" s="38">
        <v>15585.0</v>
      </c>
      <c r="I239" s="40" t="s">
        <v>1616</v>
      </c>
      <c r="J239" s="24" t="s">
        <v>1757</v>
      </c>
    </row>
    <row r="240">
      <c r="B240" s="24" t="s">
        <v>600</v>
      </c>
      <c r="C240" s="24" t="s">
        <v>1757</v>
      </c>
      <c r="D240" s="24" t="s">
        <v>999</v>
      </c>
      <c r="E240" s="24" t="s">
        <v>1770</v>
      </c>
      <c r="F240" s="24" t="s">
        <v>999</v>
      </c>
      <c r="G240" s="38">
        <v>3255539.0</v>
      </c>
      <c r="H240" s="38">
        <v>10434.0</v>
      </c>
      <c r="I240" s="40" t="s">
        <v>1616</v>
      </c>
      <c r="J240" s="24" t="s">
        <v>1757</v>
      </c>
    </row>
    <row r="241">
      <c r="B241" s="24" t="s">
        <v>600</v>
      </c>
      <c r="C241" s="24" t="s">
        <v>1757</v>
      </c>
      <c r="D241" s="24" t="s">
        <v>838</v>
      </c>
      <c r="E241" s="24" t="s">
        <v>1771</v>
      </c>
      <c r="F241" s="24" t="s">
        <v>838</v>
      </c>
      <c r="G241" s="38">
        <v>3402310.0</v>
      </c>
      <c r="H241" s="38">
        <v>9504.0</v>
      </c>
      <c r="I241" s="40" t="s">
        <v>1616</v>
      </c>
      <c r="J241" s="24" t="s">
        <v>1757</v>
      </c>
    </row>
    <row r="242">
      <c r="B242" s="24" t="s">
        <v>600</v>
      </c>
      <c r="C242" s="24" t="s">
        <v>1757</v>
      </c>
      <c r="D242" s="24" t="s">
        <v>898</v>
      </c>
      <c r="E242" s="24" t="s">
        <v>1772</v>
      </c>
      <c r="F242" s="24" t="s">
        <v>898</v>
      </c>
      <c r="G242" s="38">
        <v>4617244.0</v>
      </c>
      <c r="H242" s="38">
        <v>14799.0</v>
      </c>
      <c r="I242" s="40" t="s">
        <v>1616</v>
      </c>
      <c r="J242" s="24" t="s">
        <v>1757</v>
      </c>
    </row>
    <row r="243">
      <c r="B243" s="24" t="s">
        <v>600</v>
      </c>
      <c r="C243" s="24" t="s">
        <v>1757</v>
      </c>
      <c r="D243" s="24" t="s">
        <v>1176</v>
      </c>
      <c r="E243" s="24" t="s">
        <v>1773</v>
      </c>
      <c r="F243" s="24" t="s">
        <v>1176</v>
      </c>
      <c r="G243" s="38">
        <v>6931850.0</v>
      </c>
      <c r="H243" s="38">
        <v>18888.0</v>
      </c>
      <c r="I243" s="40" t="s">
        <v>1616</v>
      </c>
      <c r="J243" s="24" t="s">
        <v>1757</v>
      </c>
    </row>
    <row r="244">
      <c r="B244" s="24" t="s">
        <v>600</v>
      </c>
      <c r="C244" s="24" t="s">
        <v>1757</v>
      </c>
      <c r="D244" s="24" t="s">
        <v>1445</v>
      </c>
      <c r="E244" s="24" t="s">
        <v>1774</v>
      </c>
      <c r="F244" s="24" t="s">
        <v>1445</v>
      </c>
      <c r="G244" s="38">
        <v>1.10405627E8</v>
      </c>
      <c r="H244" s="38">
        <v>326818.0</v>
      </c>
      <c r="I244" s="40" t="s">
        <v>1616</v>
      </c>
      <c r="J244" s="24" t="s">
        <v>1757</v>
      </c>
    </row>
    <row r="245">
      <c r="B245" s="24" t="s">
        <v>600</v>
      </c>
      <c r="C245" s="24" t="s">
        <v>1775</v>
      </c>
      <c r="D245" s="24" t="s">
        <v>746</v>
      </c>
      <c r="E245" s="24" t="s">
        <v>1776</v>
      </c>
      <c r="F245" s="24" t="s">
        <v>1777</v>
      </c>
      <c r="G245" s="38">
        <v>1.40385028E8</v>
      </c>
      <c r="H245" s="38">
        <v>381457.0</v>
      </c>
      <c r="I245" s="40" t="s">
        <v>1616</v>
      </c>
      <c r="J245" s="24" t="s">
        <v>1775</v>
      </c>
    </row>
    <row r="246">
      <c r="B246" s="24" t="s">
        <v>600</v>
      </c>
      <c r="C246" s="24" t="s">
        <v>1778</v>
      </c>
      <c r="D246" s="24" t="s">
        <v>746</v>
      </c>
      <c r="E246" s="24" t="s">
        <v>1779</v>
      </c>
      <c r="F246" s="24" t="s">
        <v>746</v>
      </c>
      <c r="G246" s="38">
        <v>8676227.0</v>
      </c>
      <c r="H246" s="38">
        <v>27808.0</v>
      </c>
      <c r="I246" s="40" t="s">
        <v>1616</v>
      </c>
      <c r="J246" s="46" t="s">
        <v>1780</v>
      </c>
    </row>
    <row r="247">
      <c r="B247" s="24" t="s">
        <v>600</v>
      </c>
      <c r="C247" s="24" t="s">
        <v>1778</v>
      </c>
      <c r="D247" s="24" t="s">
        <v>720</v>
      </c>
      <c r="E247" s="24" t="s">
        <v>1781</v>
      </c>
      <c r="F247" s="24" t="s">
        <v>720</v>
      </c>
      <c r="G247" s="38">
        <v>6566258.0</v>
      </c>
      <c r="H247" s="38">
        <v>20080.0</v>
      </c>
      <c r="I247" s="40" t="s">
        <v>1616</v>
      </c>
      <c r="J247" s="46" t="s">
        <v>1780</v>
      </c>
    </row>
    <row r="248">
      <c r="B248" s="24" t="s">
        <v>600</v>
      </c>
      <c r="C248" s="24" t="s">
        <v>1778</v>
      </c>
      <c r="D248" s="24" t="s">
        <v>783</v>
      </c>
      <c r="E248" s="24" t="s">
        <v>1782</v>
      </c>
      <c r="F248" s="24" t="s">
        <v>783</v>
      </c>
      <c r="G248" s="38">
        <v>6449093.0</v>
      </c>
      <c r="H248" s="38">
        <v>20670.0</v>
      </c>
      <c r="I248" s="40" t="s">
        <v>1616</v>
      </c>
      <c r="J248" s="46" t="s">
        <v>1780</v>
      </c>
    </row>
    <row r="249">
      <c r="B249" s="24" t="s">
        <v>600</v>
      </c>
      <c r="C249" s="24" t="s">
        <v>1778</v>
      </c>
      <c r="D249" s="24" t="s">
        <v>810</v>
      </c>
      <c r="E249" s="24" t="s">
        <v>1783</v>
      </c>
      <c r="F249" s="24" t="s">
        <v>810</v>
      </c>
      <c r="G249" s="38">
        <v>5.5087325E7</v>
      </c>
      <c r="H249" s="38">
        <v>153875.0</v>
      </c>
      <c r="I249" s="40" t="s">
        <v>1616</v>
      </c>
      <c r="J249" s="46" t="s">
        <v>1780</v>
      </c>
    </row>
    <row r="250">
      <c r="B250" s="24" t="s">
        <v>600</v>
      </c>
      <c r="C250" s="24" t="s">
        <v>1778</v>
      </c>
      <c r="D250" s="24" t="s">
        <v>826</v>
      </c>
      <c r="E250" s="24" t="s">
        <v>1784</v>
      </c>
      <c r="F250" s="24" t="s">
        <v>826</v>
      </c>
      <c r="G250" s="38">
        <v>8846086.0</v>
      </c>
      <c r="H250" s="38">
        <v>28353.0</v>
      </c>
      <c r="I250" s="40" t="s">
        <v>1616</v>
      </c>
      <c r="J250" s="46" t="s">
        <v>1780</v>
      </c>
    </row>
    <row r="251">
      <c r="B251" s="24" t="s">
        <v>600</v>
      </c>
      <c r="C251" s="24" t="s">
        <v>1778</v>
      </c>
      <c r="D251" s="24" t="s">
        <v>1040</v>
      </c>
      <c r="E251" s="24" t="s">
        <v>1785</v>
      </c>
      <c r="F251" s="24" t="s">
        <v>1040</v>
      </c>
      <c r="G251" s="38">
        <v>3.3485229E7</v>
      </c>
      <c r="H251" s="38">
        <v>115866.0</v>
      </c>
      <c r="I251" s="40" t="s">
        <v>1616</v>
      </c>
      <c r="J251" s="46" t="s">
        <v>1780</v>
      </c>
    </row>
    <row r="252">
      <c r="B252" s="24" t="s">
        <v>600</v>
      </c>
      <c r="C252" s="24" t="s">
        <v>1778</v>
      </c>
      <c r="D252" s="24" t="s">
        <v>734</v>
      </c>
      <c r="E252" s="24" t="s">
        <v>1786</v>
      </c>
      <c r="F252" s="24" t="s">
        <v>734</v>
      </c>
      <c r="G252" s="38">
        <v>2.4998388E7</v>
      </c>
      <c r="H252" s="38">
        <v>80123.0</v>
      </c>
      <c r="I252" s="40" t="s">
        <v>1616</v>
      </c>
      <c r="J252" s="46" t="s">
        <v>1780</v>
      </c>
    </row>
    <row r="253">
      <c r="B253" s="24" t="s">
        <v>600</v>
      </c>
      <c r="C253" s="24" t="s">
        <v>1778</v>
      </c>
      <c r="D253" s="24" t="s">
        <v>902</v>
      </c>
      <c r="E253" s="24" t="s">
        <v>1787</v>
      </c>
      <c r="F253" s="24" t="s">
        <v>902</v>
      </c>
      <c r="G253" s="38">
        <v>1.4403093E7</v>
      </c>
      <c r="H253" s="38">
        <v>46164.0</v>
      </c>
      <c r="I253" s="40" t="s">
        <v>1616</v>
      </c>
      <c r="J253" s="46" t="s">
        <v>1780</v>
      </c>
    </row>
    <row r="254">
      <c r="B254" s="24" t="s">
        <v>600</v>
      </c>
      <c r="C254" s="24" t="s">
        <v>1778</v>
      </c>
      <c r="D254" s="24" t="s">
        <v>915</v>
      </c>
      <c r="E254" s="24" t="s">
        <v>1788</v>
      </c>
      <c r="F254" s="24" t="s">
        <v>915</v>
      </c>
      <c r="G254" s="38">
        <v>2.4301128E7</v>
      </c>
      <c r="H254" s="38">
        <v>66761.0</v>
      </c>
      <c r="I254" s="40" t="s">
        <v>1616</v>
      </c>
      <c r="J254" s="46" t="s">
        <v>1780</v>
      </c>
    </row>
    <row r="255">
      <c r="B255" s="24" t="s">
        <v>600</v>
      </c>
      <c r="C255" s="24" t="s">
        <v>1778</v>
      </c>
      <c r="D255" s="24" t="s">
        <v>931</v>
      </c>
      <c r="E255" s="24" t="s">
        <v>1789</v>
      </c>
      <c r="F255" s="24" t="s">
        <v>931</v>
      </c>
      <c r="G255" s="38">
        <v>7439862.0</v>
      </c>
      <c r="H255" s="38">
        <v>23846.0</v>
      </c>
      <c r="I255" s="40" t="s">
        <v>1616</v>
      </c>
      <c r="J255" s="46" t="s">
        <v>1780</v>
      </c>
    </row>
    <row r="256">
      <c r="B256" s="24" t="s">
        <v>600</v>
      </c>
      <c r="C256" s="24" t="s">
        <v>1778</v>
      </c>
      <c r="D256" s="24" t="s">
        <v>935</v>
      </c>
      <c r="E256" s="24" t="s">
        <v>1790</v>
      </c>
      <c r="F256" s="24" t="s">
        <v>935</v>
      </c>
      <c r="G256" s="38">
        <v>4.3571897E7</v>
      </c>
      <c r="H256" s="38">
        <v>119703.0</v>
      </c>
      <c r="I256" s="40" t="s">
        <v>1616</v>
      </c>
      <c r="J256" s="46" t="s">
        <v>1780</v>
      </c>
    </row>
    <row r="257">
      <c r="B257" s="24" t="s">
        <v>600</v>
      </c>
      <c r="C257" s="24" t="s">
        <v>1778</v>
      </c>
      <c r="D257" s="24" t="s">
        <v>1791</v>
      </c>
      <c r="E257" s="24" t="s">
        <v>1792</v>
      </c>
      <c r="F257" s="24" t="s">
        <v>1791</v>
      </c>
      <c r="G257" s="38">
        <v>4.11169106E8</v>
      </c>
      <c r="H257" s="38">
        <v>1132697.0</v>
      </c>
      <c r="I257" s="40" t="s">
        <v>1616</v>
      </c>
      <c r="J257" s="46" t="s">
        <v>1780</v>
      </c>
    </row>
    <row r="258">
      <c r="B258" s="24" t="s">
        <v>600</v>
      </c>
      <c r="C258" s="24" t="s">
        <v>1793</v>
      </c>
      <c r="D258" s="24" t="s">
        <v>722</v>
      </c>
      <c r="E258" s="24" t="s">
        <v>1794</v>
      </c>
      <c r="F258" s="24" t="s">
        <v>1139</v>
      </c>
      <c r="G258" s="38">
        <v>2.24761503E8</v>
      </c>
      <c r="H258" s="38">
        <v>449761.0</v>
      </c>
      <c r="I258" s="40" t="s">
        <v>1616</v>
      </c>
      <c r="J258" s="46" t="s">
        <v>1795</v>
      </c>
    </row>
    <row r="259">
      <c r="B259" s="24" t="s">
        <v>600</v>
      </c>
      <c r="C259" s="24" t="s">
        <v>1796</v>
      </c>
      <c r="D259" s="24" t="s">
        <v>1478</v>
      </c>
      <c r="E259" s="24" t="s">
        <v>1797</v>
      </c>
      <c r="F259" s="24" t="s">
        <v>1473</v>
      </c>
      <c r="G259" s="38">
        <v>7.8080993E7</v>
      </c>
      <c r="H259" s="38">
        <v>271115.0</v>
      </c>
      <c r="I259" s="40" t="s">
        <v>1616</v>
      </c>
      <c r="J259" s="24" t="s">
        <v>1796</v>
      </c>
    </row>
    <row r="260">
      <c r="B260" s="24" t="s">
        <v>600</v>
      </c>
      <c r="C260" s="24" t="s">
        <v>1796</v>
      </c>
      <c r="D260" s="24" t="s">
        <v>1478</v>
      </c>
      <c r="E260" s="24" t="s">
        <v>1798</v>
      </c>
      <c r="F260" s="24" t="s">
        <v>1473</v>
      </c>
      <c r="G260" s="38">
        <v>9.5720776E7</v>
      </c>
      <c r="H260" s="38">
        <v>284038.0</v>
      </c>
      <c r="I260" s="40" t="s">
        <v>1616</v>
      </c>
      <c r="J260" s="24" t="s">
        <v>1796</v>
      </c>
    </row>
    <row r="261">
      <c r="B261" s="24" t="s">
        <v>600</v>
      </c>
      <c r="C261" s="24" t="s">
        <v>1796</v>
      </c>
      <c r="D261" s="24" t="s">
        <v>746</v>
      </c>
      <c r="E261" s="24" t="s">
        <v>1799</v>
      </c>
      <c r="F261" s="24" t="s">
        <v>746</v>
      </c>
      <c r="G261" s="38">
        <v>1.36978314E8</v>
      </c>
      <c r="H261" s="38">
        <v>397039.0</v>
      </c>
      <c r="I261" s="40" t="s">
        <v>1616</v>
      </c>
      <c r="J261" s="24" t="s">
        <v>1796</v>
      </c>
    </row>
    <row r="262">
      <c r="B262" s="24" t="s">
        <v>600</v>
      </c>
      <c r="C262" s="24" t="s">
        <v>1796</v>
      </c>
      <c r="D262" s="24" t="s">
        <v>1800</v>
      </c>
      <c r="E262" s="24" t="s">
        <v>1801</v>
      </c>
      <c r="F262" s="24" t="s">
        <v>1800</v>
      </c>
      <c r="G262" s="38">
        <v>1.015092676E9</v>
      </c>
      <c r="H262" s="38">
        <v>3243108.0</v>
      </c>
      <c r="I262" s="40" t="s">
        <v>1616</v>
      </c>
      <c r="J262" s="24" t="s">
        <v>1796</v>
      </c>
    </row>
    <row r="263">
      <c r="B263" s="24" t="s">
        <v>600</v>
      </c>
      <c r="C263" s="24" t="s">
        <v>1796</v>
      </c>
      <c r="D263" s="24" t="s">
        <v>1473</v>
      </c>
      <c r="E263" s="24" t="s">
        <v>1797</v>
      </c>
      <c r="F263" s="24" t="s">
        <v>1473</v>
      </c>
      <c r="G263" s="38">
        <v>1.4689189E7</v>
      </c>
      <c r="H263" s="38">
        <v>76110.0</v>
      </c>
      <c r="I263" s="40" t="s">
        <v>1616</v>
      </c>
      <c r="J263" s="24" t="s">
        <v>1796</v>
      </c>
    </row>
    <row r="264">
      <c r="B264" s="24" t="s">
        <v>600</v>
      </c>
      <c r="C264" s="24" t="s">
        <v>1802</v>
      </c>
      <c r="D264" s="24" t="s">
        <v>695</v>
      </c>
      <c r="E264" s="24" t="s">
        <v>1803</v>
      </c>
      <c r="F264" s="24" t="s">
        <v>695</v>
      </c>
      <c r="G264" s="38">
        <v>5.8172261E7</v>
      </c>
      <c r="H264" s="38">
        <v>164624.0</v>
      </c>
      <c r="I264" s="40" t="s">
        <v>1616</v>
      </c>
      <c r="J264" s="46" t="s">
        <v>1804</v>
      </c>
    </row>
    <row r="265">
      <c r="B265" s="24" t="s">
        <v>600</v>
      </c>
      <c r="C265" s="24" t="s">
        <v>1802</v>
      </c>
      <c r="D265" s="24" t="s">
        <v>746</v>
      </c>
      <c r="E265" s="24" t="s">
        <v>1805</v>
      </c>
      <c r="F265" s="24" t="s">
        <v>746</v>
      </c>
      <c r="G265" s="38">
        <v>1.2248293E7</v>
      </c>
      <c r="H265" s="38">
        <v>39257.0</v>
      </c>
      <c r="I265" s="40" t="s">
        <v>1616</v>
      </c>
      <c r="J265" s="46" t="s">
        <v>1804</v>
      </c>
    </row>
    <row r="266">
      <c r="B266" s="24" t="s">
        <v>600</v>
      </c>
      <c r="C266" s="24" t="s">
        <v>1802</v>
      </c>
      <c r="D266" s="24" t="s">
        <v>751</v>
      </c>
      <c r="E266" s="24" t="s">
        <v>1806</v>
      </c>
      <c r="F266" s="24" t="s">
        <v>751</v>
      </c>
      <c r="G266" s="38">
        <v>1.438422E7</v>
      </c>
      <c r="H266" s="38">
        <v>46103.0</v>
      </c>
      <c r="I266" s="40" t="s">
        <v>1616</v>
      </c>
      <c r="J266" s="46" t="s">
        <v>1804</v>
      </c>
    </row>
    <row r="267">
      <c r="B267" s="24" t="s">
        <v>600</v>
      </c>
      <c r="C267" s="24" t="s">
        <v>1802</v>
      </c>
      <c r="D267" s="24" t="s">
        <v>761</v>
      </c>
      <c r="E267" s="24" t="s">
        <v>1807</v>
      </c>
      <c r="F267" s="24" t="s">
        <v>761</v>
      </c>
      <c r="G267" s="38">
        <v>1.89982921E8</v>
      </c>
      <c r="H267" s="38">
        <v>517665.0</v>
      </c>
      <c r="I267" s="40" t="s">
        <v>1616</v>
      </c>
      <c r="J267" s="46" t="s">
        <v>1804</v>
      </c>
    </row>
    <row r="268">
      <c r="B268" s="24" t="s">
        <v>600</v>
      </c>
      <c r="C268" s="24" t="s">
        <v>1802</v>
      </c>
      <c r="D268" s="24" t="s">
        <v>768</v>
      </c>
      <c r="E268" s="24" t="s">
        <v>1808</v>
      </c>
      <c r="F268" s="24" t="s">
        <v>768</v>
      </c>
      <c r="G268" s="38">
        <v>2.469073E7</v>
      </c>
      <c r="H268" s="38">
        <v>79137.0</v>
      </c>
      <c r="I268" s="40" t="s">
        <v>1616</v>
      </c>
      <c r="J268" s="46" t="s">
        <v>1804</v>
      </c>
    </row>
    <row r="269">
      <c r="B269" s="24" t="s">
        <v>600</v>
      </c>
      <c r="C269" s="24" t="s">
        <v>1802</v>
      </c>
      <c r="D269" s="24" t="s">
        <v>772</v>
      </c>
      <c r="E269" s="24" t="s">
        <v>1809</v>
      </c>
      <c r="F269" s="24" t="s">
        <v>772</v>
      </c>
      <c r="G269" s="38">
        <v>7.0965381E7</v>
      </c>
      <c r="H269" s="38">
        <v>193366.0</v>
      </c>
      <c r="I269" s="40" t="s">
        <v>1616</v>
      </c>
      <c r="J269" s="46" t="s">
        <v>1804</v>
      </c>
    </row>
    <row r="270">
      <c r="B270" s="24" t="s">
        <v>600</v>
      </c>
      <c r="C270" s="24" t="s">
        <v>1802</v>
      </c>
      <c r="D270" s="24" t="s">
        <v>774</v>
      </c>
      <c r="E270" s="24" t="s">
        <v>1810</v>
      </c>
      <c r="F270" s="24" t="s">
        <v>774</v>
      </c>
      <c r="G270" s="38">
        <v>6.000964E7</v>
      </c>
      <c r="H270" s="38">
        <v>163514.0</v>
      </c>
      <c r="I270" s="40" t="s">
        <v>1616</v>
      </c>
      <c r="J270" s="46" t="s">
        <v>1804</v>
      </c>
    </row>
    <row r="271">
      <c r="B271" s="24" t="s">
        <v>600</v>
      </c>
      <c r="C271" s="24" t="s">
        <v>1802</v>
      </c>
      <c r="D271" s="24" t="s">
        <v>776</v>
      </c>
      <c r="E271" s="24" t="s">
        <v>1811</v>
      </c>
      <c r="F271" s="24" t="s">
        <v>776</v>
      </c>
      <c r="G271" s="38">
        <v>1.02362808E8</v>
      </c>
      <c r="H271" s="38">
        <v>223109.0</v>
      </c>
      <c r="I271" s="40" t="s">
        <v>1616</v>
      </c>
      <c r="J271" s="46" t="s">
        <v>1804</v>
      </c>
    </row>
    <row r="272">
      <c r="B272" s="24" t="s">
        <v>600</v>
      </c>
      <c r="C272" s="24" t="s">
        <v>1802</v>
      </c>
      <c r="D272" s="24" t="s">
        <v>779</v>
      </c>
      <c r="E272" s="24" t="s">
        <v>1812</v>
      </c>
      <c r="F272" s="24" t="s">
        <v>779</v>
      </c>
      <c r="G272" s="38">
        <v>2.626616E7</v>
      </c>
      <c r="H272" s="38">
        <v>84186.0</v>
      </c>
      <c r="I272" s="40" t="s">
        <v>1616</v>
      </c>
      <c r="J272" s="46" t="s">
        <v>1804</v>
      </c>
    </row>
    <row r="273">
      <c r="B273" s="24" t="s">
        <v>600</v>
      </c>
      <c r="C273" s="24" t="s">
        <v>1802</v>
      </c>
      <c r="D273" s="24" t="s">
        <v>783</v>
      </c>
      <c r="E273" s="24" t="s">
        <v>1813</v>
      </c>
      <c r="F273" s="24" t="s">
        <v>783</v>
      </c>
      <c r="G273" s="38">
        <v>5921588.0</v>
      </c>
      <c r="H273" s="38">
        <v>18979.0</v>
      </c>
      <c r="I273" s="40" t="s">
        <v>1616</v>
      </c>
      <c r="J273" s="46" t="s">
        <v>1804</v>
      </c>
    </row>
    <row r="274">
      <c r="B274" s="24" t="s">
        <v>600</v>
      </c>
      <c r="C274" s="24" t="s">
        <v>1802</v>
      </c>
      <c r="D274" s="24" t="s">
        <v>790</v>
      </c>
      <c r="E274" s="24" t="s">
        <v>1814</v>
      </c>
      <c r="F274" s="24" t="s">
        <v>790</v>
      </c>
      <c r="G274" s="38">
        <v>4682958.0</v>
      </c>
      <c r="H274" s="38">
        <v>15009.0</v>
      </c>
      <c r="I274" s="40" t="s">
        <v>1616</v>
      </c>
      <c r="J274" s="46" t="s">
        <v>1804</v>
      </c>
    </row>
    <row r="275">
      <c r="B275" s="24" t="s">
        <v>600</v>
      </c>
      <c r="C275" s="24" t="s">
        <v>1802</v>
      </c>
      <c r="D275" s="24" t="s">
        <v>792</v>
      </c>
      <c r="E275" s="24" t="s">
        <v>1815</v>
      </c>
      <c r="F275" s="24" t="s">
        <v>792</v>
      </c>
      <c r="G275" s="38">
        <v>2.9136719E7</v>
      </c>
      <c r="H275" s="38">
        <v>93387.0</v>
      </c>
      <c r="I275" s="40" t="s">
        <v>1616</v>
      </c>
      <c r="J275" s="46" t="s">
        <v>1804</v>
      </c>
    </row>
    <row r="276">
      <c r="B276" s="24" t="s">
        <v>600</v>
      </c>
      <c r="C276" s="24" t="s">
        <v>1802</v>
      </c>
      <c r="D276" s="24" t="s">
        <v>953</v>
      </c>
      <c r="E276" s="24" t="s">
        <v>1816</v>
      </c>
      <c r="F276" s="24" t="s">
        <v>953</v>
      </c>
      <c r="G276" s="38">
        <v>7.396593E7</v>
      </c>
      <c r="H276" s="38">
        <v>187296.0</v>
      </c>
      <c r="I276" s="40" t="s">
        <v>1616</v>
      </c>
      <c r="J276" s="46" t="s">
        <v>1804</v>
      </c>
    </row>
    <row r="277">
      <c r="B277" s="24" t="s">
        <v>600</v>
      </c>
      <c r="C277" s="24" t="s">
        <v>1802</v>
      </c>
      <c r="D277" s="24" t="s">
        <v>818</v>
      </c>
      <c r="E277" s="24" t="s">
        <v>1817</v>
      </c>
      <c r="F277" s="24" t="s">
        <v>818</v>
      </c>
      <c r="G277" s="38">
        <v>2.1319785E7</v>
      </c>
      <c r="H277" s="38">
        <v>68333.0</v>
      </c>
      <c r="I277" s="40" t="s">
        <v>1616</v>
      </c>
      <c r="J277" s="46" t="s">
        <v>1804</v>
      </c>
    </row>
    <row r="278">
      <c r="B278" s="24" t="s">
        <v>600</v>
      </c>
      <c r="C278" s="24" t="s">
        <v>1802</v>
      </c>
      <c r="D278" s="24" t="s">
        <v>828</v>
      </c>
      <c r="E278" s="24" t="s">
        <v>1818</v>
      </c>
      <c r="F278" s="24" t="s">
        <v>828</v>
      </c>
      <c r="G278" s="38">
        <v>1.7628663E7</v>
      </c>
      <c r="H278" s="38">
        <v>46955.0</v>
      </c>
      <c r="I278" s="40" t="s">
        <v>1616</v>
      </c>
      <c r="J278" s="46" t="s">
        <v>1804</v>
      </c>
    </row>
    <row r="279">
      <c r="B279" s="24" t="s">
        <v>600</v>
      </c>
      <c r="C279" s="24" t="s">
        <v>1802</v>
      </c>
      <c r="D279" s="24" t="s">
        <v>830</v>
      </c>
      <c r="E279" s="24" t="s">
        <v>1819</v>
      </c>
      <c r="F279" s="24" t="s">
        <v>830</v>
      </c>
      <c r="G279" s="38">
        <v>2.301569352E9</v>
      </c>
      <c r="H279" s="38">
        <v>5577499.0</v>
      </c>
      <c r="I279" s="40" t="s">
        <v>1616</v>
      </c>
      <c r="J279" s="46" t="s">
        <v>1804</v>
      </c>
    </row>
    <row r="280">
      <c r="B280" s="24" t="s">
        <v>600</v>
      </c>
      <c r="C280" s="24" t="s">
        <v>1802</v>
      </c>
      <c r="D280" s="24" t="s">
        <v>710</v>
      </c>
      <c r="E280" s="24" t="s">
        <v>1820</v>
      </c>
      <c r="F280" s="24" t="s">
        <v>1101</v>
      </c>
      <c r="G280" s="38">
        <v>1.0071132E7</v>
      </c>
      <c r="H280" s="38">
        <v>23070.0</v>
      </c>
      <c r="I280" s="40" t="s">
        <v>1616</v>
      </c>
      <c r="J280" s="46" t="s">
        <v>1804</v>
      </c>
    </row>
    <row r="281">
      <c r="B281" s="24" t="s">
        <v>600</v>
      </c>
      <c r="C281" s="24" t="s">
        <v>1802</v>
      </c>
      <c r="D281" s="24" t="s">
        <v>848</v>
      </c>
      <c r="E281" s="24" t="s">
        <v>1821</v>
      </c>
      <c r="F281" s="24" t="s">
        <v>848</v>
      </c>
      <c r="G281" s="38">
        <v>5.9921206E7</v>
      </c>
      <c r="H281" s="38">
        <v>163273.0</v>
      </c>
      <c r="I281" s="40" t="s">
        <v>1616</v>
      </c>
      <c r="J281" s="46" t="s">
        <v>1804</v>
      </c>
    </row>
    <row r="282">
      <c r="B282" s="24" t="s">
        <v>600</v>
      </c>
      <c r="C282" s="24" t="s">
        <v>1802</v>
      </c>
      <c r="D282" s="24" t="s">
        <v>856</v>
      </c>
      <c r="E282" s="24" t="s">
        <v>1822</v>
      </c>
      <c r="F282" s="24" t="s">
        <v>856</v>
      </c>
      <c r="G282" s="38">
        <v>1.5254969E7</v>
      </c>
      <c r="H282" s="38">
        <v>48894.0</v>
      </c>
      <c r="I282" s="40" t="s">
        <v>1616</v>
      </c>
      <c r="J282" s="46" t="s">
        <v>1804</v>
      </c>
    </row>
    <row r="283">
      <c r="B283" s="24" t="s">
        <v>600</v>
      </c>
      <c r="C283" s="24" t="s">
        <v>1802</v>
      </c>
      <c r="D283" s="24" t="s">
        <v>833</v>
      </c>
      <c r="E283" s="24" t="s">
        <v>1823</v>
      </c>
      <c r="F283" s="24" t="s">
        <v>833</v>
      </c>
      <c r="G283" s="38">
        <v>3.0306479E7</v>
      </c>
      <c r="H283" s="38">
        <v>97136.0</v>
      </c>
      <c r="I283" s="40" t="s">
        <v>1616</v>
      </c>
      <c r="J283" s="46" t="s">
        <v>1804</v>
      </c>
    </row>
    <row r="284">
      <c r="B284" s="24" t="s">
        <v>600</v>
      </c>
      <c r="C284" s="24" t="s">
        <v>1802</v>
      </c>
      <c r="D284" s="24" t="s">
        <v>868</v>
      </c>
      <c r="E284" s="24" t="s">
        <v>1824</v>
      </c>
      <c r="F284" s="24" t="s">
        <v>868</v>
      </c>
      <c r="G284" s="38">
        <v>2.0760739E7</v>
      </c>
      <c r="H284" s="38">
        <v>66541.0</v>
      </c>
      <c r="I284" s="40" t="s">
        <v>1616</v>
      </c>
      <c r="J284" s="46" t="s">
        <v>1804</v>
      </c>
    </row>
    <row r="285">
      <c r="B285" s="24" t="s">
        <v>600</v>
      </c>
      <c r="C285" s="24" t="s">
        <v>1802</v>
      </c>
      <c r="D285" s="24" t="s">
        <v>870</v>
      </c>
      <c r="E285" s="24" t="s">
        <v>1825</v>
      </c>
      <c r="F285" s="24" t="s">
        <v>870</v>
      </c>
      <c r="G285" s="38">
        <v>2.9858425E7</v>
      </c>
      <c r="H285" s="38">
        <v>95700.0</v>
      </c>
      <c r="I285" s="40" t="s">
        <v>1616</v>
      </c>
      <c r="J285" s="46" t="s">
        <v>1804</v>
      </c>
    </row>
    <row r="286">
      <c r="B286" s="24" t="s">
        <v>600</v>
      </c>
      <c r="C286" s="24" t="s">
        <v>1802</v>
      </c>
      <c r="D286" s="24" t="s">
        <v>732</v>
      </c>
      <c r="E286" s="24" t="s">
        <v>1826</v>
      </c>
      <c r="F286" s="24" t="s">
        <v>732</v>
      </c>
      <c r="G286" s="38">
        <v>2.24210124E8</v>
      </c>
      <c r="H286" s="38">
        <v>535879.0</v>
      </c>
      <c r="I286" s="40" t="s">
        <v>1616</v>
      </c>
      <c r="J286" s="46" t="s">
        <v>1804</v>
      </c>
    </row>
    <row r="287">
      <c r="B287" s="24" t="s">
        <v>600</v>
      </c>
      <c r="C287" s="24" t="s">
        <v>1802</v>
      </c>
      <c r="D287" s="24" t="s">
        <v>983</v>
      </c>
      <c r="E287" s="24" t="s">
        <v>1827</v>
      </c>
      <c r="F287" s="24" t="s">
        <v>983</v>
      </c>
      <c r="G287" s="38">
        <v>4694361.0</v>
      </c>
      <c r="H287" s="38">
        <v>15046.0</v>
      </c>
      <c r="I287" s="40" t="s">
        <v>1616</v>
      </c>
      <c r="J287" s="46" t="s">
        <v>1804</v>
      </c>
    </row>
    <row r="288">
      <c r="B288" s="24" t="s">
        <v>600</v>
      </c>
      <c r="C288" s="24" t="s">
        <v>1802</v>
      </c>
      <c r="D288" s="24" t="s">
        <v>734</v>
      </c>
      <c r="E288" s="24" t="s">
        <v>1828</v>
      </c>
      <c r="F288" s="24" t="s">
        <v>734</v>
      </c>
      <c r="G288" s="38">
        <v>1459505.0</v>
      </c>
      <c r="H288" s="38">
        <v>4678.0</v>
      </c>
      <c r="I288" s="40" t="s">
        <v>1616</v>
      </c>
      <c r="J288" s="46" t="s">
        <v>1804</v>
      </c>
    </row>
    <row r="289">
      <c r="B289" s="24" t="s">
        <v>600</v>
      </c>
      <c r="C289" s="24" t="s">
        <v>1802</v>
      </c>
      <c r="D289" s="24" t="s">
        <v>880</v>
      </c>
      <c r="E289" s="24" t="s">
        <v>1829</v>
      </c>
      <c r="F289" s="24" t="s">
        <v>880</v>
      </c>
      <c r="G289" s="38">
        <v>5.7309061E8</v>
      </c>
      <c r="H289" s="38">
        <v>1442332.0</v>
      </c>
      <c r="I289" s="40" t="s">
        <v>1616</v>
      </c>
      <c r="J289" s="46" t="s">
        <v>1804</v>
      </c>
    </row>
    <row r="290">
      <c r="B290" s="24" t="s">
        <v>600</v>
      </c>
      <c r="C290" s="24" t="s">
        <v>1802</v>
      </c>
      <c r="D290" s="24" t="s">
        <v>894</v>
      </c>
      <c r="E290" s="24" t="s">
        <v>1830</v>
      </c>
      <c r="F290" s="24" t="s">
        <v>894</v>
      </c>
      <c r="G290" s="38">
        <v>2563057.0</v>
      </c>
      <c r="H290" s="38">
        <v>8215.0</v>
      </c>
      <c r="I290" s="40" t="s">
        <v>1616</v>
      </c>
      <c r="J290" s="46" t="s">
        <v>1804</v>
      </c>
    </row>
    <row r="291">
      <c r="B291" s="24" t="s">
        <v>600</v>
      </c>
      <c r="C291" s="24" t="s">
        <v>1802</v>
      </c>
      <c r="D291" s="24" t="s">
        <v>900</v>
      </c>
      <c r="E291" s="24" t="s">
        <v>1831</v>
      </c>
      <c r="F291" s="24" t="s">
        <v>900</v>
      </c>
      <c r="G291" s="38">
        <v>9.9879707E7</v>
      </c>
      <c r="H291" s="38">
        <v>277934.0</v>
      </c>
      <c r="I291" s="40" t="s">
        <v>1616</v>
      </c>
      <c r="J291" s="46" t="s">
        <v>1804</v>
      </c>
    </row>
    <row r="292">
      <c r="B292" s="24" t="s">
        <v>600</v>
      </c>
      <c r="C292" s="24" t="s">
        <v>1802</v>
      </c>
      <c r="D292" s="24" t="s">
        <v>906</v>
      </c>
      <c r="E292" s="24" t="s">
        <v>1832</v>
      </c>
      <c r="F292" s="24" t="s">
        <v>906</v>
      </c>
      <c r="G292" s="38">
        <v>9.5007909E7</v>
      </c>
      <c r="H292" s="38">
        <v>258877.0</v>
      </c>
      <c r="I292" s="40" t="s">
        <v>1616</v>
      </c>
      <c r="J292" s="46" t="s">
        <v>1804</v>
      </c>
    </row>
    <row r="293">
      <c r="B293" s="24" t="s">
        <v>600</v>
      </c>
      <c r="C293" s="24" t="s">
        <v>1802</v>
      </c>
      <c r="D293" s="24" t="s">
        <v>717</v>
      </c>
      <c r="E293" s="24" t="s">
        <v>1833</v>
      </c>
      <c r="F293" s="24" t="s">
        <v>717</v>
      </c>
      <c r="G293" s="38">
        <v>5.645153E7</v>
      </c>
      <c r="H293" s="38">
        <v>180934.0</v>
      </c>
      <c r="I293" s="40" t="s">
        <v>1616</v>
      </c>
      <c r="J293" s="46" t="s">
        <v>1804</v>
      </c>
    </row>
    <row r="294">
      <c r="B294" s="24" t="s">
        <v>600</v>
      </c>
      <c r="C294" s="24" t="s">
        <v>1802</v>
      </c>
      <c r="D294" s="24" t="s">
        <v>937</v>
      </c>
      <c r="E294" s="24" t="s">
        <v>1834</v>
      </c>
      <c r="F294" s="24" t="s">
        <v>937</v>
      </c>
      <c r="G294" s="38">
        <v>3.2722111E7</v>
      </c>
      <c r="H294" s="38">
        <v>104879.0</v>
      </c>
      <c r="I294" s="40" t="s">
        <v>1616</v>
      </c>
      <c r="J294" s="46" t="s">
        <v>1804</v>
      </c>
    </row>
    <row r="295">
      <c r="B295" s="24" t="s">
        <v>600</v>
      </c>
      <c r="C295" s="24" t="s">
        <v>1802</v>
      </c>
      <c r="D295" s="24" t="s">
        <v>736</v>
      </c>
      <c r="E295" s="24" t="s">
        <v>1835</v>
      </c>
      <c r="F295" s="24" t="s">
        <v>736</v>
      </c>
      <c r="G295" s="38">
        <v>4.9520428E7</v>
      </c>
      <c r="H295" s="38">
        <v>132738.0</v>
      </c>
      <c r="I295" s="40" t="s">
        <v>1616</v>
      </c>
      <c r="J295" s="46" t="s">
        <v>1804</v>
      </c>
    </row>
    <row r="296">
      <c r="B296" s="24" t="s">
        <v>600</v>
      </c>
      <c r="C296" s="24" t="s">
        <v>1836</v>
      </c>
      <c r="D296" s="24" t="s">
        <v>814</v>
      </c>
      <c r="E296" s="24" t="s">
        <v>1837</v>
      </c>
      <c r="F296" s="24" t="s">
        <v>814</v>
      </c>
      <c r="G296" s="38">
        <v>5.444306E7</v>
      </c>
      <c r="H296" s="38">
        <v>153794.0</v>
      </c>
      <c r="I296" s="40" t="s">
        <v>1616</v>
      </c>
      <c r="J296" s="46" t="s">
        <v>1804</v>
      </c>
    </row>
    <row r="297">
      <c r="B297" s="24" t="s">
        <v>600</v>
      </c>
      <c r="C297" s="24" t="s">
        <v>1836</v>
      </c>
      <c r="D297" s="24" t="s">
        <v>968</v>
      </c>
      <c r="E297" s="24" t="s">
        <v>1838</v>
      </c>
      <c r="F297" s="24" t="s">
        <v>968</v>
      </c>
      <c r="G297" s="38">
        <v>1.356949188E9</v>
      </c>
      <c r="H297" s="38">
        <v>2990189.0</v>
      </c>
      <c r="I297" s="40" t="s">
        <v>1616</v>
      </c>
      <c r="J297" s="46" t="s">
        <v>1804</v>
      </c>
    </row>
    <row r="298">
      <c r="B298" s="24" t="s">
        <v>600</v>
      </c>
      <c r="C298" s="24" t="s">
        <v>1839</v>
      </c>
      <c r="D298" s="24" t="s">
        <v>968</v>
      </c>
      <c r="E298" s="24" t="s">
        <v>1838</v>
      </c>
      <c r="F298" s="24" t="s">
        <v>968</v>
      </c>
      <c r="G298" s="38">
        <v>1.33740099E8</v>
      </c>
      <c r="H298" s="38">
        <v>482816.0</v>
      </c>
      <c r="I298" s="40" t="s">
        <v>1616</v>
      </c>
      <c r="J298" s="46" t="s">
        <v>1804</v>
      </c>
    </row>
    <row r="299">
      <c r="B299" s="24" t="s">
        <v>600</v>
      </c>
      <c r="C299" s="24" t="s">
        <v>1840</v>
      </c>
      <c r="D299" s="24" t="s">
        <v>732</v>
      </c>
      <c r="E299" s="24" t="s">
        <v>1841</v>
      </c>
      <c r="F299" s="24" t="s">
        <v>732</v>
      </c>
      <c r="G299" s="38">
        <v>1.81685081E8</v>
      </c>
      <c r="H299" s="38">
        <v>889666.0</v>
      </c>
      <c r="I299" s="40" t="s">
        <v>1749</v>
      </c>
      <c r="J299" s="46" t="s">
        <v>1842</v>
      </c>
    </row>
  </sheetData>
  <autoFilter ref="$B$5:$J$299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5.25"/>
    <col customWidth="1" min="3" max="3" width="45.88"/>
    <col customWidth="1" min="6" max="6" width="10.0"/>
    <col customWidth="1" min="7" max="7" width="38.5"/>
    <col customWidth="1" min="9" max="11" width="10.38"/>
    <col customWidth="1" min="12" max="12" width="7.75"/>
    <col customWidth="1" min="13" max="26" width="7.63"/>
  </cols>
  <sheetData>
    <row r="1">
      <c r="A1" s="26"/>
      <c r="B1" s="27" t="s">
        <v>547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8"/>
      <c r="B2" s="8" t="s">
        <v>1843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6"/>
      <c r="B3" s="27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6"/>
      <c r="B4" s="47" t="s">
        <v>687</v>
      </c>
      <c r="C4" s="48" t="s">
        <v>688</v>
      </c>
      <c r="D4" s="49" t="s">
        <v>689</v>
      </c>
      <c r="E4" s="49" t="s">
        <v>690</v>
      </c>
      <c r="F4" s="48" t="s">
        <v>691</v>
      </c>
      <c r="G4" s="48" t="s">
        <v>1844</v>
      </c>
      <c r="H4" s="50" t="s">
        <v>1845</v>
      </c>
      <c r="I4" s="51" t="s">
        <v>555</v>
      </c>
      <c r="J4" s="51" t="s">
        <v>558</v>
      </c>
      <c r="K4" s="51" t="s">
        <v>1846</v>
      </c>
      <c r="L4" s="51" t="s">
        <v>1847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6"/>
      <c r="B5" s="52" t="s">
        <v>575</v>
      </c>
      <c r="C5" s="53" t="s">
        <v>1848</v>
      </c>
      <c r="D5" s="53" t="s">
        <v>730</v>
      </c>
      <c r="E5" s="53" t="s">
        <v>1849</v>
      </c>
      <c r="F5" s="53" t="s">
        <v>730</v>
      </c>
      <c r="G5" s="53" t="s">
        <v>1850</v>
      </c>
      <c r="H5" s="54">
        <v>2.2092549312E9</v>
      </c>
      <c r="I5" s="26" t="s">
        <v>1851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6"/>
      <c r="B6" s="52" t="s">
        <v>575</v>
      </c>
      <c r="C6" s="53" t="s">
        <v>1852</v>
      </c>
      <c r="D6" s="53" t="s">
        <v>695</v>
      </c>
      <c r="E6" s="53" t="s">
        <v>1853</v>
      </c>
      <c r="F6" s="53" t="s">
        <v>695</v>
      </c>
      <c r="G6" s="53" t="s">
        <v>1854</v>
      </c>
      <c r="H6" s="54">
        <v>7.6905840444E8</v>
      </c>
      <c r="I6" s="26" t="s">
        <v>1855</v>
      </c>
      <c r="J6" s="26" t="s">
        <v>1856</v>
      </c>
      <c r="K6" s="26"/>
      <c r="L6" s="26" t="s">
        <v>1857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6"/>
      <c r="B7" s="52" t="s">
        <v>575</v>
      </c>
      <c r="C7" s="53" t="s">
        <v>1852</v>
      </c>
      <c r="D7" s="53" t="s">
        <v>695</v>
      </c>
      <c r="E7" s="53" t="s">
        <v>1858</v>
      </c>
      <c r="F7" s="53" t="s">
        <v>695</v>
      </c>
      <c r="G7" s="53" t="s">
        <v>1859</v>
      </c>
      <c r="H7" s="54">
        <v>2.1603515362E8</v>
      </c>
      <c r="I7" s="26" t="s">
        <v>1855</v>
      </c>
      <c r="J7" s="26" t="s">
        <v>1856</v>
      </c>
      <c r="K7" s="26"/>
      <c r="L7" s="26" t="s">
        <v>1860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6"/>
      <c r="B8" s="52" t="s">
        <v>575</v>
      </c>
      <c r="C8" s="53" t="s">
        <v>1852</v>
      </c>
      <c r="D8" s="53" t="s">
        <v>695</v>
      </c>
      <c r="E8" s="53" t="s">
        <v>1861</v>
      </c>
      <c r="F8" s="53" t="s">
        <v>695</v>
      </c>
      <c r="G8" s="53" t="s">
        <v>1862</v>
      </c>
      <c r="H8" s="54">
        <v>3.080680896E7</v>
      </c>
      <c r="I8" s="26" t="s">
        <v>1855</v>
      </c>
      <c r="J8" s="26" t="s">
        <v>1856</v>
      </c>
      <c r="K8" s="26"/>
      <c r="L8" s="26" t="s">
        <v>1863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/>
      <c r="B9" s="52" t="s">
        <v>575</v>
      </c>
      <c r="C9" s="53" t="s">
        <v>1852</v>
      </c>
      <c r="D9" s="53" t="s">
        <v>742</v>
      </c>
      <c r="E9" s="53" t="s">
        <v>1864</v>
      </c>
      <c r="F9" s="53" t="s">
        <v>742</v>
      </c>
      <c r="G9" s="53" t="s">
        <v>1854</v>
      </c>
      <c r="H9" s="54">
        <v>1.8060194293E8</v>
      </c>
      <c r="I9" s="26" t="s">
        <v>1855</v>
      </c>
      <c r="J9" s="26" t="s">
        <v>1856</v>
      </c>
      <c r="K9" s="26"/>
      <c r="L9" s="26" t="s">
        <v>1857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/>
      <c r="B10" s="52" t="s">
        <v>575</v>
      </c>
      <c r="C10" s="53" t="s">
        <v>1852</v>
      </c>
      <c r="D10" s="53" t="s">
        <v>742</v>
      </c>
      <c r="E10" s="53" t="s">
        <v>1865</v>
      </c>
      <c r="F10" s="53" t="s">
        <v>742</v>
      </c>
      <c r="G10" s="53" t="s">
        <v>1859</v>
      </c>
      <c r="H10" s="54">
        <v>7.421873186E7</v>
      </c>
      <c r="I10" s="26" t="s">
        <v>1855</v>
      </c>
      <c r="J10" s="26" t="s">
        <v>1856</v>
      </c>
      <c r="K10" s="26"/>
      <c r="L10" s="26" t="s">
        <v>1860</v>
      </c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52" t="s">
        <v>575</v>
      </c>
      <c r="C11" s="53" t="s">
        <v>1852</v>
      </c>
      <c r="D11" s="53" t="s">
        <v>705</v>
      </c>
      <c r="E11" s="53" t="s">
        <v>1866</v>
      </c>
      <c r="F11" s="53" t="s">
        <v>705</v>
      </c>
      <c r="G11" s="53" t="s">
        <v>1854</v>
      </c>
      <c r="H11" s="54">
        <v>8.144296615E7</v>
      </c>
      <c r="I11" s="26" t="s">
        <v>1855</v>
      </c>
      <c r="J11" s="26" t="s">
        <v>1856</v>
      </c>
      <c r="K11" s="26"/>
      <c r="L11" s="26" t="s">
        <v>1857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52" t="s">
        <v>575</v>
      </c>
      <c r="C12" s="53" t="s">
        <v>1852</v>
      </c>
      <c r="D12" s="53" t="s">
        <v>705</v>
      </c>
      <c r="E12" s="53" t="s">
        <v>1867</v>
      </c>
      <c r="F12" s="53" t="s">
        <v>705</v>
      </c>
      <c r="G12" s="53" t="s">
        <v>1859</v>
      </c>
      <c r="H12" s="54">
        <v>3.147677928E7</v>
      </c>
      <c r="I12" s="26" t="s">
        <v>1855</v>
      </c>
      <c r="J12" s="26" t="s">
        <v>1856</v>
      </c>
      <c r="K12" s="26"/>
      <c r="L12" s="26" t="s">
        <v>1860</v>
      </c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52" t="s">
        <v>575</v>
      </c>
      <c r="C13" s="53" t="s">
        <v>1852</v>
      </c>
      <c r="D13" s="53" t="s">
        <v>749</v>
      </c>
      <c r="E13" s="53" t="s">
        <v>1868</v>
      </c>
      <c r="F13" s="53" t="s">
        <v>749</v>
      </c>
      <c r="G13" s="53" t="s">
        <v>1854</v>
      </c>
      <c r="H13" s="54">
        <v>1.1408621387E8</v>
      </c>
      <c r="I13" s="26" t="s">
        <v>1855</v>
      </c>
      <c r="J13" s="26" t="s">
        <v>1856</v>
      </c>
      <c r="K13" s="26"/>
      <c r="L13" s="26" t="s">
        <v>1857</v>
      </c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52" t="s">
        <v>575</v>
      </c>
      <c r="C14" s="53" t="s">
        <v>1852</v>
      </c>
      <c r="D14" s="53" t="s">
        <v>749</v>
      </c>
      <c r="E14" s="53" t="s">
        <v>1869</v>
      </c>
      <c r="F14" s="53" t="s">
        <v>749</v>
      </c>
      <c r="G14" s="53" t="s">
        <v>1859</v>
      </c>
      <c r="H14" s="54">
        <v>6025349.2</v>
      </c>
      <c r="I14" s="26" t="s">
        <v>1855</v>
      </c>
      <c r="J14" s="26" t="s">
        <v>1856</v>
      </c>
      <c r="K14" s="26"/>
      <c r="L14" s="26" t="s">
        <v>1860</v>
      </c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52" t="s">
        <v>575</v>
      </c>
      <c r="C15" s="53" t="s">
        <v>1852</v>
      </c>
      <c r="D15" s="53" t="s">
        <v>751</v>
      </c>
      <c r="E15" s="53" t="s">
        <v>1870</v>
      </c>
      <c r="F15" s="53" t="s">
        <v>751</v>
      </c>
      <c r="G15" s="53" t="s">
        <v>1854</v>
      </c>
      <c r="H15" s="54">
        <v>2.155220067E7</v>
      </c>
      <c r="I15" s="26" t="s">
        <v>1855</v>
      </c>
      <c r="J15" s="26" t="s">
        <v>1856</v>
      </c>
      <c r="K15" s="26"/>
      <c r="L15" s="26" t="s">
        <v>1857</v>
      </c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52" t="s">
        <v>575</v>
      </c>
      <c r="C16" s="53" t="s">
        <v>1852</v>
      </c>
      <c r="D16" s="53" t="s">
        <v>751</v>
      </c>
      <c r="E16" s="53" t="s">
        <v>1871</v>
      </c>
      <c r="F16" s="53" t="s">
        <v>751</v>
      </c>
      <c r="G16" s="53" t="s">
        <v>1859</v>
      </c>
      <c r="H16" s="54">
        <v>1386148.24</v>
      </c>
      <c r="I16" s="26" t="s">
        <v>1855</v>
      </c>
      <c r="J16" s="26" t="s">
        <v>1856</v>
      </c>
      <c r="K16" s="26"/>
      <c r="L16" s="26" t="s">
        <v>1860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52" t="s">
        <v>575</v>
      </c>
      <c r="C17" s="53" t="s">
        <v>1852</v>
      </c>
      <c r="D17" s="53" t="s">
        <v>699</v>
      </c>
      <c r="E17" s="53" t="s">
        <v>1872</v>
      </c>
      <c r="F17" s="53" t="s">
        <v>699</v>
      </c>
      <c r="G17" s="53" t="s">
        <v>1854</v>
      </c>
      <c r="H17" s="54">
        <v>2.118305917E8</v>
      </c>
      <c r="I17" s="26" t="s">
        <v>1855</v>
      </c>
      <c r="J17" s="26" t="s">
        <v>1856</v>
      </c>
      <c r="K17" s="26"/>
      <c r="L17" s="26" t="s">
        <v>1857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52" t="s">
        <v>575</v>
      </c>
      <c r="C18" s="53" t="s">
        <v>1852</v>
      </c>
      <c r="D18" s="53" t="s">
        <v>699</v>
      </c>
      <c r="E18" s="53" t="s">
        <v>1873</v>
      </c>
      <c r="F18" s="53" t="s">
        <v>699</v>
      </c>
      <c r="G18" s="53" t="s">
        <v>1859</v>
      </c>
      <c r="H18" s="54">
        <v>4.100524856E7</v>
      </c>
      <c r="I18" s="26" t="s">
        <v>1855</v>
      </c>
      <c r="J18" s="26" t="s">
        <v>1856</v>
      </c>
      <c r="K18" s="26"/>
      <c r="L18" s="26" t="s">
        <v>1860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52" t="s">
        <v>575</v>
      </c>
      <c r="C19" s="53" t="s">
        <v>1852</v>
      </c>
      <c r="D19" s="53" t="s">
        <v>699</v>
      </c>
      <c r="E19" s="53" t="s">
        <v>1874</v>
      </c>
      <c r="F19" s="53" t="s">
        <v>699</v>
      </c>
      <c r="G19" s="53" t="s">
        <v>1862</v>
      </c>
      <c r="H19" s="54">
        <v>8948120.72</v>
      </c>
      <c r="I19" s="26" t="s">
        <v>1855</v>
      </c>
      <c r="J19" s="26" t="s">
        <v>1856</v>
      </c>
      <c r="K19" s="26"/>
      <c r="L19" s="26" t="s">
        <v>1863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52" t="s">
        <v>575</v>
      </c>
      <c r="C20" s="53" t="s">
        <v>1852</v>
      </c>
      <c r="D20" s="53" t="s">
        <v>757</v>
      </c>
      <c r="E20" s="53" t="s">
        <v>1875</v>
      </c>
      <c r="F20" s="53" t="s">
        <v>757</v>
      </c>
      <c r="G20" s="53" t="s">
        <v>1854</v>
      </c>
      <c r="H20" s="54">
        <v>1.02446162E8</v>
      </c>
      <c r="I20" s="26" t="s">
        <v>1855</v>
      </c>
      <c r="J20" s="26" t="s">
        <v>1856</v>
      </c>
      <c r="K20" s="26"/>
      <c r="L20" s="26" t="s">
        <v>1857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52" t="s">
        <v>575</v>
      </c>
      <c r="C21" s="53" t="s">
        <v>1852</v>
      </c>
      <c r="D21" s="53" t="s">
        <v>757</v>
      </c>
      <c r="E21" s="53" t="s">
        <v>1876</v>
      </c>
      <c r="F21" s="53" t="s">
        <v>757</v>
      </c>
      <c r="G21" s="53" t="s">
        <v>1859</v>
      </c>
      <c r="H21" s="54">
        <v>3.895838256E7</v>
      </c>
      <c r="I21" s="26" t="s">
        <v>1855</v>
      </c>
      <c r="J21" s="26" t="s">
        <v>1856</v>
      </c>
      <c r="K21" s="26"/>
      <c r="L21" s="26" t="s">
        <v>1860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52" t="s">
        <v>575</v>
      </c>
      <c r="C22" s="53" t="s">
        <v>1852</v>
      </c>
      <c r="D22" s="53" t="s">
        <v>757</v>
      </c>
      <c r="E22" s="53" t="s">
        <v>1877</v>
      </c>
      <c r="F22" s="53" t="s">
        <v>757</v>
      </c>
      <c r="G22" s="53" t="s">
        <v>1862</v>
      </c>
      <c r="H22" s="54">
        <v>3.60293243E7</v>
      </c>
      <c r="I22" s="26" t="s">
        <v>1855</v>
      </c>
      <c r="J22" s="26" t="s">
        <v>1856</v>
      </c>
      <c r="K22" s="26"/>
      <c r="L22" s="26" t="s">
        <v>1863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52" t="s">
        <v>575</v>
      </c>
      <c r="C23" s="53" t="s">
        <v>1852</v>
      </c>
      <c r="D23" s="53" t="s">
        <v>759</v>
      </c>
      <c r="E23" s="53" t="s">
        <v>1878</v>
      </c>
      <c r="F23" s="53" t="s">
        <v>759</v>
      </c>
      <c r="G23" s="53" t="s">
        <v>1854</v>
      </c>
      <c r="H23" s="54">
        <v>3940743.17</v>
      </c>
      <c r="I23" s="26" t="s">
        <v>1855</v>
      </c>
      <c r="J23" s="26" t="s">
        <v>1856</v>
      </c>
      <c r="K23" s="26"/>
      <c r="L23" s="26" t="s">
        <v>1857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52" t="s">
        <v>575</v>
      </c>
      <c r="C24" s="53" t="s">
        <v>1852</v>
      </c>
      <c r="D24" s="53" t="s">
        <v>761</v>
      </c>
      <c r="E24" s="53" t="s">
        <v>1879</v>
      </c>
      <c r="F24" s="53" t="s">
        <v>761</v>
      </c>
      <c r="G24" s="53" t="s">
        <v>1854</v>
      </c>
      <c r="H24" s="54">
        <v>3.5236091345E8</v>
      </c>
      <c r="I24" s="26" t="s">
        <v>1855</v>
      </c>
      <c r="J24" s="26" t="s">
        <v>1856</v>
      </c>
      <c r="K24" s="26"/>
      <c r="L24" s="26" t="s">
        <v>1857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52" t="s">
        <v>575</v>
      </c>
      <c r="C25" s="53" t="s">
        <v>1852</v>
      </c>
      <c r="D25" s="53" t="s">
        <v>761</v>
      </c>
      <c r="E25" s="53" t="s">
        <v>1880</v>
      </c>
      <c r="F25" s="53" t="s">
        <v>761</v>
      </c>
      <c r="G25" s="53" t="s">
        <v>1859</v>
      </c>
      <c r="H25" s="54">
        <v>7.83302672E7</v>
      </c>
      <c r="I25" s="26" t="s">
        <v>1855</v>
      </c>
      <c r="J25" s="26" t="s">
        <v>1856</v>
      </c>
      <c r="K25" s="26"/>
      <c r="L25" s="26" t="s">
        <v>1860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52" t="s">
        <v>575</v>
      </c>
      <c r="C26" s="53" t="s">
        <v>1852</v>
      </c>
      <c r="D26" s="53" t="s">
        <v>761</v>
      </c>
      <c r="E26" s="53" t="s">
        <v>1881</v>
      </c>
      <c r="F26" s="53" t="s">
        <v>761</v>
      </c>
      <c r="G26" s="53" t="s">
        <v>1862</v>
      </c>
      <c r="H26" s="54">
        <v>1.0706232033E8</v>
      </c>
      <c r="I26" s="26" t="s">
        <v>1855</v>
      </c>
      <c r="J26" s="26" t="s">
        <v>1856</v>
      </c>
      <c r="K26" s="26"/>
      <c r="L26" s="26" t="s">
        <v>1863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52" t="s">
        <v>575</v>
      </c>
      <c r="C27" s="53" t="s">
        <v>1852</v>
      </c>
      <c r="D27" s="53" t="s">
        <v>763</v>
      </c>
      <c r="E27" s="53" t="s">
        <v>1882</v>
      </c>
      <c r="F27" s="53" t="s">
        <v>763</v>
      </c>
      <c r="G27" s="53" t="s">
        <v>1854</v>
      </c>
      <c r="H27" s="54">
        <v>9.1295551532E8</v>
      </c>
      <c r="I27" s="26" t="s">
        <v>1855</v>
      </c>
      <c r="J27" s="26" t="s">
        <v>1856</v>
      </c>
      <c r="K27" s="26"/>
      <c r="L27" s="26" t="s">
        <v>1857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52" t="s">
        <v>575</v>
      </c>
      <c r="C28" s="53" t="s">
        <v>1852</v>
      </c>
      <c r="D28" s="53" t="s">
        <v>763</v>
      </c>
      <c r="E28" s="53" t="s">
        <v>1883</v>
      </c>
      <c r="F28" s="53" t="s">
        <v>763</v>
      </c>
      <c r="G28" s="53" t="s">
        <v>1859</v>
      </c>
      <c r="H28" s="54">
        <v>6.3714724797E8</v>
      </c>
      <c r="I28" s="26" t="s">
        <v>1855</v>
      </c>
      <c r="J28" s="26" t="s">
        <v>1856</v>
      </c>
      <c r="K28" s="26"/>
      <c r="L28" s="26" t="s">
        <v>1860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52" t="s">
        <v>575</v>
      </c>
      <c r="C29" s="53" t="s">
        <v>1852</v>
      </c>
      <c r="D29" s="53" t="s">
        <v>763</v>
      </c>
      <c r="E29" s="53" t="s">
        <v>1884</v>
      </c>
      <c r="F29" s="53" t="s">
        <v>763</v>
      </c>
      <c r="G29" s="53" t="s">
        <v>1862</v>
      </c>
      <c r="H29" s="54">
        <v>4.7790788897E8</v>
      </c>
      <c r="I29" s="26" t="s">
        <v>1855</v>
      </c>
      <c r="J29" s="26" t="s">
        <v>1856</v>
      </c>
      <c r="K29" s="26"/>
      <c r="L29" s="26" t="s">
        <v>1863</v>
      </c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52" t="s">
        <v>575</v>
      </c>
      <c r="C30" s="53" t="s">
        <v>1852</v>
      </c>
      <c r="D30" s="53" t="s">
        <v>763</v>
      </c>
      <c r="E30" s="53" t="s">
        <v>1885</v>
      </c>
      <c r="F30" s="53" t="s">
        <v>763</v>
      </c>
      <c r="G30" s="53" t="s">
        <v>1886</v>
      </c>
      <c r="H30" s="54">
        <v>2.264514888E7</v>
      </c>
      <c r="I30" s="26" t="s">
        <v>1855</v>
      </c>
      <c r="J30" s="26" t="s">
        <v>1856</v>
      </c>
      <c r="K30" s="26"/>
      <c r="L30" s="26" t="s">
        <v>1887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52" t="s">
        <v>575</v>
      </c>
      <c r="C31" s="53" t="s">
        <v>1852</v>
      </c>
      <c r="D31" s="53" t="s">
        <v>765</v>
      </c>
      <c r="E31" s="53" t="s">
        <v>1888</v>
      </c>
      <c r="F31" s="53" t="s">
        <v>765</v>
      </c>
      <c r="G31" s="53" t="s">
        <v>1854</v>
      </c>
      <c r="H31" s="54">
        <v>9.190728684E7</v>
      </c>
      <c r="I31" s="26" t="s">
        <v>1855</v>
      </c>
      <c r="J31" s="26" t="s">
        <v>1856</v>
      </c>
      <c r="K31" s="26"/>
      <c r="L31" s="26" t="s">
        <v>1857</v>
      </c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52" t="s">
        <v>575</v>
      </c>
      <c r="C32" s="53" t="s">
        <v>1852</v>
      </c>
      <c r="D32" s="53" t="s">
        <v>765</v>
      </c>
      <c r="E32" s="53" t="s">
        <v>1889</v>
      </c>
      <c r="F32" s="53" t="s">
        <v>765</v>
      </c>
      <c r="G32" s="53" t="s">
        <v>1859</v>
      </c>
      <c r="H32" s="54">
        <v>1.50661296E7</v>
      </c>
      <c r="I32" s="26" t="s">
        <v>1855</v>
      </c>
      <c r="J32" s="26" t="s">
        <v>1856</v>
      </c>
      <c r="K32" s="26"/>
      <c r="L32" s="26" t="s">
        <v>1860</v>
      </c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52" t="s">
        <v>575</v>
      </c>
      <c r="C33" s="53" t="s">
        <v>1852</v>
      </c>
      <c r="D33" s="53" t="s">
        <v>765</v>
      </c>
      <c r="E33" s="53" t="s">
        <v>1890</v>
      </c>
      <c r="F33" s="53" t="s">
        <v>765</v>
      </c>
      <c r="G33" s="53" t="s">
        <v>1862</v>
      </c>
      <c r="H33" s="54">
        <v>6989165.34</v>
      </c>
      <c r="I33" s="26" t="s">
        <v>1855</v>
      </c>
      <c r="J33" s="26" t="s">
        <v>1856</v>
      </c>
      <c r="K33" s="26"/>
      <c r="L33" s="26" t="s">
        <v>1863</v>
      </c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52" t="s">
        <v>575</v>
      </c>
      <c r="C34" s="53" t="s">
        <v>1852</v>
      </c>
      <c r="D34" s="53" t="s">
        <v>768</v>
      </c>
      <c r="E34" s="53" t="s">
        <v>1891</v>
      </c>
      <c r="F34" s="53" t="s">
        <v>768</v>
      </c>
      <c r="G34" s="53" t="s">
        <v>1854</v>
      </c>
      <c r="H34" s="54">
        <v>1.7776341128E8</v>
      </c>
      <c r="I34" s="26" t="s">
        <v>1855</v>
      </c>
      <c r="J34" s="26" t="s">
        <v>1856</v>
      </c>
      <c r="K34" s="26"/>
      <c r="L34" s="26" t="s">
        <v>1857</v>
      </c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52" t="s">
        <v>575</v>
      </c>
      <c r="C35" s="53" t="s">
        <v>1852</v>
      </c>
      <c r="D35" s="53" t="s">
        <v>768</v>
      </c>
      <c r="E35" s="53" t="s">
        <v>1892</v>
      </c>
      <c r="F35" s="53" t="s">
        <v>768</v>
      </c>
      <c r="G35" s="53" t="s">
        <v>1859</v>
      </c>
      <c r="H35" s="54">
        <v>2.736721856E7</v>
      </c>
      <c r="I35" s="26" t="s">
        <v>1855</v>
      </c>
      <c r="J35" s="26" t="s">
        <v>1856</v>
      </c>
      <c r="K35" s="26"/>
      <c r="L35" s="26" t="s">
        <v>1860</v>
      </c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52" t="s">
        <v>575</v>
      </c>
      <c r="C36" s="53" t="s">
        <v>1852</v>
      </c>
      <c r="D36" s="53" t="s">
        <v>768</v>
      </c>
      <c r="E36" s="53" t="s">
        <v>1893</v>
      </c>
      <c r="F36" s="53" t="s">
        <v>768</v>
      </c>
      <c r="G36" s="53" t="s">
        <v>1886</v>
      </c>
      <c r="H36" s="54">
        <v>3.631515342E7</v>
      </c>
      <c r="I36" s="26" t="s">
        <v>1855</v>
      </c>
      <c r="J36" s="26" t="s">
        <v>1856</v>
      </c>
      <c r="K36" s="26"/>
      <c r="L36" s="26" t="s">
        <v>1887</v>
      </c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52" t="s">
        <v>575</v>
      </c>
      <c r="C37" s="53" t="s">
        <v>1852</v>
      </c>
      <c r="D37" s="53" t="s">
        <v>770</v>
      </c>
      <c r="E37" s="53" t="s">
        <v>1894</v>
      </c>
      <c r="F37" s="53" t="s">
        <v>770</v>
      </c>
      <c r="G37" s="53" t="s">
        <v>1854</v>
      </c>
      <c r="H37" s="54">
        <v>9.042649434E7</v>
      </c>
      <c r="I37" s="26" t="s">
        <v>1855</v>
      </c>
      <c r="J37" s="26" t="s">
        <v>1856</v>
      </c>
      <c r="K37" s="26"/>
      <c r="L37" s="26" t="s">
        <v>1857</v>
      </c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52" t="s">
        <v>575</v>
      </c>
      <c r="C38" s="53" t="s">
        <v>1852</v>
      </c>
      <c r="D38" s="53" t="s">
        <v>770</v>
      </c>
      <c r="E38" s="53" t="s">
        <v>1895</v>
      </c>
      <c r="F38" s="53" t="s">
        <v>770</v>
      </c>
      <c r="G38" s="53" t="s">
        <v>1859</v>
      </c>
      <c r="H38" s="54">
        <v>1.2104244E7</v>
      </c>
      <c r="I38" s="26" t="s">
        <v>1855</v>
      </c>
      <c r="J38" s="26" t="s">
        <v>1856</v>
      </c>
      <c r="K38" s="26"/>
      <c r="L38" s="26" t="s">
        <v>1860</v>
      </c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52" t="s">
        <v>575</v>
      </c>
      <c r="C39" s="53" t="s">
        <v>1852</v>
      </c>
      <c r="D39" s="53" t="s">
        <v>772</v>
      </c>
      <c r="E39" s="53" t="s">
        <v>1896</v>
      </c>
      <c r="F39" s="53" t="s">
        <v>772</v>
      </c>
      <c r="G39" s="53" t="s">
        <v>1854</v>
      </c>
      <c r="H39" s="54">
        <v>3.70533345E7</v>
      </c>
      <c r="I39" s="26" t="s">
        <v>1855</v>
      </c>
      <c r="J39" s="26" t="s">
        <v>1856</v>
      </c>
      <c r="K39" s="26"/>
      <c r="L39" s="26" t="s">
        <v>1857</v>
      </c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52" t="s">
        <v>575</v>
      </c>
      <c r="C40" s="53" t="s">
        <v>1852</v>
      </c>
      <c r="D40" s="53" t="s">
        <v>772</v>
      </c>
      <c r="E40" s="53" t="s">
        <v>1897</v>
      </c>
      <c r="F40" s="53" t="s">
        <v>772</v>
      </c>
      <c r="G40" s="53" t="s">
        <v>1859</v>
      </c>
      <c r="H40" s="54">
        <v>1311384.0</v>
      </c>
      <c r="I40" s="26" t="s">
        <v>1855</v>
      </c>
      <c r="J40" s="26" t="s">
        <v>1856</v>
      </c>
      <c r="K40" s="26"/>
      <c r="L40" s="26" t="s">
        <v>1860</v>
      </c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52" t="s">
        <v>575</v>
      </c>
      <c r="C41" s="53" t="s">
        <v>1852</v>
      </c>
      <c r="D41" s="53" t="s">
        <v>726</v>
      </c>
      <c r="E41" s="53" t="s">
        <v>1898</v>
      </c>
      <c r="F41" s="53" t="s">
        <v>726</v>
      </c>
      <c r="G41" s="53" t="s">
        <v>1854</v>
      </c>
      <c r="H41" s="54">
        <v>4.959004869E7</v>
      </c>
      <c r="I41" s="26" t="s">
        <v>1855</v>
      </c>
      <c r="J41" s="26" t="s">
        <v>1856</v>
      </c>
      <c r="K41" s="26"/>
      <c r="L41" s="26" t="s">
        <v>1857</v>
      </c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52" t="s">
        <v>575</v>
      </c>
      <c r="C42" s="53" t="s">
        <v>1852</v>
      </c>
      <c r="D42" s="53" t="s">
        <v>726</v>
      </c>
      <c r="E42" s="53" t="s">
        <v>1899</v>
      </c>
      <c r="F42" s="53" t="s">
        <v>726</v>
      </c>
      <c r="G42" s="53" t="s">
        <v>1859</v>
      </c>
      <c r="H42" s="54">
        <v>4.134943232E7</v>
      </c>
      <c r="I42" s="26" t="s">
        <v>1855</v>
      </c>
      <c r="J42" s="26" t="s">
        <v>1856</v>
      </c>
      <c r="K42" s="26"/>
      <c r="L42" s="26" t="s">
        <v>1860</v>
      </c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52" t="s">
        <v>575</v>
      </c>
      <c r="C43" s="53" t="s">
        <v>1852</v>
      </c>
      <c r="D43" s="53" t="s">
        <v>774</v>
      </c>
      <c r="E43" s="53" t="s">
        <v>1900</v>
      </c>
      <c r="F43" s="53" t="s">
        <v>929</v>
      </c>
      <c r="G43" s="53" t="s">
        <v>1854</v>
      </c>
      <c r="H43" s="54">
        <v>1.8031061385E8</v>
      </c>
      <c r="I43" s="26" t="s">
        <v>1855</v>
      </c>
      <c r="J43" s="26" t="s">
        <v>1856</v>
      </c>
      <c r="K43" s="26"/>
      <c r="L43" s="26" t="s">
        <v>1857</v>
      </c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52" t="s">
        <v>575</v>
      </c>
      <c r="C44" s="53" t="s">
        <v>1852</v>
      </c>
      <c r="D44" s="53" t="s">
        <v>774</v>
      </c>
      <c r="E44" s="53" t="s">
        <v>1901</v>
      </c>
      <c r="F44" s="53" t="s">
        <v>929</v>
      </c>
      <c r="G44" s="53" t="s">
        <v>1859</v>
      </c>
      <c r="H44" s="54">
        <v>4.965141974E7</v>
      </c>
      <c r="I44" s="26" t="s">
        <v>1855</v>
      </c>
      <c r="J44" s="26" t="s">
        <v>1856</v>
      </c>
      <c r="K44" s="26"/>
      <c r="L44" s="26" t="s">
        <v>1860</v>
      </c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52" t="s">
        <v>575</v>
      </c>
      <c r="C45" s="53" t="s">
        <v>1852</v>
      </c>
      <c r="D45" s="53" t="s">
        <v>774</v>
      </c>
      <c r="E45" s="53" t="s">
        <v>1902</v>
      </c>
      <c r="F45" s="53" t="s">
        <v>929</v>
      </c>
      <c r="G45" s="53" t="s">
        <v>1862</v>
      </c>
      <c r="H45" s="54">
        <v>9259683.48</v>
      </c>
      <c r="I45" s="26" t="s">
        <v>1855</v>
      </c>
      <c r="J45" s="26" t="s">
        <v>1856</v>
      </c>
      <c r="K45" s="26"/>
      <c r="L45" s="26" t="s">
        <v>1863</v>
      </c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52" t="s">
        <v>575</v>
      </c>
      <c r="C46" s="53" t="s">
        <v>1852</v>
      </c>
      <c r="D46" s="53" t="s">
        <v>776</v>
      </c>
      <c r="E46" s="53" t="s">
        <v>1903</v>
      </c>
      <c r="F46" s="53" t="s">
        <v>776</v>
      </c>
      <c r="G46" s="53" t="s">
        <v>1854</v>
      </c>
      <c r="H46" s="54">
        <v>6.4624705737E8</v>
      </c>
      <c r="I46" s="26" t="s">
        <v>1855</v>
      </c>
      <c r="J46" s="26" t="s">
        <v>1856</v>
      </c>
      <c r="K46" s="26"/>
      <c r="L46" s="26" t="s">
        <v>1857</v>
      </c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52" t="s">
        <v>575</v>
      </c>
      <c r="C47" s="53" t="s">
        <v>1852</v>
      </c>
      <c r="D47" s="53" t="s">
        <v>776</v>
      </c>
      <c r="E47" s="53" t="s">
        <v>1904</v>
      </c>
      <c r="F47" s="53" t="s">
        <v>776</v>
      </c>
      <c r="G47" s="53" t="s">
        <v>1859</v>
      </c>
      <c r="H47" s="54">
        <v>1.7893298202E8</v>
      </c>
      <c r="I47" s="26" t="s">
        <v>1855</v>
      </c>
      <c r="J47" s="26" t="s">
        <v>1856</v>
      </c>
      <c r="K47" s="26"/>
      <c r="L47" s="26" t="s">
        <v>1860</v>
      </c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52" t="s">
        <v>575</v>
      </c>
      <c r="C48" s="53" t="s">
        <v>1852</v>
      </c>
      <c r="D48" s="53" t="s">
        <v>776</v>
      </c>
      <c r="E48" s="53" t="s">
        <v>1905</v>
      </c>
      <c r="F48" s="53" t="s">
        <v>776</v>
      </c>
      <c r="G48" s="53" t="s">
        <v>1862</v>
      </c>
      <c r="H48" s="54">
        <v>1.1516274489E8</v>
      </c>
      <c r="I48" s="26" t="s">
        <v>1855</v>
      </c>
      <c r="J48" s="26" t="s">
        <v>1856</v>
      </c>
      <c r="K48" s="26"/>
      <c r="L48" s="26" t="s">
        <v>1863</v>
      </c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52" t="s">
        <v>575</v>
      </c>
      <c r="C49" s="53" t="s">
        <v>1852</v>
      </c>
      <c r="D49" s="53" t="s">
        <v>776</v>
      </c>
      <c r="E49" s="53" t="s">
        <v>1906</v>
      </c>
      <c r="F49" s="53" t="s">
        <v>776</v>
      </c>
      <c r="G49" s="53" t="s">
        <v>1886</v>
      </c>
      <c r="H49" s="54">
        <v>1.0924306029E8</v>
      </c>
      <c r="I49" s="26" t="s">
        <v>1855</v>
      </c>
      <c r="J49" s="26" t="s">
        <v>1856</v>
      </c>
      <c r="K49" s="26"/>
      <c r="L49" s="26" t="s">
        <v>1887</v>
      </c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52" t="s">
        <v>575</v>
      </c>
      <c r="C50" s="53" t="s">
        <v>1852</v>
      </c>
      <c r="D50" s="53" t="s">
        <v>720</v>
      </c>
      <c r="E50" s="53" t="s">
        <v>1907</v>
      </c>
      <c r="F50" s="53" t="s">
        <v>720</v>
      </c>
      <c r="G50" s="53" t="s">
        <v>1854</v>
      </c>
      <c r="H50" s="54">
        <v>2.7066146562E8</v>
      </c>
      <c r="I50" s="26" t="s">
        <v>1855</v>
      </c>
      <c r="J50" s="26" t="s">
        <v>1856</v>
      </c>
      <c r="K50" s="26"/>
      <c r="L50" s="26" t="s">
        <v>1857</v>
      </c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52" t="s">
        <v>575</v>
      </c>
      <c r="C51" s="53" t="s">
        <v>1852</v>
      </c>
      <c r="D51" s="53" t="s">
        <v>720</v>
      </c>
      <c r="E51" s="53" t="s">
        <v>1908</v>
      </c>
      <c r="F51" s="53" t="s">
        <v>720</v>
      </c>
      <c r="G51" s="53" t="s">
        <v>1859</v>
      </c>
      <c r="H51" s="54">
        <v>6.895328176E7</v>
      </c>
      <c r="I51" s="26" t="s">
        <v>1855</v>
      </c>
      <c r="J51" s="26" t="s">
        <v>1856</v>
      </c>
      <c r="K51" s="26"/>
      <c r="L51" s="26" t="s">
        <v>1860</v>
      </c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52" t="s">
        <v>575</v>
      </c>
      <c r="C52" s="53" t="s">
        <v>1852</v>
      </c>
      <c r="D52" s="53" t="s">
        <v>720</v>
      </c>
      <c r="E52" s="53" t="s">
        <v>1909</v>
      </c>
      <c r="F52" s="53" t="s">
        <v>720</v>
      </c>
      <c r="G52" s="53" t="s">
        <v>1862</v>
      </c>
      <c r="H52" s="54">
        <v>2.458874605E7</v>
      </c>
      <c r="I52" s="26" t="s">
        <v>1855</v>
      </c>
      <c r="J52" s="26" t="s">
        <v>1856</v>
      </c>
      <c r="K52" s="26"/>
      <c r="L52" s="26" t="s">
        <v>1863</v>
      </c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52" t="s">
        <v>575</v>
      </c>
      <c r="C53" s="53" t="s">
        <v>1852</v>
      </c>
      <c r="D53" s="53" t="s">
        <v>779</v>
      </c>
      <c r="E53" s="53" t="s">
        <v>1910</v>
      </c>
      <c r="F53" s="53" t="s">
        <v>779</v>
      </c>
      <c r="G53" s="53" t="s">
        <v>1854</v>
      </c>
      <c r="H53" s="54">
        <v>6.392272705E7</v>
      </c>
      <c r="I53" s="26" t="s">
        <v>1855</v>
      </c>
      <c r="J53" s="26" t="s">
        <v>1856</v>
      </c>
      <c r="K53" s="26"/>
      <c r="L53" s="26" t="s">
        <v>1857</v>
      </c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52" t="s">
        <v>575</v>
      </c>
      <c r="C54" s="53" t="s">
        <v>1852</v>
      </c>
      <c r="D54" s="53" t="s">
        <v>779</v>
      </c>
      <c r="E54" s="53" t="s">
        <v>1911</v>
      </c>
      <c r="F54" s="53" t="s">
        <v>779</v>
      </c>
      <c r="G54" s="53" t="s">
        <v>1859</v>
      </c>
      <c r="H54" s="54">
        <v>2.77375896E7</v>
      </c>
      <c r="I54" s="26" t="s">
        <v>1855</v>
      </c>
      <c r="J54" s="26" t="s">
        <v>1856</v>
      </c>
      <c r="K54" s="26"/>
      <c r="L54" s="26" t="s">
        <v>1860</v>
      </c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52" t="s">
        <v>575</v>
      </c>
      <c r="C55" s="53" t="s">
        <v>1852</v>
      </c>
      <c r="D55" s="53" t="s">
        <v>779</v>
      </c>
      <c r="E55" s="53" t="s">
        <v>1912</v>
      </c>
      <c r="F55" s="53" t="s">
        <v>779</v>
      </c>
      <c r="G55" s="53" t="s">
        <v>1862</v>
      </c>
      <c r="H55" s="54">
        <v>2767597.74</v>
      </c>
      <c r="I55" s="26" t="s">
        <v>1855</v>
      </c>
      <c r="J55" s="26" t="s">
        <v>1856</v>
      </c>
      <c r="K55" s="26"/>
      <c r="L55" s="26" t="s">
        <v>1863</v>
      </c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52" t="s">
        <v>575</v>
      </c>
      <c r="C56" s="53" t="s">
        <v>1852</v>
      </c>
      <c r="D56" s="53" t="s">
        <v>783</v>
      </c>
      <c r="E56" s="53" t="s">
        <v>1913</v>
      </c>
      <c r="F56" s="53" t="s">
        <v>783</v>
      </c>
      <c r="G56" s="53" t="s">
        <v>1854</v>
      </c>
      <c r="H56" s="54">
        <v>4.676666722E7</v>
      </c>
      <c r="I56" s="26" t="s">
        <v>1855</v>
      </c>
      <c r="J56" s="26" t="s">
        <v>1856</v>
      </c>
      <c r="K56" s="26"/>
      <c r="L56" s="26" t="s">
        <v>1857</v>
      </c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52" t="s">
        <v>575</v>
      </c>
      <c r="C57" s="53" t="s">
        <v>1852</v>
      </c>
      <c r="D57" s="53" t="s">
        <v>783</v>
      </c>
      <c r="E57" s="53" t="s">
        <v>1914</v>
      </c>
      <c r="F57" s="53" t="s">
        <v>783</v>
      </c>
      <c r="G57" s="53" t="s">
        <v>1859</v>
      </c>
      <c r="H57" s="54">
        <v>1.083302568E7</v>
      </c>
      <c r="I57" s="26" t="s">
        <v>1855</v>
      </c>
      <c r="J57" s="26" t="s">
        <v>1856</v>
      </c>
      <c r="K57" s="26"/>
      <c r="L57" s="26" t="s">
        <v>1860</v>
      </c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52" t="s">
        <v>575</v>
      </c>
      <c r="C58" s="53" t="s">
        <v>1852</v>
      </c>
      <c r="D58" s="53" t="s">
        <v>783</v>
      </c>
      <c r="E58" s="53" t="s">
        <v>1915</v>
      </c>
      <c r="F58" s="53" t="s">
        <v>783</v>
      </c>
      <c r="G58" s="53" t="s">
        <v>1862</v>
      </c>
      <c r="H58" s="54">
        <v>4200515.1</v>
      </c>
      <c r="I58" s="26" t="s">
        <v>1855</v>
      </c>
      <c r="J58" s="26" t="s">
        <v>1856</v>
      </c>
      <c r="K58" s="26"/>
      <c r="L58" s="26" t="s">
        <v>1863</v>
      </c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52" t="s">
        <v>575</v>
      </c>
      <c r="C59" s="53" t="s">
        <v>1852</v>
      </c>
      <c r="D59" s="53" t="s">
        <v>708</v>
      </c>
      <c r="E59" s="53" t="s">
        <v>1916</v>
      </c>
      <c r="F59" s="53" t="s">
        <v>708</v>
      </c>
      <c r="G59" s="53" t="s">
        <v>1854</v>
      </c>
      <c r="H59" s="54">
        <v>1.8231703763E8</v>
      </c>
      <c r="I59" s="26" t="s">
        <v>1855</v>
      </c>
      <c r="J59" s="26" t="s">
        <v>1856</v>
      </c>
      <c r="K59" s="26"/>
      <c r="L59" s="26" t="s">
        <v>1857</v>
      </c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52" t="s">
        <v>575</v>
      </c>
      <c r="C60" s="53" t="s">
        <v>1852</v>
      </c>
      <c r="D60" s="53" t="s">
        <v>708</v>
      </c>
      <c r="E60" s="53" t="s">
        <v>1917</v>
      </c>
      <c r="F60" s="53" t="s">
        <v>708</v>
      </c>
      <c r="G60" s="53" t="s">
        <v>1859</v>
      </c>
      <c r="H60" s="54">
        <v>4.123918072E7</v>
      </c>
      <c r="I60" s="26" t="s">
        <v>1855</v>
      </c>
      <c r="J60" s="26" t="s">
        <v>1856</v>
      </c>
      <c r="K60" s="26"/>
      <c r="L60" s="26" t="s">
        <v>1860</v>
      </c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52" t="s">
        <v>575</v>
      </c>
      <c r="C61" s="53" t="s">
        <v>1852</v>
      </c>
      <c r="D61" s="53" t="s">
        <v>708</v>
      </c>
      <c r="E61" s="53" t="s">
        <v>1918</v>
      </c>
      <c r="F61" s="53" t="s">
        <v>708</v>
      </c>
      <c r="G61" s="53" t="s">
        <v>1862</v>
      </c>
      <c r="H61" s="54">
        <v>1.496032755E7</v>
      </c>
      <c r="I61" s="26" t="s">
        <v>1855</v>
      </c>
      <c r="J61" s="26" t="s">
        <v>1856</v>
      </c>
      <c r="K61" s="26"/>
      <c r="L61" s="26" t="s">
        <v>1863</v>
      </c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52" t="s">
        <v>575</v>
      </c>
      <c r="C62" s="53" t="s">
        <v>1852</v>
      </c>
      <c r="D62" s="53" t="s">
        <v>788</v>
      </c>
      <c r="E62" s="53" t="s">
        <v>1919</v>
      </c>
      <c r="F62" s="53" t="s">
        <v>788</v>
      </c>
      <c r="G62" s="53" t="s">
        <v>1854</v>
      </c>
      <c r="H62" s="54">
        <v>7.9962575663E8</v>
      </c>
      <c r="I62" s="26" t="s">
        <v>1855</v>
      </c>
      <c r="J62" s="26" t="s">
        <v>1856</v>
      </c>
      <c r="K62" s="26"/>
      <c r="L62" s="26" t="s">
        <v>1857</v>
      </c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52" t="s">
        <v>575</v>
      </c>
      <c r="C63" s="53" t="s">
        <v>1852</v>
      </c>
      <c r="D63" s="53" t="s">
        <v>788</v>
      </c>
      <c r="E63" s="53" t="s">
        <v>1920</v>
      </c>
      <c r="F63" s="53" t="s">
        <v>788</v>
      </c>
      <c r="G63" s="53" t="s">
        <v>1859</v>
      </c>
      <c r="H63" s="54">
        <v>2.9422865498E8</v>
      </c>
      <c r="I63" s="26" t="s">
        <v>1855</v>
      </c>
      <c r="J63" s="26" t="s">
        <v>1856</v>
      </c>
      <c r="K63" s="26"/>
      <c r="L63" s="26" t="s">
        <v>1860</v>
      </c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52" t="s">
        <v>575</v>
      </c>
      <c r="C64" s="53" t="s">
        <v>1852</v>
      </c>
      <c r="D64" s="53" t="s">
        <v>788</v>
      </c>
      <c r="E64" s="53" t="s">
        <v>1921</v>
      </c>
      <c r="F64" s="53" t="s">
        <v>788</v>
      </c>
      <c r="G64" s="53" t="s">
        <v>1862</v>
      </c>
      <c r="H64" s="54">
        <v>1.1140921647E8</v>
      </c>
      <c r="I64" s="26" t="s">
        <v>1855</v>
      </c>
      <c r="J64" s="26" t="s">
        <v>1856</v>
      </c>
      <c r="K64" s="26"/>
      <c r="L64" s="26" t="s">
        <v>1863</v>
      </c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52" t="s">
        <v>575</v>
      </c>
      <c r="C65" s="53" t="s">
        <v>1852</v>
      </c>
      <c r="D65" s="53" t="s">
        <v>788</v>
      </c>
      <c r="E65" s="53" t="s">
        <v>1922</v>
      </c>
      <c r="F65" s="53" t="s">
        <v>788</v>
      </c>
      <c r="G65" s="53" t="s">
        <v>1886</v>
      </c>
      <c r="H65" s="54">
        <v>2.281999133E7</v>
      </c>
      <c r="I65" s="26" t="s">
        <v>1855</v>
      </c>
      <c r="J65" s="26" t="s">
        <v>1856</v>
      </c>
      <c r="K65" s="26"/>
      <c r="L65" s="26" t="s">
        <v>1887</v>
      </c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52" t="s">
        <v>575</v>
      </c>
      <c r="C66" s="53" t="s">
        <v>1852</v>
      </c>
      <c r="D66" s="53" t="s">
        <v>790</v>
      </c>
      <c r="E66" s="53" t="s">
        <v>1923</v>
      </c>
      <c r="F66" s="53" t="s">
        <v>790</v>
      </c>
      <c r="G66" s="53" t="s">
        <v>1854</v>
      </c>
      <c r="H66" s="54">
        <v>3.456270909E7</v>
      </c>
      <c r="I66" s="26" t="s">
        <v>1855</v>
      </c>
      <c r="J66" s="26" t="s">
        <v>1856</v>
      </c>
      <c r="K66" s="26"/>
      <c r="L66" s="26" t="s">
        <v>1857</v>
      </c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52" t="s">
        <v>575</v>
      </c>
      <c r="C67" s="53" t="s">
        <v>1852</v>
      </c>
      <c r="D67" s="53" t="s">
        <v>790</v>
      </c>
      <c r="E67" s="53" t="s">
        <v>1924</v>
      </c>
      <c r="F67" s="53" t="s">
        <v>790</v>
      </c>
      <c r="G67" s="53" t="s">
        <v>1859</v>
      </c>
      <c r="H67" s="54">
        <v>6925060.96</v>
      </c>
      <c r="I67" s="26" t="s">
        <v>1855</v>
      </c>
      <c r="J67" s="26" t="s">
        <v>1856</v>
      </c>
      <c r="K67" s="26"/>
      <c r="L67" s="26" t="s">
        <v>1860</v>
      </c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52" t="s">
        <v>575</v>
      </c>
      <c r="C68" s="53" t="s">
        <v>1852</v>
      </c>
      <c r="D68" s="53" t="s">
        <v>792</v>
      </c>
      <c r="E68" s="53" t="s">
        <v>1925</v>
      </c>
      <c r="F68" s="53" t="s">
        <v>792</v>
      </c>
      <c r="G68" s="53" t="s">
        <v>1854</v>
      </c>
      <c r="H68" s="54">
        <v>5.376374276E7</v>
      </c>
      <c r="I68" s="26" t="s">
        <v>1855</v>
      </c>
      <c r="J68" s="26" t="s">
        <v>1856</v>
      </c>
      <c r="K68" s="26"/>
      <c r="L68" s="26" t="s">
        <v>1857</v>
      </c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52" t="s">
        <v>575</v>
      </c>
      <c r="C69" s="53" t="s">
        <v>1852</v>
      </c>
      <c r="D69" s="53" t="s">
        <v>792</v>
      </c>
      <c r="E69" s="53" t="s">
        <v>1926</v>
      </c>
      <c r="F69" s="53" t="s">
        <v>792</v>
      </c>
      <c r="G69" s="53" t="s">
        <v>1859</v>
      </c>
      <c r="H69" s="54">
        <v>1.837919624E7</v>
      </c>
      <c r="I69" s="26" t="s">
        <v>1855</v>
      </c>
      <c r="J69" s="26" t="s">
        <v>1856</v>
      </c>
      <c r="K69" s="26"/>
      <c r="L69" s="26" t="s">
        <v>1860</v>
      </c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52" t="s">
        <v>575</v>
      </c>
      <c r="C70" s="53" t="s">
        <v>1852</v>
      </c>
      <c r="D70" s="53" t="s">
        <v>1927</v>
      </c>
      <c r="E70" s="53" t="s">
        <v>1928</v>
      </c>
      <c r="F70" s="53" t="s">
        <v>1927</v>
      </c>
      <c r="G70" s="53" t="s">
        <v>1854</v>
      </c>
      <c r="H70" s="54">
        <v>2.262067899E7</v>
      </c>
      <c r="I70" s="26" t="s">
        <v>1855</v>
      </c>
      <c r="J70" s="26" t="s">
        <v>1856</v>
      </c>
      <c r="K70" s="26"/>
      <c r="L70" s="26" t="s">
        <v>1857</v>
      </c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52" t="s">
        <v>575</v>
      </c>
      <c r="C71" s="53" t="s">
        <v>1852</v>
      </c>
      <c r="D71" s="53" t="s">
        <v>1927</v>
      </c>
      <c r="E71" s="53" t="s">
        <v>1929</v>
      </c>
      <c r="F71" s="53" t="s">
        <v>1927</v>
      </c>
      <c r="G71" s="53" t="s">
        <v>1859</v>
      </c>
      <c r="H71" s="54">
        <v>3926799.2</v>
      </c>
      <c r="I71" s="26" t="s">
        <v>1855</v>
      </c>
      <c r="J71" s="26" t="s">
        <v>1856</v>
      </c>
      <c r="K71" s="26"/>
      <c r="L71" s="26" t="s">
        <v>1860</v>
      </c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52" t="s">
        <v>575</v>
      </c>
      <c r="C72" s="53" t="s">
        <v>1852</v>
      </c>
      <c r="D72" s="53" t="s">
        <v>1639</v>
      </c>
      <c r="E72" s="53" t="s">
        <v>1930</v>
      </c>
      <c r="F72" s="53" t="s">
        <v>876</v>
      </c>
      <c r="G72" s="53" t="s">
        <v>1854</v>
      </c>
      <c r="H72" s="54">
        <v>2.18050320216E9</v>
      </c>
      <c r="I72" s="26" t="s">
        <v>1855</v>
      </c>
      <c r="J72" s="26" t="s">
        <v>1856</v>
      </c>
      <c r="K72" s="26"/>
      <c r="L72" s="26" t="s">
        <v>1857</v>
      </c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52" t="s">
        <v>575</v>
      </c>
      <c r="C73" s="53" t="s">
        <v>1852</v>
      </c>
      <c r="D73" s="53" t="s">
        <v>1639</v>
      </c>
      <c r="E73" s="53" t="s">
        <v>1931</v>
      </c>
      <c r="F73" s="53" t="s">
        <v>876</v>
      </c>
      <c r="G73" s="53" t="s">
        <v>1859</v>
      </c>
      <c r="H73" s="54">
        <v>1.30008222524E9</v>
      </c>
      <c r="I73" s="26" t="s">
        <v>1855</v>
      </c>
      <c r="J73" s="26" t="s">
        <v>1856</v>
      </c>
      <c r="K73" s="26"/>
      <c r="L73" s="26" t="s">
        <v>1860</v>
      </c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52" t="s">
        <v>575</v>
      </c>
      <c r="C74" s="53" t="s">
        <v>1852</v>
      </c>
      <c r="D74" s="53" t="s">
        <v>1639</v>
      </c>
      <c r="E74" s="53" t="s">
        <v>1932</v>
      </c>
      <c r="F74" s="53" t="s">
        <v>876</v>
      </c>
      <c r="G74" s="53" t="s">
        <v>1862</v>
      </c>
      <c r="H74" s="54">
        <v>1.04016973401E9</v>
      </c>
      <c r="I74" s="26" t="s">
        <v>1855</v>
      </c>
      <c r="J74" s="26" t="s">
        <v>1856</v>
      </c>
      <c r="K74" s="26"/>
      <c r="L74" s="26" t="s">
        <v>1863</v>
      </c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52" t="s">
        <v>575</v>
      </c>
      <c r="C75" s="53" t="s">
        <v>1852</v>
      </c>
      <c r="D75" s="53" t="s">
        <v>796</v>
      </c>
      <c r="E75" s="53" t="s">
        <v>1933</v>
      </c>
      <c r="F75" s="53" t="s">
        <v>796</v>
      </c>
      <c r="G75" s="53" t="s">
        <v>1854</v>
      </c>
      <c r="H75" s="54">
        <v>3.276847119E7</v>
      </c>
      <c r="I75" s="26" t="s">
        <v>1855</v>
      </c>
      <c r="J75" s="26" t="s">
        <v>1856</v>
      </c>
      <c r="K75" s="26"/>
      <c r="L75" s="26" t="s">
        <v>1857</v>
      </c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52" t="s">
        <v>575</v>
      </c>
      <c r="C76" s="53" t="s">
        <v>1852</v>
      </c>
      <c r="D76" s="53" t="s">
        <v>796</v>
      </c>
      <c r="E76" s="53" t="s">
        <v>1934</v>
      </c>
      <c r="F76" s="53" t="s">
        <v>796</v>
      </c>
      <c r="G76" s="53" t="s">
        <v>1859</v>
      </c>
      <c r="H76" s="54">
        <v>5230588.0</v>
      </c>
      <c r="I76" s="26" t="s">
        <v>1855</v>
      </c>
      <c r="J76" s="26" t="s">
        <v>1856</v>
      </c>
      <c r="K76" s="26"/>
      <c r="L76" s="26" t="s">
        <v>1860</v>
      </c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52" t="s">
        <v>575</v>
      </c>
      <c r="C77" s="53" t="s">
        <v>1852</v>
      </c>
      <c r="D77" s="53" t="s">
        <v>953</v>
      </c>
      <c r="E77" s="53" t="s">
        <v>1935</v>
      </c>
      <c r="F77" s="53" t="s">
        <v>953</v>
      </c>
      <c r="G77" s="53" t="s">
        <v>1854</v>
      </c>
      <c r="H77" s="54">
        <v>1.1469291012E8</v>
      </c>
      <c r="I77" s="26" t="s">
        <v>1855</v>
      </c>
      <c r="J77" s="26" t="s">
        <v>1856</v>
      </c>
      <c r="K77" s="26"/>
      <c r="L77" s="26" t="s">
        <v>1857</v>
      </c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52" t="s">
        <v>575</v>
      </c>
      <c r="C78" s="53" t="s">
        <v>1852</v>
      </c>
      <c r="D78" s="53" t="s">
        <v>953</v>
      </c>
      <c r="E78" s="53" t="s">
        <v>1936</v>
      </c>
      <c r="F78" s="53" t="s">
        <v>953</v>
      </c>
      <c r="G78" s="53" t="s">
        <v>1859</v>
      </c>
      <c r="H78" s="54">
        <v>2.237059864E7</v>
      </c>
      <c r="I78" s="26" t="s">
        <v>1855</v>
      </c>
      <c r="J78" s="26" t="s">
        <v>1856</v>
      </c>
      <c r="K78" s="26"/>
      <c r="L78" s="26" t="s">
        <v>1860</v>
      </c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52" t="s">
        <v>575</v>
      </c>
      <c r="C79" s="53" t="s">
        <v>1852</v>
      </c>
      <c r="D79" s="53" t="s">
        <v>804</v>
      </c>
      <c r="E79" s="53" t="s">
        <v>1937</v>
      </c>
      <c r="F79" s="53" t="s">
        <v>804</v>
      </c>
      <c r="G79" s="53" t="s">
        <v>1854</v>
      </c>
      <c r="H79" s="54">
        <v>7653204.65</v>
      </c>
      <c r="I79" s="26" t="s">
        <v>1855</v>
      </c>
      <c r="J79" s="26" t="s">
        <v>1856</v>
      </c>
      <c r="K79" s="26"/>
      <c r="L79" s="26" t="s">
        <v>1857</v>
      </c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52" t="s">
        <v>575</v>
      </c>
      <c r="C80" s="53" t="s">
        <v>1852</v>
      </c>
      <c r="D80" s="53" t="s">
        <v>804</v>
      </c>
      <c r="E80" s="53" t="s">
        <v>1938</v>
      </c>
      <c r="F80" s="53" t="s">
        <v>804</v>
      </c>
      <c r="G80" s="53" t="s">
        <v>1859</v>
      </c>
      <c r="H80" s="54">
        <v>3073502.72</v>
      </c>
      <c r="I80" s="26" t="s">
        <v>1855</v>
      </c>
      <c r="J80" s="26" t="s">
        <v>1856</v>
      </c>
      <c r="K80" s="26"/>
      <c r="L80" s="26" t="s">
        <v>1860</v>
      </c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52" t="s">
        <v>575</v>
      </c>
      <c r="C81" s="53" t="s">
        <v>1852</v>
      </c>
      <c r="D81" s="53" t="s">
        <v>806</v>
      </c>
      <c r="E81" s="53" t="s">
        <v>1939</v>
      </c>
      <c r="F81" s="53" t="s">
        <v>806</v>
      </c>
      <c r="G81" s="53" t="s">
        <v>1854</v>
      </c>
      <c r="H81" s="54">
        <v>2.183785058E7</v>
      </c>
      <c r="I81" s="26" t="s">
        <v>1855</v>
      </c>
      <c r="J81" s="26" t="s">
        <v>1856</v>
      </c>
      <c r="K81" s="26"/>
      <c r="L81" s="26" t="s">
        <v>1857</v>
      </c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52" t="s">
        <v>575</v>
      </c>
      <c r="C82" s="53" t="s">
        <v>1852</v>
      </c>
      <c r="D82" s="53" t="s">
        <v>810</v>
      </c>
      <c r="E82" s="53" t="s">
        <v>1940</v>
      </c>
      <c r="F82" s="53" t="s">
        <v>810</v>
      </c>
      <c r="G82" s="53" t="s">
        <v>1854</v>
      </c>
      <c r="H82" s="54">
        <v>4.0697577393E8</v>
      </c>
      <c r="I82" s="26" t="s">
        <v>1855</v>
      </c>
      <c r="J82" s="26" t="s">
        <v>1856</v>
      </c>
      <c r="K82" s="26"/>
      <c r="L82" s="26" t="s">
        <v>1857</v>
      </c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52" t="s">
        <v>575</v>
      </c>
      <c r="C83" s="53" t="s">
        <v>1852</v>
      </c>
      <c r="D83" s="53" t="s">
        <v>810</v>
      </c>
      <c r="E83" s="53" t="s">
        <v>1941</v>
      </c>
      <c r="F83" s="53" t="s">
        <v>810</v>
      </c>
      <c r="G83" s="53" t="s">
        <v>1859</v>
      </c>
      <c r="H83" s="54">
        <v>8.525287758E7</v>
      </c>
      <c r="I83" s="26" t="s">
        <v>1855</v>
      </c>
      <c r="J83" s="26" t="s">
        <v>1856</v>
      </c>
      <c r="K83" s="26"/>
      <c r="L83" s="26" t="s">
        <v>1860</v>
      </c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52" t="s">
        <v>575</v>
      </c>
      <c r="C84" s="53" t="s">
        <v>1852</v>
      </c>
      <c r="D84" s="53" t="s">
        <v>812</v>
      </c>
      <c r="E84" s="53" t="s">
        <v>1942</v>
      </c>
      <c r="F84" s="53" t="s">
        <v>812</v>
      </c>
      <c r="G84" s="53" t="s">
        <v>1854</v>
      </c>
      <c r="H84" s="54">
        <v>2.511322177E7</v>
      </c>
      <c r="I84" s="26" t="s">
        <v>1855</v>
      </c>
      <c r="J84" s="26" t="s">
        <v>1856</v>
      </c>
      <c r="K84" s="26"/>
      <c r="L84" s="26" t="s">
        <v>1857</v>
      </c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52" t="s">
        <v>575</v>
      </c>
      <c r="C85" s="53" t="s">
        <v>1852</v>
      </c>
      <c r="D85" s="53" t="s">
        <v>812</v>
      </c>
      <c r="E85" s="53" t="s">
        <v>1943</v>
      </c>
      <c r="F85" s="53" t="s">
        <v>812</v>
      </c>
      <c r="G85" s="53" t="s">
        <v>1859</v>
      </c>
      <c r="H85" s="54">
        <v>3297124.8</v>
      </c>
      <c r="I85" s="26" t="s">
        <v>1855</v>
      </c>
      <c r="J85" s="26" t="s">
        <v>1856</v>
      </c>
      <c r="K85" s="26"/>
      <c r="L85" s="26" t="s">
        <v>1860</v>
      </c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52" t="s">
        <v>575</v>
      </c>
      <c r="C86" s="53" t="s">
        <v>1852</v>
      </c>
      <c r="D86" s="53" t="s">
        <v>816</v>
      </c>
      <c r="E86" s="53" t="s">
        <v>1944</v>
      </c>
      <c r="F86" s="53" t="s">
        <v>816</v>
      </c>
      <c r="G86" s="53" t="s">
        <v>1854</v>
      </c>
      <c r="H86" s="54">
        <v>9.430602818E7</v>
      </c>
      <c r="I86" s="26" t="s">
        <v>1855</v>
      </c>
      <c r="J86" s="26" t="s">
        <v>1856</v>
      </c>
      <c r="K86" s="26"/>
      <c r="L86" s="26" t="s">
        <v>1857</v>
      </c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52" t="s">
        <v>575</v>
      </c>
      <c r="C87" s="53" t="s">
        <v>1852</v>
      </c>
      <c r="D87" s="53" t="s">
        <v>816</v>
      </c>
      <c r="E87" s="53" t="s">
        <v>1945</v>
      </c>
      <c r="F87" s="53" t="s">
        <v>816</v>
      </c>
      <c r="G87" s="53" t="s">
        <v>1859</v>
      </c>
      <c r="H87" s="54">
        <v>3.021735776E7</v>
      </c>
      <c r="I87" s="26" t="s">
        <v>1855</v>
      </c>
      <c r="J87" s="26" t="s">
        <v>1856</v>
      </c>
      <c r="K87" s="26"/>
      <c r="L87" s="26" t="s">
        <v>1860</v>
      </c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52" t="s">
        <v>575</v>
      </c>
      <c r="C88" s="53" t="s">
        <v>1852</v>
      </c>
      <c r="D88" s="53" t="s">
        <v>816</v>
      </c>
      <c r="E88" s="53" t="s">
        <v>1946</v>
      </c>
      <c r="F88" s="53" t="s">
        <v>816</v>
      </c>
      <c r="G88" s="53" t="s">
        <v>1862</v>
      </c>
      <c r="H88" s="54">
        <v>6.876629502E7</v>
      </c>
      <c r="I88" s="26" t="s">
        <v>1855</v>
      </c>
      <c r="J88" s="26" t="s">
        <v>1856</v>
      </c>
      <c r="K88" s="26"/>
      <c r="L88" s="26" t="s">
        <v>1863</v>
      </c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52" t="s">
        <v>575</v>
      </c>
      <c r="C89" s="53" t="s">
        <v>1852</v>
      </c>
      <c r="D89" s="53" t="s">
        <v>818</v>
      </c>
      <c r="E89" s="53" t="s">
        <v>1947</v>
      </c>
      <c r="F89" s="53" t="s">
        <v>818</v>
      </c>
      <c r="G89" s="53" t="s">
        <v>1854</v>
      </c>
      <c r="H89" s="54">
        <v>6137431.3</v>
      </c>
      <c r="I89" s="26" t="s">
        <v>1855</v>
      </c>
      <c r="J89" s="26" t="s">
        <v>1856</v>
      </c>
      <c r="K89" s="26"/>
      <c r="L89" s="26" t="s">
        <v>1857</v>
      </c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52" t="s">
        <v>575</v>
      </c>
      <c r="C90" s="53" t="s">
        <v>1852</v>
      </c>
      <c r="D90" s="53" t="s">
        <v>818</v>
      </c>
      <c r="E90" s="53" t="s">
        <v>1948</v>
      </c>
      <c r="F90" s="53" t="s">
        <v>818</v>
      </c>
      <c r="G90" s="53" t="s">
        <v>1859</v>
      </c>
      <c r="H90" s="54">
        <v>7783431.68</v>
      </c>
      <c r="I90" s="26" t="s">
        <v>1855</v>
      </c>
      <c r="J90" s="26" t="s">
        <v>1856</v>
      </c>
      <c r="K90" s="26"/>
      <c r="L90" s="26" t="s">
        <v>1860</v>
      </c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52" t="s">
        <v>575</v>
      </c>
      <c r="C91" s="53" t="s">
        <v>1852</v>
      </c>
      <c r="D91" s="53" t="s">
        <v>824</v>
      </c>
      <c r="E91" s="53" t="s">
        <v>1949</v>
      </c>
      <c r="F91" s="53" t="s">
        <v>824</v>
      </c>
      <c r="G91" s="53" t="s">
        <v>1854</v>
      </c>
      <c r="H91" s="54">
        <v>3081997.1</v>
      </c>
      <c r="I91" s="26" t="s">
        <v>1855</v>
      </c>
      <c r="J91" s="26" t="s">
        <v>1856</v>
      </c>
      <c r="K91" s="26"/>
      <c r="L91" s="26" t="s">
        <v>1857</v>
      </c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52" t="s">
        <v>575</v>
      </c>
      <c r="C92" s="53" t="s">
        <v>1852</v>
      </c>
      <c r="D92" s="53" t="s">
        <v>828</v>
      </c>
      <c r="E92" s="53" t="s">
        <v>1950</v>
      </c>
      <c r="F92" s="53" t="s">
        <v>828</v>
      </c>
      <c r="G92" s="53" t="s">
        <v>1854</v>
      </c>
      <c r="H92" s="54">
        <v>1.64942232E7</v>
      </c>
      <c r="I92" s="26" t="s">
        <v>1855</v>
      </c>
      <c r="J92" s="26" t="s">
        <v>1856</v>
      </c>
      <c r="K92" s="26"/>
      <c r="L92" s="26" t="s">
        <v>1857</v>
      </c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52" t="s">
        <v>575</v>
      </c>
      <c r="C93" s="53" t="s">
        <v>1852</v>
      </c>
      <c r="D93" s="53" t="s">
        <v>828</v>
      </c>
      <c r="E93" s="53" t="s">
        <v>1951</v>
      </c>
      <c r="F93" s="53" t="s">
        <v>828</v>
      </c>
      <c r="G93" s="53" t="s">
        <v>1859</v>
      </c>
      <c r="H93" s="54">
        <v>1.32196072E7</v>
      </c>
      <c r="I93" s="26" t="s">
        <v>1855</v>
      </c>
      <c r="J93" s="26" t="s">
        <v>1856</v>
      </c>
      <c r="K93" s="26"/>
      <c r="L93" s="26" t="s">
        <v>1860</v>
      </c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52" t="s">
        <v>575</v>
      </c>
      <c r="C94" s="53" t="s">
        <v>1852</v>
      </c>
      <c r="D94" s="53" t="s">
        <v>830</v>
      </c>
      <c r="E94" s="53" t="s">
        <v>1952</v>
      </c>
      <c r="F94" s="53" t="s">
        <v>830</v>
      </c>
      <c r="G94" s="53" t="s">
        <v>1854</v>
      </c>
      <c r="H94" s="54">
        <v>8.6482848298E8</v>
      </c>
      <c r="I94" s="26" t="s">
        <v>1855</v>
      </c>
      <c r="J94" s="26" t="s">
        <v>1856</v>
      </c>
      <c r="K94" s="26"/>
      <c r="L94" s="26" t="s">
        <v>1857</v>
      </c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52" t="s">
        <v>575</v>
      </c>
      <c r="C95" s="53" t="s">
        <v>1852</v>
      </c>
      <c r="D95" s="53" t="s">
        <v>830</v>
      </c>
      <c r="E95" s="53" t="s">
        <v>1953</v>
      </c>
      <c r="F95" s="53" t="s">
        <v>830</v>
      </c>
      <c r="G95" s="53" t="s">
        <v>1859</v>
      </c>
      <c r="H95" s="54">
        <v>1.6675302046E8</v>
      </c>
      <c r="I95" s="26" t="s">
        <v>1855</v>
      </c>
      <c r="J95" s="26" t="s">
        <v>1856</v>
      </c>
      <c r="K95" s="26"/>
      <c r="L95" s="26" t="s">
        <v>1860</v>
      </c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52" t="s">
        <v>575</v>
      </c>
      <c r="C96" s="53" t="s">
        <v>1852</v>
      </c>
      <c r="D96" s="53" t="s">
        <v>834</v>
      </c>
      <c r="E96" s="53" t="s">
        <v>1954</v>
      </c>
      <c r="F96" s="53" t="s">
        <v>834</v>
      </c>
      <c r="G96" s="53" t="s">
        <v>1854</v>
      </c>
      <c r="H96" s="54">
        <v>2.2877415074E8</v>
      </c>
      <c r="I96" s="26" t="s">
        <v>1855</v>
      </c>
      <c r="J96" s="26" t="s">
        <v>1856</v>
      </c>
      <c r="K96" s="26"/>
      <c r="L96" s="26" t="s">
        <v>1857</v>
      </c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52" t="s">
        <v>575</v>
      </c>
      <c r="C97" s="53" t="s">
        <v>1852</v>
      </c>
      <c r="D97" s="53" t="s">
        <v>834</v>
      </c>
      <c r="E97" s="53" t="s">
        <v>1955</v>
      </c>
      <c r="F97" s="53" t="s">
        <v>834</v>
      </c>
      <c r="G97" s="53" t="s">
        <v>1859</v>
      </c>
      <c r="H97" s="54">
        <v>5.326863048E7</v>
      </c>
      <c r="I97" s="26" t="s">
        <v>1855</v>
      </c>
      <c r="J97" s="26" t="s">
        <v>1856</v>
      </c>
      <c r="K97" s="26"/>
      <c r="L97" s="26" t="s">
        <v>1860</v>
      </c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52" t="s">
        <v>575</v>
      </c>
      <c r="C98" s="53" t="s">
        <v>1852</v>
      </c>
      <c r="D98" s="53" t="s">
        <v>836</v>
      </c>
      <c r="E98" s="53" t="s">
        <v>1956</v>
      </c>
      <c r="F98" s="53" t="s">
        <v>836</v>
      </c>
      <c r="G98" s="53" t="s">
        <v>1854</v>
      </c>
      <c r="H98" s="54">
        <v>5.838344299E7</v>
      </c>
      <c r="I98" s="26" t="s">
        <v>1855</v>
      </c>
      <c r="J98" s="26" t="s">
        <v>1856</v>
      </c>
      <c r="K98" s="26"/>
      <c r="L98" s="26" t="s">
        <v>1857</v>
      </c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52" t="s">
        <v>575</v>
      </c>
      <c r="C99" s="53" t="s">
        <v>1852</v>
      </c>
      <c r="D99" s="53" t="s">
        <v>836</v>
      </c>
      <c r="E99" s="53" t="s">
        <v>1957</v>
      </c>
      <c r="F99" s="53" t="s">
        <v>836</v>
      </c>
      <c r="G99" s="53" t="s">
        <v>1859</v>
      </c>
      <c r="H99" s="54">
        <v>1.374321528E7</v>
      </c>
      <c r="I99" s="26" t="s">
        <v>1855</v>
      </c>
      <c r="J99" s="26" t="s">
        <v>1856</v>
      </c>
      <c r="K99" s="26"/>
      <c r="L99" s="26" t="s">
        <v>1860</v>
      </c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52" t="s">
        <v>575</v>
      </c>
      <c r="C100" s="53" t="s">
        <v>1852</v>
      </c>
      <c r="D100" s="53" t="s">
        <v>1958</v>
      </c>
      <c r="E100" s="53" t="s">
        <v>1959</v>
      </c>
      <c r="F100" s="53" t="s">
        <v>1958</v>
      </c>
      <c r="G100" s="53" t="s">
        <v>1854</v>
      </c>
      <c r="H100" s="54">
        <v>1.17582556E7</v>
      </c>
      <c r="I100" s="26" t="s">
        <v>1855</v>
      </c>
      <c r="J100" s="26" t="s">
        <v>1856</v>
      </c>
      <c r="K100" s="26"/>
      <c r="L100" s="26" t="s">
        <v>1857</v>
      </c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52" t="s">
        <v>575</v>
      </c>
      <c r="C101" s="53" t="s">
        <v>1852</v>
      </c>
      <c r="D101" s="53" t="s">
        <v>710</v>
      </c>
      <c r="E101" s="53" t="s">
        <v>1960</v>
      </c>
      <c r="F101" s="53" t="s">
        <v>1028</v>
      </c>
      <c r="G101" s="53" t="s">
        <v>1854</v>
      </c>
      <c r="H101" s="54">
        <v>7.01947246E7</v>
      </c>
      <c r="I101" s="26" t="s">
        <v>1855</v>
      </c>
      <c r="J101" s="26" t="s">
        <v>1856</v>
      </c>
      <c r="K101" s="26"/>
      <c r="L101" s="26" t="s">
        <v>1857</v>
      </c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52" t="s">
        <v>575</v>
      </c>
      <c r="C102" s="53" t="s">
        <v>1852</v>
      </c>
      <c r="D102" s="53" t="s">
        <v>710</v>
      </c>
      <c r="E102" s="53" t="s">
        <v>1961</v>
      </c>
      <c r="F102" s="53" t="s">
        <v>1028</v>
      </c>
      <c r="G102" s="53" t="s">
        <v>1859</v>
      </c>
      <c r="H102" s="54">
        <v>1.27721368E7</v>
      </c>
      <c r="I102" s="26" t="s">
        <v>1855</v>
      </c>
      <c r="J102" s="26" t="s">
        <v>1856</v>
      </c>
      <c r="K102" s="26"/>
      <c r="L102" s="26" t="s">
        <v>1860</v>
      </c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52" t="s">
        <v>575</v>
      </c>
      <c r="C103" s="53" t="s">
        <v>1852</v>
      </c>
      <c r="D103" s="53" t="s">
        <v>710</v>
      </c>
      <c r="E103" s="53" t="s">
        <v>1962</v>
      </c>
      <c r="F103" s="53" t="s">
        <v>1028</v>
      </c>
      <c r="G103" s="53" t="s">
        <v>1862</v>
      </c>
      <c r="H103" s="54">
        <v>2669697.6</v>
      </c>
      <c r="I103" s="26" t="s">
        <v>1855</v>
      </c>
      <c r="J103" s="26" t="s">
        <v>1856</v>
      </c>
      <c r="K103" s="26"/>
      <c r="L103" s="26" t="s">
        <v>1863</v>
      </c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52" t="s">
        <v>575</v>
      </c>
      <c r="C104" s="53" t="s">
        <v>1852</v>
      </c>
      <c r="D104" s="53" t="s">
        <v>1139</v>
      </c>
      <c r="E104" s="53" t="s">
        <v>1963</v>
      </c>
      <c r="F104" s="53" t="s">
        <v>1139</v>
      </c>
      <c r="G104" s="53" t="s">
        <v>1854</v>
      </c>
      <c r="H104" s="54">
        <v>6.3352424116E8</v>
      </c>
      <c r="I104" s="26" t="s">
        <v>1855</v>
      </c>
      <c r="J104" s="26" t="s">
        <v>1856</v>
      </c>
      <c r="K104" s="26"/>
      <c r="L104" s="26" t="s">
        <v>1857</v>
      </c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52" t="s">
        <v>575</v>
      </c>
      <c r="C105" s="53" t="s">
        <v>1852</v>
      </c>
      <c r="D105" s="53" t="s">
        <v>1139</v>
      </c>
      <c r="E105" s="53" t="s">
        <v>1964</v>
      </c>
      <c r="F105" s="53" t="s">
        <v>1139</v>
      </c>
      <c r="G105" s="53" t="s">
        <v>1859</v>
      </c>
      <c r="H105" s="54">
        <v>3.4732739418E8</v>
      </c>
      <c r="I105" s="26" t="s">
        <v>1855</v>
      </c>
      <c r="J105" s="26" t="s">
        <v>1856</v>
      </c>
      <c r="K105" s="26"/>
      <c r="L105" s="26" t="s">
        <v>1860</v>
      </c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52" t="s">
        <v>575</v>
      </c>
      <c r="C106" s="53" t="s">
        <v>1852</v>
      </c>
      <c r="D106" s="53" t="s">
        <v>1139</v>
      </c>
      <c r="E106" s="53" t="s">
        <v>1965</v>
      </c>
      <c r="F106" s="53" t="s">
        <v>1139</v>
      </c>
      <c r="G106" s="53" t="s">
        <v>1862</v>
      </c>
      <c r="H106" s="54">
        <v>1.0963801551E8</v>
      </c>
      <c r="I106" s="26" t="s">
        <v>1855</v>
      </c>
      <c r="J106" s="26" t="s">
        <v>1856</v>
      </c>
      <c r="K106" s="26"/>
      <c r="L106" s="26" t="s">
        <v>1863</v>
      </c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52" t="s">
        <v>575</v>
      </c>
      <c r="C107" s="53" t="s">
        <v>1852</v>
      </c>
      <c r="D107" s="53" t="s">
        <v>1139</v>
      </c>
      <c r="E107" s="53" t="s">
        <v>1966</v>
      </c>
      <c r="F107" s="53" t="s">
        <v>1139</v>
      </c>
      <c r="G107" s="53" t="s">
        <v>1886</v>
      </c>
      <c r="H107" s="54">
        <v>3.541793373E7</v>
      </c>
      <c r="I107" s="26" t="s">
        <v>1855</v>
      </c>
      <c r="J107" s="26" t="s">
        <v>1856</v>
      </c>
      <c r="K107" s="26"/>
      <c r="L107" s="26" t="s">
        <v>1887</v>
      </c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52" t="s">
        <v>575</v>
      </c>
      <c r="C108" s="53" t="s">
        <v>1852</v>
      </c>
      <c r="D108" s="53" t="s">
        <v>842</v>
      </c>
      <c r="E108" s="53" t="s">
        <v>1967</v>
      </c>
      <c r="F108" s="53" t="s">
        <v>842</v>
      </c>
      <c r="G108" s="53" t="s">
        <v>1854</v>
      </c>
      <c r="H108" s="54">
        <v>2.846909702E7</v>
      </c>
      <c r="I108" s="26" t="s">
        <v>1855</v>
      </c>
      <c r="J108" s="26" t="s">
        <v>1856</v>
      </c>
      <c r="K108" s="26"/>
      <c r="L108" s="26" t="s">
        <v>1857</v>
      </c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52" t="s">
        <v>575</v>
      </c>
      <c r="C109" s="53" t="s">
        <v>1852</v>
      </c>
      <c r="D109" s="53" t="s">
        <v>842</v>
      </c>
      <c r="E109" s="53" t="s">
        <v>1968</v>
      </c>
      <c r="F109" s="53" t="s">
        <v>842</v>
      </c>
      <c r="G109" s="53" t="s">
        <v>1859</v>
      </c>
      <c r="H109" s="54">
        <v>4265141.12</v>
      </c>
      <c r="I109" s="26" t="s">
        <v>1855</v>
      </c>
      <c r="J109" s="26" t="s">
        <v>1856</v>
      </c>
      <c r="K109" s="26"/>
      <c r="L109" s="26" t="s">
        <v>1860</v>
      </c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52" t="s">
        <v>575</v>
      </c>
      <c r="C110" s="53" t="s">
        <v>1852</v>
      </c>
      <c r="D110" s="53" t="s">
        <v>842</v>
      </c>
      <c r="E110" s="53" t="s">
        <v>1969</v>
      </c>
      <c r="F110" s="53" t="s">
        <v>842</v>
      </c>
      <c r="G110" s="53" t="s">
        <v>1862</v>
      </c>
      <c r="H110" s="54">
        <v>5168429.0</v>
      </c>
      <c r="I110" s="26" t="s">
        <v>1855</v>
      </c>
      <c r="J110" s="26" t="s">
        <v>1856</v>
      </c>
      <c r="K110" s="26"/>
      <c r="L110" s="26" t="s">
        <v>1863</v>
      </c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52" t="s">
        <v>575</v>
      </c>
      <c r="C111" s="53" t="s">
        <v>1852</v>
      </c>
      <c r="D111" s="53" t="s">
        <v>844</v>
      </c>
      <c r="E111" s="53" t="s">
        <v>1970</v>
      </c>
      <c r="F111" s="53" t="s">
        <v>844</v>
      </c>
      <c r="G111" s="53" t="s">
        <v>1854</v>
      </c>
      <c r="H111" s="54">
        <v>2.073370026E7</v>
      </c>
      <c r="I111" s="26" t="s">
        <v>1855</v>
      </c>
      <c r="J111" s="26" t="s">
        <v>1856</v>
      </c>
      <c r="K111" s="26"/>
      <c r="L111" s="26" t="s">
        <v>1857</v>
      </c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52" t="s">
        <v>575</v>
      </c>
      <c r="C112" s="53" t="s">
        <v>1852</v>
      </c>
      <c r="D112" s="53" t="s">
        <v>844</v>
      </c>
      <c r="E112" s="53" t="s">
        <v>1971</v>
      </c>
      <c r="F112" s="53" t="s">
        <v>844</v>
      </c>
      <c r="G112" s="53" t="s">
        <v>1859</v>
      </c>
      <c r="H112" s="54">
        <v>2.840130504E7</v>
      </c>
      <c r="I112" s="26" t="s">
        <v>1855</v>
      </c>
      <c r="J112" s="26" t="s">
        <v>1856</v>
      </c>
      <c r="K112" s="26"/>
      <c r="L112" s="26" t="s">
        <v>1860</v>
      </c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52" t="s">
        <v>575</v>
      </c>
      <c r="C113" s="53" t="s">
        <v>1852</v>
      </c>
      <c r="D113" s="53" t="s">
        <v>844</v>
      </c>
      <c r="E113" s="53" t="s">
        <v>1972</v>
      </c>
      <c r="F113" s="53" t="s">
        <v>844</v>
      </c>
      <c r="G113" s="53" t="s">
        <v>1862</v>
      </c>
      <c r="H113" s="54">
        <v>4.294123364E7</v>
      </c>
      <c r="I113" s="26" t="s">
        <v>1855</v>
      </c>
      <c r="J113" s="26" t="s">
        <v>1856</v>
      </c>
      <c r="K113" s="26"/>
      <c r="L113" s="26" t="s">
        <v>1863</v>
      </c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52" t="s">
        <v>575</v>
      </c>
      <c r="C114" s="53" t="s">
        <v>1852</v>
      </c>
      <c r="D114" s="53" t="s">
        <v>848</v>
      </c>
      <c r="E114" s="53" t="s">
        <v>1973</v>
      </c>
      <c r="F114" s="53" t="s">
        <v>848</v>
      </c>
      <c r="G114" s="53" t="s">
        <v>1854</v>
      </c>
      <c r="H114" s="54">
        <v>1.32806219E7</v>
      </c>
      <c r="I114" s="26" t="s">
        <v>1855</v>
      </c>
      <c r="J114" s="26" t="s">
        <v>1856</v>
      </c>
      <c r="K114" s="26"/>
      <c r="L114" s="26" t="s">
        <v>1857</v>
      </c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52" t="s">
        <v>575</v>
      </c>
      <c r="C115" s="53" t="s">
        <v>1852</v>
      </c>
      <c r="D115" s="53" t="s">
        <v>850</v>
      </c>
      <c r="E115" s="53" t="s">
        <v>1974</v>
      </c>
      <c r="F115" s="53" t="s">
        <v>850</v>
      </c>
      <c r="G115" s="53" t="s">
        <v>1854</v>
      </c>
      <c r="H115" s="54">
        <v>6.982388868E7</v>
      </c>
      <c r="I115" s="26" t="s">
        <v>1855</v>
      </c>
      <c r="J115" s="26" t="s">
        <v>1856</v>
      </c>
      <c r="K115" s="26"/>
      <c r="L115" s="26" t="s">
        <v>1857</v>
      </c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52" t="s">
        <v>575</v>
      </c>
      <c r="C116" s="53" t="s">
        <v>1852</v>
      </c>
      <c r="D116" s="53" t="s">
        <v>850</v>
      </c>
      <c r="E116" s="53" t="s">
        <v>1975</v>
      </c>
      <c r="F116" s="53" t="s">
        <v>850</v>
      </c>
      <c r="G116" s="53" t="s">
        <v>1859</v>
      </c>
      <c r="H116" s="54">
        <v>1.489496288E7</v>
      </c>
      <c r="I116" s="26" t="s">
        <v>1855</v>
      </c>
      <c r="J116" s="26" t="s">
        <v>1856</v>
      </c>
      <c r="K116" s="26"/>
      <c r="L116" s="26" t="s">
        <v>1860</v>
      </c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52" t="s">
        <v>575</v>
      </c>
      <c r="C117" s="53" t="s">
        <v>1852</v>
      </c>
      <c r="D117" s="53" t="s">
        <v>850</v>
      </c>
      <c r="E117" s="53" t="s">
        <v>1976</v>
      </c>
      <c r="F117" s="53" t="s">
        <v>850</v>
      </c>
      <c r="G117" s="53" t="s">
        <v>1862</v>
      </c>
      <c r="H117" s="54">
        <v>6742333.8</v>
      </c>
      <c r="I117" s="26" t="s">
        <v>1855</v>
      </c>
      <c r="J117" s="26" t="s">
        <v>1856</v>
      </c>
      <c r="K117" s="26"/>
      <c r="L117" s="26" t="s">
        <v>1863</v>
      </c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52" t="s">
        <v>575</v>
      </c>
      <c r="C118" s="53" t="s">
        <v>1852</v>
      </c>
      <c r="D118" s="53" t="s">
        <v>852</v>
      </c>
      <c r="E118" s="53" t="s">
        <v>1977</v>
      </c>
      <c r="F118" s="53" t="s">
        <v>852</v>
      </c>
      <c r="G118" s="53" t="s">
        <v>1854</v>
      </c>
      <c r="H118" s="54">
        <v>4.248816117E7</v>
      </c>
      <c r="I118" s="26" t="s">
        <v>1855</v>
      </c>
      <c r="J118" s="26" t="s">
        <v>1856</v>
      </c>
      <c r="K118" s="26"/>
      <c r="L118" s="26" t="s">
        <v>1857</v>
      </c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52" t="s">
        <v>575</v>
      </c>
      <c r="C119" s="53" t="s">
        <v>1852</v>
      </c>
      <c r="D119" s="53" t="s">
        <v>852</v>
      </c>
      <c r="E119" s="53" t="s">
        <v>1978</v>
      </c>
      <c r="F119" s="53" t="s">
        <v>852</v>
      </c>
      <c r="G119" s="53" t="s">
        <v>1859</v>
      </c>
      <c r="H119" s="54">
        <v>4170007.2</v>
      </c>
      <c r="I119" s="26" t="s">
        <v>1855</v>
      </c>
      <c r="J119" s="26" t="s">
        <v>1856</v>
      </c>
      <c r="K119" s="26"/>
      <c r="L119" s="26" t="s">
        <v>1860</v>
      </c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52" t="s">
        <v>575</v>
      </c>
      <c r="C120" s="53" t="s">
        <v>1852</v>
      </c>
      <c r="D120" s="53" t="s">
        <v>1979</v>
      </c>
      <c r="E120" s="53" t="s">
        <v>1980</v>
      </c>
      <c r="F120" s="53" t="s">
        <v>1979</v>
      </c>
      <c r="G120" s="53" t="s">
        <v>1854</v>
      </c>
      <c r="H120" s="54">
        <v>5.62233822192E9</v>
      </c>
      <c r="I120" s="26" t="s">
        <v>1855</v>
      </c>
      <c r="J120" s="26" t="s">
        <v>1856</v>
      </c>
      <c r="K120" s="26"/>
      <c r="L120" s="26" t="s">
        <v>1857</v>
      </c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52" t="s">
        <v>575</v>
      </c>
      <c r="C121" s="53" t="s">
        <v>1852</v>
      </c>
      <c r="D121" s="53" t="s">
        <v>1979</v>
      </c>
      <c r="E121" s="53" t="s">
        <v>1981</v>
      </c>
      <c r="F121" s="53" t="s">
        <v>1979</v>
      </c>
      <c r="G121" s="53" t="s">
        <v>1859</v>
      </c>
      <c r="H121" s="54">
        <v>3.7489034952E9</v>
      </c>
      <c r="I121" s="26" t="s">
        <v>1855</v>
      </c>
      <c r="J121" s="26" t="s">
        <v>1856</v>
      </c>
      <c r="K121" s="26"/>
      <c r="L121" s="26" t="s">
        <v>1860</v>
      </c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52" t="s">
        <v>575</v>
      </c>
      <c r="C122" s="53" t="s">
        <v>1852</v>
      </c>
      <c r="D122" s="53" t="s">
        <v>1979</v>
      </c>
      <c r="E122" s="53" t="s">
        <v>1982</v>
      </c>
      <c r="F122" s="53" t="s">
        <v>1979</v>
      </c>
      <c r="G122" s="53" t="s">
        <v>1862</v>
      </c>
      <c r="H122" s="54">
        <v>2.0759867385E9</v>
      </c>
      <c r="I122" s="26" t="s">
        <v>1855</v>
      </c>
      <c r="J122" s="26" t="s">
        <v>1856</v>
      </c>
      <c r="K122" s="26"/>
      <c r="L122" s="26" t="s">
        <v>1863</v>
      </c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52" t="s">
        <v>575</v>
      </c>
      <c r="C123" s="53" t="s">
        <v>1852</v>
      </c>
      <c r="D123" s="53" t="s">
        <v>1979</v>
      </c>
      <c r="E123" s="53" t="s">
        <v>1983</v>
      </c>
      <c r="F123" s="53" t="s">
        <v>1979</v>
      </c>
      <c r="G123" s="53" t="s">
        <v>1984</v>
      </c>
      <c r="H123" s="54">
        <v>5.019261718E8</v>
      </c>
      <c r="I123" s="26" t="s">
        <v>1855</v>
      </c>
      <c r="J123" s="26" t="s">
        <v>1856</v>
      </c>
      <c r="K123" s="26"/>
      <c r="L123" s="26" t="s">
        <v>1985</v>
      </c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52" t="s">
        <v>575</v>
      </c>
      <c r="C124" s="53" t="s">
        <v>1852</v>
      </c>
      <c r="D124" s="53" t="s">
        <v>858</v>
      </c>
      <c r="E124" s="53" t="s">
        <v>1986</v>
      </c>
      <c r="F124" s="53" t="s">
        <v>858</v>
      </c>
      <c r="G124" s="53" t="s">
        <v>1854</v>
      </c>
      <c r="H124" s="54">
        <v>1.275582308E7</v>
      </c>
      <c r="I124" s="26" t="s">
        <v>1855</v>
      </c>
      <c r="J124" s="26" t="s">
        <v>1856</v>
      </c>
      <c r="K124" s="26"/>
      <c r="L124" s="26" t="s">
        <v>1857</v>
      </c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52" t="s">
        <v>575</v>
      </c>
      <c r="C125" s="53" t="s">
        <v>1852</v>
      </c>
      <c r="D125" s="53" t="s">
        <v>862</v>
      </c>
      <c r="E125" s="53" t="s">
        <v>1987</v>
      </c>
      <c r="F125" s="53" t="s">
        <v>862</v>
      </c>
      <c r="G125" s="53" t="s">
        <v>1854</v>
      </c>
      <c r="H125" s="54">
        <v>1.4390854933E8</v>
      </c>
      <c r="I125" s="26" t="s">
        <v>1855</v>
      </c>
      <c r="J125" s="26" t="s">
        <v>1856</v>
      </c>
      <c r="K125" s="26"/>
      <c r="L125" s="26" t="s">
        <v>1857</v>
      </c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52" t="s">
        <v>575</v>
      </c>
      <c r="C126" s="53" t="s">
        <v>1852</v>
      </c>
      <c r="D126" s="53" t="s">
        <v>862</v>
      </c>
      <c r="E126" s="53" t="s">
        <v>1988</v>
      </c>
      <c r="F126" s="53" t="s">
        <v>862</v>
      </c>
      <c r="G126" s="53" t="s">
        <v>1859</v>
      </c>
      <c r="H126" s="54">
        <v>7.891615608E7</v>
      </c>
      <c r="I126" s="26" t="s">
        <v>1855</v>
      </c>
      <c r="J126" s="26" t="s">
        <v>1856</v>
      </c>
      <c r="K126" s="26"/>
      <c r="L126" s="26" t="s">
        <v>1860</v>
      </c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52" t="s">
        <v>575</v>
      </c>
      <c r="C127" s="53" t="s">
        <v>1852</v>
      </c>
      <c r="D127" s="53" t="s">
        <v>862</v>
      </c>
      <c r="E127" s="53" t="s">
        <v>1989</v>
      </c>
      <c r="F127" s="53" t="s">
        <v>862</v>
      </c>
      <c r="G127" s="53" t="s">
        <v>1862</v>
      </c>
      <c r="H127" s="54">
        <v>1.09876005E7</v>
      </c>
      <c r="I127" s="26" t="s">
        <v>1855</v>
      </c>
      <c r="J127" s="26" t="s">
        <v>1856</v>
      </c>
      <c r="K127" s="26"/>
      <c r="L127" s="26" t="s">
        <v>1863</v>
      </c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52" t="s">
        <v>575</v>
      </c>
      <c r="C128" s="53" t="s">
        <v>1852</v>
      </c>
      <c r="D128" s="53" t="s">
        <v>730</v>
      </c>
      <c r="E128" s="53" t="s">
        <v>1990</v>
      </c>
      <c r="F128" s="53" t="s">
        <v>730</v>
      </c>
      <c r="G128" s="53" t="s">
        <v>1854</v>
      </c>
      <c r="H128" s="54">
        <v>5.207649146E7</v>
      </c>
      <c r="I128" s="26" t="s">
        <v>1855</v>
      </c>
      <c r="J128" s="26" t="s">
        <v>1856</v>
      </c>
      <c r="K128" s="26"/>
      <c r="L128" s="26" t="s">
        <v>1857</v>
      </c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52" t="s">
        <v>575</v>
      </c>
      <c r="C129" s="53" t="s">
        <v>1852</v>
      </c>
      <c r="D129" s="53" t="s">
        <v>713</v>
      </c>
      <c r="E129" s="53" t="s">
        <v>1991</v>
      </c>
      <c r="F129" s="53" t="s">
        <v>713</v>
      </c>
      <c r="G129" s="53" t="s">
        <v>1854</v>
      </c>
      <c r="H129" s="54">
        <v>5.595683821E7</v>
      </c>
      <c r="I129" s="26" t="s">
        <v>1855</v>
      </c>
      <c r="J129" s="26" t="s">
        <v>1856</v>
      </c>
      <c r="K129" s="26"/>
      <c r="L129" s="26" t="s">
        <v>1857</v>
      </c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52" t="s">
        <v>575</v>
      </c>
      <c r="C130" s="53" t="s">
        <v>1852</v>
      </c>
      <c r="D130" s="53" t="s">
        <v>713</v>
      </c>
      <c r="E130" s="53" t="s">
        <v>1992</v>
      </c>
      <c r="F130" s="53" t="s">
        <v>713</v>
      </c>
      <c r="G130" s="53" t="s">
        <v>1859</v>
      </c>
      <c r="H130" s="54">
        <v>1.826980112E7</v>
      </c>
      <c r="I130" s="26" t="s">
        <v>1855</v>
      </c>
      <c r="J130" s="26" t="s">
        <v>1856</v>
      </c>
      <c r="K130" s="26"/>
      <c r="L130" s="26" t="s">
        <v>1860</v>
      </c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52" t="s">
        <v>575</v>
      </c>
      <c r="C131" s="53" t="s">
        <v>1852</v>
      </c>
      <c r="D131" s="53" t="s">
        <v>833</v>
      </c>
      <c r="E131" s="53" t="s">
        <v>1993</v>
      </c>
      <c r="F131" s="53" t="s">
        <v>833</v>
      </c>
      <c r="G131" s="53" t="s">
        <v>1854</v>
      </c>
      <c r="H131" s="54">
        <v>7.112775525E7</v>
      </c>
      <c r="I131" s="26" t="s">
        <v>1855</v>
      </c>
      <c r="J131" s="26" t="s">
        <v>1856</v>
      </c>
      <c r="K131" s="26"/>
      <c r="L131" s="26" t="s">
        <v>1857</v>
      </c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52" t="s">
        <v>575</v>
      </c>
      <c r="C132" s="53" t="s">
        <v>1852</v>
      </c>
      <c r="D132" s="53" t="s">
        <v>833</v>
      </c>
      <c r="E132" s="53" t="s">
        <v>1994</v>
      </c>
      <c r="F132" s="53" t="s">
        <v>833</v>
      </c>
      <c r="G132" s="53" t="s">
        <v>1859</v>
      </c>
      <c r="H132" s="54">
        <v>3.421120248E7</v>
      </c>
      <c r="I132" s="26" t="s">
        <v>1855</v>
      </c>
      <c r="J132" s="26" t="s">
        <v>1856</v>
      </c>
      <c r="K132" s="26"/>
      <c r="L132" s="26" t="s">
        <v>1860</v>
      </c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52" t="s">
        <v>575</v>
      </c>
      <c r="C133" s="53" t="s">
        <v>1852</v>
      </c>
      <c r="D133" s="53" t="s">
        <v>866</v>
      </c>
      <c r="E133" s="53" t="s">
        <v>1995</v>
      </c>
      <c r="F133" s="53" t="s">
        <v>866</v>
      </c>
      <c r="G133" s="53" t="s">
        <v>1854</v>
      </c>
      <c r="H133" s="54">
        <v>1.7101552644E8</v>
      </c>
      <c r="I133" s="26" t="s">
        <v>1855</v>
      </c>
      <c r="J133" s="26" t="s">
        <v>1856</v>
      </c>
      <c r="K133" s="26"/>
      <c r="L133" s="26" t="s">
        <v>1857</v>
      </c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52" t="s">
        <v>575</v>
      </c>
      <c r="C134" s="53" t="s">
        <v>1852</v>
      </c>
      <c r="D134" s="53" t="s">
        <v>866</v>
      </c>
      <c r="E134" s="53" t="s">
        <v>1996</v>
      </c>
      <c r="F134" s="53" t="s">
        <v>866</v>
      </c>
      <c r="G134" s="53" t="s">
        <v>1859</v>
      </c>
      <c r="H134" s="54">
        <v>5.07002938E7</v>
      </c>
      <c r="I134" s="26" t="s">
        <v>1855</v>
      </c>
      <c r="J134" s="26" t="s">
        <v>1856</v>
      </c>
      <c r="K134" s="26"/>
      <c r="L134" s="26" t="s">
        <v>1860</v>
      </c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52" t="s">
        <v>575</v>
      </c>
      <c r="C135" s="53" t="s">
        <v>1852</v>
      </c>
      <c r="D135" s="53" t="s">
        <v>866</v>
      </c>
      <c r="E135" s="53" t="s">
        <v>1997</v>
      </c>
      <c r="F135" s="53" t="s">
        <v>866</v>
      </c>
      <c r="G135" s="53" t="s">
        <v>1862</v>
      </c>
      <c r="H135" s="54">
        <v>7319412.9</v>
      </c>
      <c r="I135" s="26" t="s">
        <v>1855</v>
      </c>
      <c r="J135" s="26" t="s">
        <v>1856</v>
      </c>
      <c r="K135" s="26"/>
      <c r="L135" s="26" t="s">
        <v>1863</v>
      </c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52" t="s">
        <v>575</v>
      </c>
      <c r="C136" s="53" t="s">
        <v>1852</v>
      </c>
      <c r="D136" s="53" t="s">
        <v>701</v>
      </c>
      <c r="E136" s="53" t="s">
        <v>1998</v>
      </c>
      <c r="F136" s="53" t="s">
        <v>701</v>
      </c>
      <c r="G136" s="53" t="s">
        <v>1854</v>
      </c>
      <c r="H136" s="54">
        <v>9.9138409552E8</v>
      </c>
      <c r="I136" s="26" t="s">
        <v>1855</v>
      </c>
      <c r="J136" s="26" t="s">
        <v>1856</v>
      </c>
      <c r="K136" s="26"/>
      <c r="L136" s="26" t="s">
        <v>1857</v>
      </c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52" t="s">
        <v>575</v>
      </c>
      <c r="C137" s="53" t="s">
        <v>1852</v>
      </c>
      <c r="D137" s="53" t="s">
        <v>701</v>
      </c>
      <c r="E137" s="53" t="s">
        <v>1999</v>
      </c>
      <c r="F137" s="53" t="s">
        <v>701</v>
      </c>
      <c r="G137" s="53" t="s">
        <v>1859</v>
      </c>
      <c r="H137" s="54">
        <v>3.198580716E8</v>
      </c>
      <c r="I137" s="26" t="s">
        <v>1855</v>
      </c>
      <c r="J137" s="26" t="s">
        <v>1856</v>
      </c>
      <c r="K137" s="26"/>
      <c r="L137" s="26" t="s">
        <v>1860</v>
      </c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52" t="s">
        <v>575</v>
      </c>
      <c r="C138" s="53" t="s">
        <v>1852</v>
      </c>
      <c r="D138" s="53" t="s">
        <v>701</v>
      </c>
      <c r="E138" s="53" t="s">
        <v>2000</v>
      </c>
      <c r="F138" s="53" t="s">
        <v>701</v>
      </c>
      <c r="G138" s="53" t="s">
        <v>1862</v>
      </c>
      <c r="H138" s="54">
        <v>1.593575547E8</v>
      </c>
      <c r="I138" s="26" t="s">
        <v>1855</v>
      </c>
      <c r="J138" s="26" t="s">
        <v>1856</v>
      </c>
      <c r="K138" s="26"/>
      <c r="L138" s="26" t="s">
        <v>1863</v>
      </c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52" t="s">
        <v>575</v>
      </c>
      <c r="C139" s="53" t="s">
        <v>1852</v>
      </c>
      <c r="D139" s="53" t="s">
        <v>701</v>
      </c>
      <c r="E139" s="53" t="s">
        <v>2001</v>
      </c>
      <c r="F139" s="53" t="s">
        <v>701</v>
      </c>
      <c r="G139" s="53" t="s">
        <v>1886</v>
      </c>
      <c r="H139" s="54">
        <v>9.5259387545E8</v>
      </c>
      <c r="I139" s="26" t="s">
        <v>1855</v>
      </c>
      <c r="J139" s="26" t="s">
        <v>1856</v>
      </c>
      <c r="K139" s="26"/>
      <c r="L139" s="26" t="s">
        <v>1887</v>
      </c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52" t="s">
        <v>575</v>
      </c>
      <c r="C140" s="53" t="s">
        <v>1852</v>
      </c>
      <c r="D140" s="53" t="s">
        <v>868</v>
      </c>
      <c r="E140" s="53" t="s">
        <v>2002</v>
      </c>
      <c r="F140" s="53" t="s">
        <v>868</v>
      </c>
      <c r="G140" s="53" t="s">
        <v>1854</v>
      </c>
      <c r="H140" s="54">
        <v>9.121334859E7</v>
      </c>
      <c r="I140" s="26" t="s">
        <v>1855</v>
      </c>
      <c r="J140" s="26" t="s">
        <v>1856</v>
      </c>
      <c r="K140" s="26"/>
      <c r="L140" s="26" t="s">
        <v>1857</v>
      </c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52" t="s">
        <v>575</v>
      </c>
      <c r="C141" s="53" t="s">
        <v>1852</v>
      </c>
      <c r="D141" s="53" t="s">
        <v>868</v>
      </c>
      <c r="E141" s="53" t="s">
        <v>2003</v>
      </c>
      <c r="F141" s="53" t="s">
        <v>868</v>
      </c>
      <c r="G141" s="53" t="s">
        <v>1859</v>
      </c>
      <c r="H141" s="54">
        <v>3.519697288E7</v>
      </c>
      <c r="I141" s="26" t="s">
        <v>1855</v>
      </c>
      <c r="J141" s="26" t="s">
        <v>1856</v>
      </c>
      <c r="K141" s="26"/>
      <c r="L141" s="26" t="s">
        <v>1860</v>
      </c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52" t="s">
        <v>575</v>
      </c>
      <c r="C142" s="53" t="s">
        <v>1852</v>
      </c>
      <c r="D142" s="53" t="s">
        <v>870</v>
      </c>
      <c r="E142" s="53" t="s">
        <v>2004</v>
      </c>
      <c r="F142" s="53" t="s">
        <v>870</v>
      </c>
      <c r="G142" s="53" t="s">
        <v>1854</v>
      </c>
      <c r="H142" s="54">
        <v>1.2226854542E8</v>
      </c>
      <c r="I142" s="26" t="s">
        <v>1855</v>
      </c>
      <c r="J142" s="26" t="s">
        <v>1856</v>
      </c>
      <c r="K142" s="26"/>
      <c r="L142" s="26" t="s">
        <v>1857</v>
      </c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52" t="s">
        <v>575</v>
      </c>
      <c r="C143" s="53" t="s">
        <v>1852</v>
      </c>
      <c r="D143" s="53" t="s">
        <v>870</v>
      </c>
      <c r="E143" s="53" t="s">
        <v>2005</v>
      </c>
      <c r="F143" s="53" t="s">
        <v>870</v>
      </c>
      <c r="G143" s="53" t="s">
        <v>1859</v>
      </c>
      <c r="H143" s="54">
        <v>3.470514606E7</v>
      </c>
      <c r="I143" s="26" t="s">
        <v>1855</v>
      </c>
      <c r="J143" s="26" t="s">
        <v>1856</v>
      </c>
      <c r="K143" s="26"/>
      <c r="L143" s="26" t="s">
        <v>1860</v>
      </c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52" t="s">
        <v>575</v>
      </c>
      <c r="C144" s="53" t="s">
        <v>1852</v>
      </c>
      <c r="D144" s="53" t="s">
        <v>1265</v>
      </c>
      <c r="E144" s="53" t="s">
        <v>2006</v>
      </c>
      <c r="F144" s="53" t="s">
        <v>1265</v>
      </c>
      <c r="G144" s="53" t="s">
        <v>1854</v>
      </c>
      <c r="H144" s="54">
        <v>1.68759773E7</v>
      </c>
      <c r="I144" s="26" t="s">
        <v>1855</v>
      </c>
      <c r="J144" s="26" t="s">
        <v>1856</v>
      </c>
      <c r="K144" s="26"/>
      <c r="L144" s="26" t="s">
        <v>1857</v>
      </c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52" t="s">
        <v>575</v>
      </c>
      <c r="C145" s="53" t="s">
        <v>1852</v>
      </c>
      <c r="D145" s="53" t="s">
        <v>1040</v>
      </c>
      <c r="E145" s="53" t="s">
        <v>2007</v>
      </c>
      <c r="F145" s="53" t="s">
        <v>1040</v>
      </c>
      <c r="G145" s="53" t="s">
        <v>1854</v>
      </c>
      <c r="H145" s="54">
        <v>3.2305154973E8</v>
      </c>
      <c r="I145" s="26" t="s">
        <v>1855</v>
      </c>
      <c r="J145" s="26" t="s">
        <v>1856</v>
      </c>
      <c r="K145" s="26"/>
      <c r="L145" s="26" t="s">
        <v>1857</v>
      </c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52" t="s">
        <v>575</v>
      </c>
      <c r="C146" s="53" t="s">
        <v>1852</v>
      </c>
      <c r="D146" s="53" t="s">
        <v>1040</v>
      </c>
      <c r="E146" s="53" t="s">
        <v>2008</v>
      </c>
      <c r="F146" s="53" t="s">
        <v>1040</v>
      </c>
      <c r="G146" s="53" t="s">
        <v>1859</v>
      </c>
      <c r="H146" s="54">
        <v>9.21174136E7</v>
      </c>
      <c r="I146" s="26" t="s">
        <v>1855</v>
      </c>
      <c r="J146" s="26" t="s">
        <v>1856</v>
      </c>
      <c r="K146" s="26"/>
      <c r="L146" s="26" t="s">
        <v>1860</v>
      </c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52" t="s">
        <v>575</v>
      </c>
      <c r="C147" s="53" t="s">
        <v>1852</v>
      </c>
      <c r="D147" s="53" t="s">
        <v>1040</v>
      </c>
      <c r="E147" s="53" t="s">
        <v>2009</v>
      </c>
      <c r="F147" s="53" t="s">
        <v>1040</v>
      </c>
      <c r="G147" s="53" t="s">
        <v>1862</v>
      </c>
      <c r="H147" s="54">
        <v>3.40803646E7</v>
      </c>
      <c r="I147" s="26" t="s">
        <v>1855</v>
      </c>
      <c r="J147" s="26" t="s">
        <v>1856</v>
      </c>
      <c r="K147" s="26"/>
      <c r="L147" s="26" t="s">
        <v>1863</v>
      </c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52" t="s">
        <v>575</v>
      </c>
      <c r="C148" s="53" t="s">
        <v>1852</v>
      </c>
      <c r="D148" s="53" t="s">
        <v>1040</v>
      </c>
      <c r="E148" s="53" t="s">
        <v>2010</v>
      </c>
      <c r="F148" s="53" t="s">
        <v>1040</v>
      </c>
      <c r="G148" s="53" t="s">
        <v>1886</v>
      </c>
      <c r="H148" s="54">
        <v>8.573732835E7</v>
      </c>
      <c r="I148" s="26" t="s">
        <v>1855</v>
      </c>
      <c r="J148" s="26" t="s">
        <v>1856</v>
      </c>
      <c r="K148" s="26"/>
      <c r="L148" s="26" t="s">
        <v>1887</v>
      </c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52" t="s">
        <v>575</v>
      </c>
      <c r="C149" s="53" t="s">
        <v>1852</v>
      </c>
      <c r="D149" s="53" t="s">
        <v>732</v>
      </c>
      <c r="E149" s="53" t="s">
        <v>2011</v>
      </c>
      <c r="F149" s="53" t="s">
        <v>732</v>
      </c>
      <c r="G149" s="53" t="s">
        <v>1854</v>
      </c>
      <c r="H149" s="54">
        <v>1.761338761E7</v>
      </c>
      <c r="I149" s="26" t="s">
        <v>1855</v>
      </c>
      <c r="J149" s="26" t="s">
        <v>1856</v>
      </c>
      <c r="K149" s="26"/>
      <c r="L149" s="26" t="s">
        <v>1857</v>
      </c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52" t="s">
        <v>575</v>
      </c>
      <c r="C150" s="53" t="s">
        <v>1852</v>
      </c>
      <c r="D150" s="53" t="s">
        <v>732</v>
      </c>
      <c r="E150" s="53" t="s">
        <v>2012</v>
      </c>
      <c r="F150" s="53" t="s">
        <v>732</v>
      </c>
      <c r="G150" s="53" t="s">
        <v>1859</v>
      </c>
      <c r="H150" s="54">
        <v>8191544.4</v>
      </c>
      <c r="I150" s="26" t="s">
        <v>1855</v>
      </c>
      <c r="J150" s="26" t="s">
        <v>1856</v>
      </c>
      <c r="K150" s="26"/>
      <c r="L150" s="26" t="s">
        <v>1860</v>
      </c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52" t="s">
        <v>575</v>
      </c>
      <c r="C151" s="53" t="s">
        <v>1852</v>
      </c>
      <c r="D151" s="53" t="s">
        <v>983</v>
      </c>
      <c r="E151" s="53" t="s">
        <v>2013</v>
      </c>
      <c r="F151" s="53" t="s">
        <v>983</v>
      </c>
      <c r="G151" s="53" t="s">
        <v>1854</v>
      </c>
      <c r="H151" s="54">
        <v>1.1799280948E8</v>
      </c>
      <c r="I151" s="26" t="s">
        <v>1855</v>
      </c>
      <c r="J151" s="26" t="s">
        <v>1856</v>
      </c>
      <c r="K151" s="26"/>
      <c r="L151" s="26" t="s">
        <v>1857</v>
      </c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52" t="s">
        <v>575</v>
      </c>
      <c r="C152" s="53" t="s">
        <v>1852</v>
      </c>
      <c r="D152" s="53" t="s">
        <v>983</v>
      </c>
      <c r="E152" s="53" t="s">
        <v>2014</v>
      </c>
      <c r="F152" s="53" t="s">
        <v>983</v>
      </c>
      <c r="G152" s="53" t="s">
        <v>1859</v>
      </c>
      <c r="H152" s="54">
        <v>2.006739104E7</v>
      </c>
      <c r="I152" s="26" t="s">
        <v>1855</v>
      </c>
      <c r="J152" s="26" t="s">
        <v>1856</v>
      </c>
      <c r="K152" s="26"/>
      <c r="L152" s="26" t="s">
        <v>1860</v>
      </c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52" t="s">
        <v>575</v>
      </c>
      <c r="C153" s="53" t="s">
        <v>1852</v>
      </c>
      <c r="D153" s="53" t="s">
        <v>734</v>
      </c>
      <c r="E153" s="53" t="s">
        <v>2015</v>
      </c>
      <c r="F153" s="53" t="s">
        <v>734</v>
      </c>
      <c r="G153" s="53" t="s">
        <v>1854</v>
      </c>
      <c r="H153" s="54">
        <v>3.840698182E7</v>
      </c>
      <c r="I153" s="26" t="s">
        <v>1855</v>
      </c>
      <c r="J153" s="26" t="s">
        <v>1856</v>
      </c>
      <c r="K153" s="26"/>
      <c r="L153" s="26" t="s">
        <v>1857</v>
      </c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52" t="s">
        <v>575</v>
      </c>
      <c r="C154" s="53" t="s">
        <v>1852</v>
      </c>
      <c r="D154" s="53" t="s">
        <v>734</v>
      </c>
      <c r="E154" s="53" t="s">
        <v>2016</v>
      </c>
      <c r="F154" s="53" t="s">
        <v>734</v>
      </c>
      <c r="G154" s="53" t="s">
        <v>1859</v>
      </c>
      <c r="H154" s="54">
        <v>4487147.2</v>
      </c>
      <c r="I154" s="26" t="s">
        <v>1855</v>
      </c>
      <c r="J154" s="26" t="s">
        <v>1856</v>
      </c>
      <c r="K154" s="26"/>
      <c r="L154" s="26" t="s">
        <v>1860</v>
      </c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52" t="s">
        <v>575</v>
      </c>
      <c r="C155" s="53" t="s">
        <v>1852</v>
      </c>
      <c r="D155" s="53" t="s">
        <v>874</v>
      </c>
      <c r="E155" s="53" t="s">
        <v>2017</v>
      </c>
      <c r="F155" s="53" t="s">
        <v>874</v>
      </c>
      <c r="G155" s="53" t="s">
        <v>1854</v>
      </c>
      <c r="H155" s="54">
        <v>5.842936645E7</v>
      </c>
      <c r="I155" s="26" t="s">
        <v>1855</v>
      </c>
      <c r="J155" s="26" t="s">
        <v>1856</v>
      </c>
      <c r="K155" s="26"/>
      <c r="L155" s="26" t="s">
        <v>1857</v>
      </c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52" t="s">
        <v>575</v>
      </c>
      <c r="C156" s="53" t="s">
        <v>1852</v>
      </c>
      <c r="D156" s="53" t="s">
        <v>874</v>
      </c>
      <c r="E156" s="53" t="s">
        <v>2018</v>
      </c>
      <c r="F156" s="53" t="s">
        <v>874</v>
      </c>
      <c r="G156" s="53" t="s">
        <v>1859</v>
      </c>
      <c r="H156" s="54">
        <v>1.906371768E7</v>
      </c>
      <c r="I156" s="26" t="s">
        <v>1855</v>
      </c>
      <c r="J156" s="26" t="s">
        <v>1856</v>
      </c>
      <c r="K156" s="26"/>
      <c r="L156" s="26" t="s">
        <v>1860</v>
      </c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52" t="s">
        <v>575</v>
      </c>
      <c r="C157" s="53" t="s">
        <v>1852</v>
      </c>
      <c r="D157" s="53" t="s">
        <v>880</v>
      </c>
      <c r="E157" s="53" t="s">
        <v>2019</v>
      </c>
      <c r="F157" s="53" t="s">
        <v>880</v>
      </c>
      <c r="G157" s="53" t="s">
        <v>1854</v>
      </c>
      <c r="H157" s="54">
        <v>2.1661562197E8</v>
      </c>
      <c r="I157" s="26" t="s">
        <v>1855</v>
      </c>
      <c r="J157" s="26" t="s">
        <v>1856</v>
      </c>
      <c r="K157" s="26"/>
      <c r="L157" s="26" t="s">
        <v>1857</v>
      </c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52" t="s">
        <v>575</v>
      </c>
      <c r="C158" s="53" t="s">
        <v>1852</v>
      </c>
      <c r="D158" s="53" t="s">
        <v>880</v>
      </c>
      <c r="E158" s="53" t="s">
        <v>2020</v>
      </c>
      <c r="F158" s="53" t="s">
        <v>880</v>
      </c>
      <c r="G158" s="53" t="s">
        <v>1859</v>
      </c>
      <c r="H158" s="54">
        <v>5.33251173E7</v>
      </c>
      <c r="I158" s="26" t="s">
        <v>1855</v>
      </c>
      <c r="J158" s="26" t="s">
        <v>1856</v>
      </c>
      <c r="K158" s="26"/>
      <c r="L158" s="26" t="s">
        <v>1860</v>
      </c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52" t="s">
        <v>575</v>
      </c>
      <c r="C159" s="53" t="s">
        <v>1852</v>
      </c>
      <c r="D159" s="53" t="s">
        <v>880</v>
      </c>
      <c r="E159" s="53" t="s">
        <v>2021</v>
      </c>
      <c r="F159" s="53" t="s">
        <v>880</v>
      </c>
      <c r="G159" s="53" t="s">
        <v>1862</v>
      </c>
      <c r="H159" s="54">
        <v>4.365018885E7</v>
      </c>
      <c r="I159" s="26" t="s">
        <v>1855</v>
      </c>
      <c r="J159" s="26" t="s">
        <v>1856</v>
      </c>
      <c r="K159" s="26"/>
      <c r="L159" s="26" t="s">
        <v>1863</v>
      </c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52" t="s">
        <v>575</v>
      </c>
      <c r="C160" s="53" t="s">
        <v>1852</v>
      </c>
      <c r="D160" s="53" t="s">
        <v>880</v>
      </c>
      <c r="E160" s="53" t="s">
        <v>2022</v>
      </c>
      <c r="F160" s="53" t="s">
        <v>880</v>
      </c>
      <c r="G160" s="53" t="s">
        <v>1886</v>
      </c>
      <c r="H160" s="54">
        <v>3.091843846E7</v>
      </c>
      <c r="I160" s="26" t="s">
        <v>1855</v>
      </c>
      <c r="J160" s="26" t="s">
        <v>1856</v>
      </c>
      <c r="K160" s="26"/>
      <c r="L160" s="26" t="s">
        <v>1887</v>
      </c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52" t="s">
        <v>575</v>
      </c>
      <c r="C161" s="53" t="s">
        <v>1852</v>
      </c>
      <c r="D161" s="53" t="s">
        <v>884</v>
      </c>
      <c r="E161" s="53" t="s">
        <v>2023</v>
      </c>
      <c r="F161" s="53" t="s">
        <v>884</v>
      </c>
      <c r="G161" s="53" t="s">
        <v>1854</v>
      </c>
      <c r="H161" s="54">
        <v>4401224.1</v>
      </c>
      <c r="I161" s="26" t="s">
        <v>1855</v>
      </c>
      <c r="J161" s="26" t="s">
        <v>1856</v>
      </c>
      <c r="K161" s="26"/>
      <c r="L161" s="26" t="s">
        <v>1857</v>
      </c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52" t="s">
        <v>575</v>
      </c>
      <c r="C162" s="53" t="s">
        <v>1852</v>
      </c>
      <c r="D162" s="53" t="s">
        <v>886</v>
      </c>
      <c r="E162" s="53" t="s">
        <v>2024</v>
      </c>
      <c r="F162" s="53" t="s">
        <v>886</v>
      </c>
      <c r="G162" s="53" t="s">
        <v>1854</v>
      </c>
      <c r="H162" s="54">
        <v>3.9279131619E8</v>
      </c>
      <c r="I162" s="26" t="s">
        <v>1855</v>
      </c>
      <c r="J162" s="26" t="s">
        <v>1856</v>
      </c>
      <c r="K162" s="26"/>
      <c r="L162" s="26" t="s">
        <v>1857</v>
      </c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52" t="s">
        <v>575</v>
      </c>
      <c r="C163" s="53" t="s">
        <v>1852</v>
      </c>
      <c r="D163" s="53" t="s">
        <v>886</v>
      </c>
      <c r="E163" s="53" t="s">
        <v>2025</v>
      </c>
      <c r="F163" s="53" t="s">
        <v>886</v>
      </c>
      <c r="G163" s="53" t="s">
        <v>1859</v>
      </c>
      <c r="H163" s="54">
        <v>1.2054193248E8</v>
      </c>
      <c r="I163" s="26" t="s">
        <v>1855</v>
      </c>
      <c r="J163" s="26" t="s">
        <v>1856</v>
      </c>
      <c r="K163" s="26"/>
      <c r="L163" s="26" t="s">
        <v>1860</v>
      </c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52" t="s">
        <v>575</v>
      </c>
      <c r="C164" s="53" t="s">
        <v>1852</v>
      </c>
      <c r="D164" s="53" t="s">
        <v>886</v>
      </c>
      <c r="E164" s="53" t="s">
        <v>2026</v>
      </c>
      <c r="F164" s="53" t="s">
        <v>886</v>
      </c>
      <c r="G164" s="53" t="s">
        <v>1862</v>
      </c>
      <c r="H164" s="54">
        <v>4.26534147E7</v>
      </c>
      <c r="I164" s="26" t="s">
        <v>1855</v>
      </c>
      <c r="J164" s="26" t="s">
        <v>1856</v>
      </c>
      <c r="K164" s="26"/>
      <c r="L164" s="26" t="s">
        <v>1863</v>
      </c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52" t="s">
        <v>575</v>
      </c>
      <c r="C165" s="53" t="s">
        <v>1852</v>
      </c>
      <c r="D165" s="53" t="s">
        <v>888</v>
      </c>
      <c r="E165" s="53" t="s">
        <v>2027</v>
      </c>
      <c r="F165" s="53" t="s">
        <v>888</v>
      </c>
      <c r="G165" s="53" t="s">
        <v>1854</v>
      </c>
      <c r="H165" s="54">
        <v>2.06061856E7</v>
      </c>
      <c r="I165" s="26" t="s">
        <v>1855</v>
      </c>
      <c r="J165" s="26" t="s">
        <v>1856</v>
      </c>
      <c r="K165" s="26"/>
      <c r="L165" s="26" t="s">
        <v>1857</v>
      </c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52" t="s">
        <v>575</v>
      </c>
      <c r="C166" s="53" t="s">
        <v>1852</v>
      </c>
      <c r="D166" s="53" t="s">
        <v>888</v>
      </c>
      <c r="E166" s="53" t="s">
        <v>2028</v>
      </c>
      <c r="F166" s="53" t="s">
        <v>888</v>
      </c>
      <c r="G166" s="53" t="s">
        <v>1859</v>
      </c>
      <c r="H166" s="54">
        <v>9575042.4</v>
      </c>
      <c r="I166" s="26" t="s">
        <v>1855</v>
      </c>
      <c r="J166" s="26" t="s">
        <v>1856</v>
      </c>
      <c r="K166" s="26"/>
      <c r="L166" s="26" t="s">
        <v>1860</v>
      </c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52" t="s">
        <v>575</v>
      </c>
      <c r="C167" s="53" t="s">
        <v>1852</v>
      </c>
      <c r="D167" s="53" t="s">
        <v>838</v>
      </c>
      <c r="E167" s="53" t="s">
        <v>2029</v>
      </c>
      <c r="F167" s="53" t="s">
        <v>838</v>
      </c>
      <c r="G167" s="53" t="s">
        <v>1854</v>
      </c>
      <c r="H167" s="54">
        <v>4605280.68</v>
      </c>
      <c r="I167" s="26" t="s">
        <v>1855</v>
      </c>
      <c r="J167" s="26" t="s">
        <v>1856</v>
      </c>
      <c r="K167" s="26"/>
      <c r="L167" s="26" t="s">
        <v>1857</v>
      </c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52" t="s">
        <v>575</v>
      </c>
      <c r="C168" s="53" t="s">
        <v>1852</v>
      </c>
      <c r="D168" s="53" t="s">
        <v>894</v>
      </c>
      <c r="E168" s="53" t="s">
        <v>2030</v>
      </c>
      <c r="F168" s="53" t="s">
        <v>894</v>
      </c>
      <c r="G168" s="53" t="s">
        <v>1854</v>
      </c>
      <c r="H168" s="54">
        <v>7.528298505E7</v>
      </c>
      <c r="I168" s="26" t="s">
        <v>1855</v>
      </c>
      <c r="J168" s="26" t="s">
        <v>1856</v>
      </c>
      <c r="K168" s="26"/>
      <c r="L168" s="26" t="s">
        <v>1857</v>
      </c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52" t="s">
        <v>575</v>
      </c>
      <c r="C169" s="53" t="s">
        <v>1852</v>
      </c>
      <c r="D169" s="53" t="s">
        <v>894</v>
      </c>
      <c r="E169" s="53" t="s">
        <v>2031</v>
      </c>
      <c r="F169" s="53" t="s">
        <v>894</v>
      </c>
      <c r="G169" s="53" t="s">
        <v>1859</v>
      </c>
      <c r="H169" s="54">
        <v>3.773276776E7</v>
      </c>
      <c r="I169" s="26" t="s">
        <v>1855</v>
      </c>
      <c r="J169" s="26" t="s">
        <v>1856</v>
      </c>
      <c r="K169" s="26"/>
      <c r="L169" s="26" t="s">
        <v>1860</v>
      </c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52" t="s">
        <v>575</v>
      </c>
      <c r="C170" s="53" t="s">
        <v>1852</v>
      </c>
      <c r="D170" s="53" t="s">
        <v>894</v>
      </c>
      <c r="E170" s="53" t="s">
        <v>2032</v>
      </c>
      <c r="F170" s="53" t="s">
        <v>894</v>
      </c>
      <c r="G170" s="53" t="s">
        <v>1862</v>
      </c>
      <c r="H170" s="54">
        <v>2.272331061E7</v>
      </c>
      <c r="I170" s="26" t="s">
        <v>1855</v>
      </c>
      <c r="J170" s="26" t="s">
        <v>1856</v>
      </c>
      <c r="K170" s="26"/>
      <c r="L170" s="26" t="s">
        <v>1863</v>
      </c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52" t="s">
        <v>575</v>
      </c>
      <c r="C171" s="53" t="s">
        <v>1852</v>
      </c>
      <c r="D171" s="53" t="s">
        <v>898</v>
      </c>
      <c r="E171" s="53" t="s">
        <v>2033</v>
      </c>
      <c r="F171" s="53" t="s">
        <v>898</v>
      </c>
      <c r="G171" s="53" t="s">
        <v>1854</v>
      </c>
      <c r="H171" s="54">
        <v>2.90558441E7</v>
      </c>
      <c r="I171" s="26" t="s">
        <v>1855</v>
      </c>
      <c r="J171" s="26" t="s">
        <v>1856</v>
      </c>
      <c r="K171" s="26"/>
      <c r="L171" s="26" t="s">
        <v>1857</v>
      </c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52" t="s">
        <v>575</v>
      </c>
      <c r="C172" s="53" t="s">
        <v>1852</v>
      </c>
      <c r="D172" s="53" t="s">
        <v>898</v>
      </c>
      <c r="E172" s="53" t="s">
        <v>2034</v>
      </c>
      <c r="F172" s="53" t="s">
        <v>898</v>
      </c>
      <c r="G172" s="53" t="s">
        <v>1859</v>
      </c>
      <c r="H172" s="54">
        <v>7257415.6</v>
      </c>
      <c r="I172" s="26" t="s">
        <v>1855</v>
      </c>
      <c r="J172" s="26" t="s">
        <v>1856</v>
      </c>
      <c r="K172" s="26"/>
      <c r="L172" s="26" t="s">
        <v>1860</v>
      </c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52" t="s">
        <v>575</v>
      </c>
      <c r="C173" s="53" t="s">
        <v>1852</v>
      </c>
      <c r="D173" s="53" t="s">
        <v>900</v>
      </c>
      <c r="E173" s="53" t="s">
        <v>2035</v>
      </c>
      <c r="F173" s="53" t="s">
        <v>900</v>
      </c>
      <c r="G173" s="53" t="s">
        <v>1854</v>
      </c>
      <c r="H173" s="54">
        <v>4.730798345E7</v>
      </c>
      <c r="I173" s="26" t="s">
        <v>1855</v>
      </c>
      <c r="J173" s="26" t="s">
        <v>1856</v>
      </c>
      <c r="K173" s="26"/>
      <c r="L173" s="26" t="s">
        <v>1857</v>
      </c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52" t="s">
        <v>575</v>
      </c>
      <c r="C174" s="53" t="s">
        <v>1852</v>
      </c>
      <c r="D174" s="53" t="s">
        <v>900</v>
      </c>
      <c r="E174" s="53" t="s">
        <v>2036</v>
      </c>
      <c r="F174" s="53" t="s">
        <v>900</v>
      </c>
      <c r="G174" s="53" t="s">
        <v>1859</v>
      </c>
      <c r="H174" s="54">
        <v>1.4380178E7</v>
      </c>
      <c r="I174" s="26" t="s">
        <v>1855</v>
      </c>
      <c r="J174" s="26" t="s">
        <v>1856</v>
      </c>
      <c r="K174" s="26"/>
      <c r="L174" s="26" t="s">
        <v>1860</v>
      </c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52" t="s">
        <v>575</v>
      </c>
      <c r="C175" s="53" t="s">
        <v>1852</v>
      </c>
      <c r="D175" s="53" t="s">
        <v>902</v>
      </c>
      <c r="E175" s="53" t="s">
        <v>2037</v>
      </c>
      <c r="F175" s="53" t="s">
        <v>902</v>
      </c>
      <c r="G175" s="53" t="s">
        <v>1854</v>
      </c>
      <c r="H175" s="54">
        <v>6834704.24</v>
      </c>
      <c r="I175" s="26" t="s">
        <v>1855</v>
      </c>
      <c r="J175" s="26" t="s">
        <v>1856</v>
      </c>
      <c r="K175" s="26"/>
      <c r="L175" s="26" t="s">
        <v>1857</v>
      </c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52" t="s">
        <v>575</v>
      </c>
      <c r="C176" s="53" t="s">
        <v>1852</v>
      </c>
      <c r="D176" s="53" t="s">
        <v>906</v>
      </c>
      <c r="E176" s="53" t="s">
        <v>2038</v>
      </c>
      <c r="F176" s="53" t="s">
        <v>906</v>
      </c>
      <c r="G176" s="53" t="s">
        <v>1854</v>
      </c>
      <c r="H176" s="54">
        <v>3.1581812247E8</v>
      </c>
      <c r="I176" s="26" t="s">
        <v>1855</v>
      </c>
      <c r="J176" s="26" t="s">
        <v>1856</v>
      </c>
      <c r="K176" s="26"/>
      <c r="L176" s="26" t="s">
        <v>1857</v>
      </c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52" t="s">
        <v>575</v>
      </c>
      <c r="C177" s="53" t="s">
        <v>1852</v>
      </c>
      <c r="D177" s="53" t="s">
        <v>906</v>
      </c>
      <c r="E177" s="53" t="s">
        <v>2039</v>
      </c>
      <c r="F177" s="53" t="s">
        <v>906</v>
      </c>
      <c r="G177" s="53" t="s">
        <v>1859</v>
      </c>
      <c r="H177" s="54">
        <v>7.23585811E7</v>
      </c>
      <c r="I177" s="26" t="s">
        <v>1855</v>
      </c>
      <c r="J177" s="26" t="s">
        <v>1856</v>
      </c>
      <c r="K177" s="26"/>
      <c r="L177" s="26" t="s">
        <v>1860</v>
      </c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52" t="s">
        <v>575</v>
      </c>
      <c r="C178" s="53" t="s">
        <v>1852</v>
      </c>
      <c r="D178" s="53" t="s">
        <v>910</v>
      </c>
      <c r="E178" s="53" t="s">
        <v>2040</v>
      </c>
      <c r="F178" s="53" t="s">
        <v>910</v>
      </c>
      <c r="G178" s="53" t="s">
        <v>1854</v>
      </c>
      <c r="H178" s="54">
        <v>3.522761606E7</v>
      </c>
      <c r="I178" s="26" t="s">
        <v>1855</v>
      </c>
      <c r="J178" s="26" t="s">
        <v>1856</v>
      </c>
      <c r="K178" s="26"/>
      <c r="L178" s="26" t="s">
        <v>1857</v>
      </c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52" t="s">
        <v>575</v>
      </c>
      <c r="C179" s="53" t="s">
        <v>1852</v>
      </c>
      <c r="D179" s="53" t="s">
        <v>910</v>
      </c>
      <c r="E179" s="53" t="s">
        <v>2041</v>
      </c>
      <c r="F179" s="53" t="s">
        <v>910</v>
      </c>
      <c r="G179" s="53" t="s">
        <v>1859</v>
      </c>
      <c r="H179" s="54">
        <v>2864860.96</v>
      </c>
      <c r="I179" s="26" t="s">
        <v>1855</v>
      </c>
      <c r="J179" s="26" t="s">
        <v>1856</v>
      </c>
      <c r="K179" s="26"/>
      <c r="L179" s="26" t="s">
        <v>1860</v>
      </c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52" t="s">
        <v>575</v>
      </c>
      <c r="C180" s="53" t="s">
        <v>1852</v>
      </c>
      <c r="D180" s="53" t="s">
        <v>717</v>
      </c>
      <c r="E180" s="53" t="s">
        <v>2042</v>
      </c>
      <c r="F180" s="53" t="s">
        <v>717</v>
      </c>
      <c r="G180" s="53" t="s">
        <v>1854</v>
      </c>
      <c r="H180" s="54">
        <v>4.6819203691E8</v>
      </c>
      <c r="I180" s="26" t="s">
        <v>1855</v>
      </c>
      <c r="J180" s="26" t="s">
        <v>1856</v>
      </c>
      <c r="K180" s="26"/>
      <c r="L180" s="26" t="s">
        <v>1857</v>
      </c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52" t="s">
        <v>575</v>
      </c>
      <c r="C181" s="53" t="s">
        <v>1852</v>
      </c>
      <c r="D181" s="53" t="s">
        <v>717</v>
      </c>
      <c r="E181" s="53" t="s">
        <v>2043</v>
      </c>
      <c r="F181" s="53" t="s">
        <v>717</v>
      </c>
      <c r="G181" s="53" t="s">
        <v>1859</v>
      </c>
      <c r="H181" s="54">
        <v>1.9547264048E8</v>
      </c>
      <c r="I181" s="26" t="s">
        <v>1855</v>
      </c>
      <c r="J181" s="26" t="s">
        <v>1856</v>
      </c>
      <c r="K181" s="26"/>
      <c r="L181" s="26" t="s">
        <v>1860</v>
      </c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52" t="s">
        <v>575</v>
      </c>
      <c r="C182" s="53" t="s">
        <v>1852</v>
      </c>
      <c r="D182" s="53" t="s">
        <v>717</v>
      </c>
      <c r="E182" s="53" t="s">
        <v>2044</v>
      </c>
      <c r="F182" s="53" t="s">
        <v>717</v>
      </c>
      <c r="G182" s="53" t="s">
        <v>1862</v>
      </c>
      <c r="H182" s="54">
        <v>6.285691842E7</v>
      </c>
      <c r="I182" s="26" t="s">
        <v>1855</v>
      </c>
      <c r="J182" s="26" t="s">
        <v>1856</v>
      </c>
      <c r="K182" s="26"/>
      <c r="L182" s="26" t="s">
        <v>1863</v>
      </c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52" t="s">
        <v>575</v>
      </c>
      <c r="C183" s="53" t="s">
        <v>1852</v>
      </c>
      <c r="D183" s="53" t="s">
        <v>915</v>
      </c>
      <c r="E183" s="53" t="s">
        <v>2045</v>
      </c>
      <c r="F183" s="53" t="s">
        <v>915</v>
      </c>
      <c r="G183" s="53" t="s">
        <v>1854</v>
      </c>
      <c r="H183" s="54">
        <v>1.5596863671E8</v>
      </c>
      <c r="I183" s="26" t="s">
        <v>1855</v>
      </c>
      <c r="J183" s="26" t="s">
        <v>1856</v>
      </c>
      <c r="K183" s="26"/>
      <c r="L183" s="26" t="s">
        <v>1857</v>
      </c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52" t="s">
        <v>575</v>
      </c>
      <c r="C184" s="53" t="s">
        <v>1852</v>
      </c>
      <c r="D184" s="53" t="s">
        <v>915</v>
      </c>
      <c r="E184" s="53" t="s">
        <v>2046</v>
      </c>
      <c r="F184" s="53" t="s">
        <v>915</v>
      </c>
      <c r="G184" s="53" t="s">
        <v>1859</v>
      </c>
      <c r="H184" s="54">
        <v>8.062364206E7</v>
      </c>
      <c r="I184" s="26" t="s">
        <v>1855</v>
      </c>
      <c r="J184" s="26" t="s">
        <v>1856</v>
      </c>
      <c r="K184" s="26"/>
      <c r="L184" s="26" t="s">
        <v>1860</v>
      </c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52" t="s">
        <v>575</v>
      </c>
      <c r="C185" s="53" t="s">
        <v>1852</v>
      </c>
      <c r="D185" s="53" t="s">
        <v>919</v>
      </c>
      <c r="E185" s="53" t="s">
        <v>2047</v>
      </c>
      <c r="F185" s="53" t="s">
        <v>919</v>
      </c>
      <c r="G185" s="53" t="s">
        <v>1854</v>
      </c>
      <c r="H185" s="54">
        <v>3.144245377E7</v>
      </c>
      <c r="I185" s="26" t="s">
        <v>1855</v>
      </c>
      <c r="J185" s="26" t="s">
        <v>1856</v>
      </c>
      <c r="K185" s="26"/>
      <c r="L185" s="26" t="s">
        <v>1857</v>
      </c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52" t="s">
        <v>575</v>
      </c>
      <c r="C186" s="53" t="s">
        <v>1852</v>
      </c>
      <c r="D186" s="53" t="s">
        <v>919</v>
      </c>
      <c r="E186" s="53" t="s">
        <v>2048</v>
      </c>
      <c r="F186" s="53" t="s">
        <v>919</v>
      </c>
      <c r="G186" s="53" t="s">
        <v>1859</v>
      </c>
      <c r="H186" s="54">
        <v>3177338.8</v>
      </c>
      <c r="I186" s="26" t="s">
        <v>1855</v>
      </c>
      <c r="J186" s="26" t="s">
        <v>1856</v>
      </c>
      <c r="K186" s="26"/>
      <c r="L186" s="26" t="s">
        <v>1860</v>
      </c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52" t="s">
        <v>575</v>
      </c>
      <c r="C187" s="53" t="s">
        <v>1852</v>
      </c>
      <c r="D187" s="53" t="s">
        <v>921</v>
      </c>
      <c r="E187" s="53" t="s">
        <v>2049</v>
      </c>
      <c r="F187" s="53" t="s">
        <v>921</v>
      </c>
      <c r="G187" s="53" t="s">
        <v>1854</v>
      </c>
      <c r="H187" s="54">
        <v>7.717786895E7</v>
      </c>
      <c r="I187" s="26" t="s">
        <v>1855</v>
      </c>
      <c r="J187" s="26" t="s">
        <v>1856</v>
      </c>
      <c r="K187" s="26"/>
      <c r="L187" s="26" t="s">
        <v>1857</v>
      </c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52" t="s">
        <v>575</v>
      </c>
      <c r="C188" s="53" t="s">
        <v>1852</v>
      </c>
      <c r="D188" s="53" t="s">
        <v>921</v>
      </c>
      <c r="E188" s="53" t="s">
        <v>2050</v>
      </c>
      <c r="F188" s="53" t="s">
        <v>921</v>
      </c>
      <c r="G188" s="53" t="s">
        <v>1859</v>
      </c>
      <c r="H188" s="54">
        <v>1.071065408E7</v>
      </c>
      <c r="I188" s="26" t="s">
        <v>1855</v>
      </c>
      <c r="J188" s="26" t="s">
        <v>1856</v>
      </c>
      <c r="K188" s="26"/>
      <c r="L188" s="26" t="s">
        <v>1860</v>
      </c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52" t="s">
        <v>575</v>
      </c>
      <c r="C189" s="53" t="s">
        <v>1852</v>
      </c>
      <c r="D189" s="53" t="s">
        <v>927</v>
      </c>
      <c r="E189" s="53" t="s">
        <v>2051</v>
      </c>
      <c r="F189" s="53" t="s">
        <v>927</v>
      </c>
      <c r="G189" s="53" t="s">
        <v>1854</v>
      </c>
      <c r="H189" s="54">
        <v>2.973999483E7</v>
      </c>
      <c r="I189" s="26" t="s">
        <v>1855</v>
      </c>
      <c r="J189" s="26" t="s">
        <v>1856</v>
      </c>
      <c r="K189" s="26"/>
      <c r="L189" s="26" t="s">
        <v>1857</v>
      </c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52" t="s">
        <v>575</v>
      </c>
      <c r="C190" s="53" t="s">
        <v>1852</v>
      </c>
      <c r="D190" s="53" t="s">
        <v>927</v>
      </c>
      <c r="E190" s="53" t="s">
        <v>2052</v>
      </c>
      <c r="F190" s="53" t="s">
        <v>927</v>
      </c>
      <c r="G190" s="53" t="s">
        <v>1859</v>
      </c>
      <c r="H190" s="54">
        <v>1.159949448E7</v>
      </c>
      <c r="I190" s="26" t="s">
        <v>1855</v>
      </c>
      <c r="J190" s="26" t="s">
        <v>1856</v>
      </c>
      <c r="K190" s="26"/>
      <c r="L190" s="26" t="s">
        <v>1860</v>
      </c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52" t="s">
        <v>575</v>
      </c>
      <c r="C191" s="53" t="s">
        <v>1852</v>
      </c>
      <c r="D191" s="53" t="s">
        <v>931</v>
      </c>
      <c r="E191" s="53" t="s">
        <v>2053</v>
      </c>
      <c r="F191" s="53" t="s">
        <v>931</v>
      </c>
      <c r="G191" s="53" t="s">
        <v>1854</v>
      </c>
      <c r="H191" s="54">
        <v>2.327155922E7</v>
      </c>
      <c r="I191" s="26" t="s">
        <v>1855</v>
      </c>
      <c r="J191" s="26" t="s">
        <v>1856</v>
      </c>
      <c r="K191" s="26"/>
      <c r="L191" s="26" t="s">
        <v>1857</v>
      </c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52" t="s">
        <v>575</v>
      </c>
      <c r="C192" s="53" t="s">
        <v>1852</v>
      </c>
      <c r="D192" s="53" t="s">
        <v>931</v>
      </c>
      <c r="E192" s="53" t="s">
        <v>2054</v>
      </c>
      <c r="F192" s="53" t="s">
        <v>931</v>
      </c>
      <c r="G192" s="53" t="s">
        <v>1859</v>
      </c>
      <c r="H192" s="54">
        <v>1.81915544E7</v>
      </c>
      <c r="I192" s="26" t="s">
        <v>1855</v>
      </c>
      <c r="J192" s="26" t="s">
        <v>1856</v>
      </c>
      <c r="K192" s="26"/>
      <c r="L192" s="26" t="s">
        <v>1860</v>
      </c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52" t="s">
        <v>575</v>
      </c>
      <c r="C193" s="53" t="s">
        <v>1852</v>
      </c>
      <c r="D193" s="53" t="s">
        <v>931</v>
      </c>
      <c r="E193" s="53" t="s">
        <v>2055</v>
      </c>
      <c r="F193" s="53" t="s">
        <v>931</v>
      </c>
      <c r="G193" s="53" t="s">
        <v>1862</v>
      </c>
      <c r="H193" s="54">
        <v>4422348.3</v>
      </c>
      <c r="I193" s="26" t="s">
        <v>1855</v>
      </c>
      <c r="J193" s="26" t="s">
        <v>1856</v>
      </c>
      <c r="K193" s="26"/>
      <c r="L193" s="26" t="s">
        <v>1863</v>
      </c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52" t="s">
        <v>575</v>
      </c>
      <c r="C194" s="53" t="s">
        <v>1852</v>
      </c>
      <c r="D194" s="53" t="s">
        <v>933</v>
      </c>
      <c r="E194" s="53" t="s">
        <v>2056</v>
      </c>
      <c r="F194" s="53" t="s">
        <v>933</v>
      </c>
      <c r="G194" s="53" t="s">
        <v>1854</v>
      </c>
      <c r="H194" s="54">
        <v>4.763132465E7</v>
      </c>
      <c r="I194" s="26" t="s">
        <v>1855</v>
      </c>
      <c r="J194" s="26" t="s">
        <v>1856</v>
      </c>
      <c r="K194" s="26"/>
      <c r="L194" s="26" t="s">
        <v>1857</v>
      </c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52" t="s">
        <v>575</v>
      </c>
      <c r="C195" s="53" t="s">
        <v>1852</v>
      </c>
      <c r="D195" s="53" t="s">
        <v>935</v>
      </c>
      <c r="E195" s="53" t="s">
        <v>2057</v>
      </c>
      <c r="F195" s="53" t="s">
        <v>935</v>
      </c>
      <c r="G195" s="53" t="s">
        <v>1854</v>
      </c>
      <c r="H195" s="54">
        <v>7.362268277E7</v>
      </c>
      <c r="I195" s="26" t="s">
        <v>1855</v>
      </c>
      <c r="J195" s="26" t="s">
        <v>1856</v>
      </c>
      <c r="K195" s="26"/>
      <c r="L195" s="26" t="s">
        <v>1857</v>
      </c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52" t="s">
        <v>575</v>
      </c>
      <c r="C196" s="53" t="s">
        <v>1852</v>
      </c>
      <c r="D196" s="53" t="s">
        <v>935</v>
      </c>
      <c r="E196" s="53" t="s">
        <v>2058</v>
      </c>
      <c r="F196" s="53" t="s">
        <v>935</v>
      </c>
      <c r="G196" s="53" t="s">
        <v>1859</v>
      </c>
      <c r="H196" s="54">
        <v>1.255119728E7</v>
      </c>
      <c r="I196" s="26" t="s">
        <v>1855</v>
      </c>
      <c r="J196" s="26" t="s">
        <v>1856</v>
      </c>
      <c r="K196" s="26"/>
      <c r="L196" s="26" t="s">
        <v>1860</v>
      </c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52" t="s">
        <v>575</v>
      </c>
      <c r="C197" s="53" t="s">
        <v>1852</v>
      </c>
      <c r="D197" s="53" t="s">
        <v>736</v>
      </c>
      <c r="E197" s="53" t="s">
        <v>2059</v>
      </c>
      <c r="F197" s="53" t="s">
        <v>736</v>
      </c>
      <c r="G197" s="53" t="s">
        <v>1854</v>
      </c>
      <c r="H197" s="54">
        <v>1.8336133184E8</v>
      </c>
      <c r="I197" s="26" t="s">
        <v>1855</v>
      </c>
      <c r="J197" s="26" t="s">
        <v>1856</v>
      </c>
      <c r="K197" s="26"/>
      <c r="L197" s="26" t="s">
        <v>1857</v>
      </c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52" t="s">
        <v>575</v>
      </c>
      <c r="C198" s="53" t="s">
        <v>1852</v>
      </c>
      <c r="D198" s="53" t="s">
        <v>736</v>
      </c>
      <c r="E198" s="53" t="s">
        <v>2060</v>
      </c>
      <c r="F198" s="53" t="s">
        <v>736</v>
      </c>
      <c r="G198" s="53" t="s">
        <v>1859</v>
      </c>
      <c r="H198" s="54">
        <v>6.636075706E7</v>
      </c>
      <c r="I198" s="26" t="s">
        <v>1855</v>
      </c>
      <c r="J198" s="26" t="s">
        <v>1856</v>
      </c>
      <c r="K198" s="26"/>
      <c r="L198" s="26" t="s">
        <v>1860</v>
      </c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52" t="s">
        <v>575</v>
      </c>
      <c r="C199" s="53" t="s">
        <v>1852</v>
      </c>
      <c r="D199" s="53" t="s">
        <v>736</v>
      </c>
      <c r="E199" s="53" t="s">
        <v>2061</v>
      </c>
      <c r="F199" s="53" t="s">
        <v>736</v>
      </c>
      <c r="G199" s="53" t="s">
        <v>1862</v>
      </c>
      <c r="H199" s="54">
        <v>3304713.18</v>
      </c>
      <c r="I199" s="26" t="s">
        <v>1855</v>
      </c>
      <c r="J199" s="26" t="s">
        <v>1856</v>
      </c>
      <c r="K199" s="26"/>
      <c r="L199" s="26" t="s">
        <v>1863</v>
      </c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52" t="s">
        <v>575</v>
      </c>
      <c r="C200" s="53" t="s">
        <v>1852</v>
      </c>
      <c r="D200" s="53" t="s">
        <v>1050</v>
      </c>
      <c r="E200" s="53" t="s">
        <v>2062</v>
      </c>
      <c r="F200" s="53" t="s">
        <v>1050</v>
      </c>
      <c r="G200" s="53" t="s">
        <v>1854</v>
      </c>
      <c r="H200" s="54">
        <v>1.7897554645E8</v>
      </c>
      <c r="I200" s="26" t="s">
        <v>1855</v>
      </c>
      <c r="J200" s="26" t="s">
        <v>1856</v>
      </c>
      <c r="K200" s="26"/>
      <c r="L200" s="26" t="s">
        <v>1857</v>
      </c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52" t="s">
        <v>575</v>
      </c>
      <c r="C201" s="53" t="s">
        <v>1852</v>
      </c>
      <c r="D201" s="53" t="s">
        <v>1050</v>
      </c>
      <c r="E201" s="53" t="s">
        <v>2063</v>
      </c>
      <c r="F201" s="53" t="s">
        <v>1050</v>
      </c>
      <c r="G201" s="53" t="s">
        <v>1859</v>
      </c>
      <c r="H201" s="54">
        <v>2.155261394E7</v>
      </c>
      <c r="I201" s="26" t="s">
        <v>1855</v>
      </c>
      <c r="J201" s="26" t="s">
        <v>1856</v>
      </c>
      <c r="K201" s="26"/>
      <c r="L201" s="26" t="s">
        <v>1860</v>
      </c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52" t="s">
        <v>575</v>
      </c>
      <c r="C202" s="53" t="s">
        <v>2064</v>
      </c>
      <c r="D202" s="53" t="s">
        <v>2065</v>
      </c>
      <c r="E202" s="53" t="s">
        <v>2066</v>
      </c>
      <c r="F202" s="53" t="s">
        <v>2065</v>
      </c>
      <c r="G202" s="53" t="s">
        <v>2067</v>
      </c>
      <c r="H202" s="54">
        <v>5.458127631E7</v>
      </c>
      <c r="I202" s="26" t="s">
        <v>1851</v>
      </c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52" t="s">
        <v>575</v>
      </c>
      <c r="C203" s="53" t="s">
        <v>2064</v>
      </c>
      <c r="D203" s="53" t="s">
        <v>770</v>
      </c>
      <c r="E203" s="53" t="s">
        <v>2068</v>
      </c>
      <c r="F203" s="53" t="s">
        <v>770</v>
      </c>
      <c r="G203" s="53" t="s">
        <v>2067</v>
      </c>
      <c r="H203" s="54">
        <v>4.311297179E7</v>
      </c>
      <c r="I203" s="26" t="s">
        <v>1851</v>
      </c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52" t="s">
        <v>575</v>
      </c>
      <c r="C204" s="53" t="s">
        <v>2064</v>
      </c>
      <c r="D204" s="53" t="s">
        <v>730</v>
      </c>
      <c r="E204" s="53" t="s">
        <v>2069</v>
      </c>
      <c r="F204" s="53" t="s">
        <v>730</v>
      </c>
      <c r="G204" s="53" t="s">
        <v>2067</v>
      </c>
      <c r="H204" s="54">
        <v>4.1381403893E8</v>
      </c>
      <c r="I204" s="26" t="s">
        <v>1851</v>
      </c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52" t="s">
        <v>575</v>
      </c>
      <c r="C205" s="53" t="s">
        <v>2070</v>
      </c>
      <c r="D205" s="53" t="s">
        <v>834</v>
      </c>
      <c r="E205" s="53" t="s">
        <v>2071</v>
      </c>
      <c r="F205" s="53" t="s">
        <v>834</v>
      </c>
      <c r="G205" s="53" t="s">
        <v>2072</v>
      </c>
      <c r="H205" s="54">
        <v>2127106.8</v>
      </c>
      <c r="I205" s="26" t="s">
        <v>1851</v>
      </c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52" t="s">
        <v>575</v>
      </c>
      <c r="C206" s="53" t="s">
        <v>2070</v>
      </c>
      <c r="D206" s="53" t="s">
        <v>836</v>
      </c>
      <c r="E206" s="53" t="s">
        <v>2073</v>
      </c>
      <c r="F206" s="53" t="s">
        <v>836</v>
      </c>
      <c r="G206" s="53" t="s">
        <v>2072</v>
      </c>
      <c r="H206" s="54">
        <v>5.279957205E7</v>
      </c>
      <c r="I206" s="26" t="s">
        <v>1851</v>
      </c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52" t="s">
        <v>575</v>
      </c>
      <c r="C207" s="53" t="s">
        <v>2070</v>
      </c>
      <c r="D207" s="53" t="s">
        <v>925</v>
      </c>
      <c r="E207" s="53" t="s">
        <v>2074</v>
      </c>
      <c r="F207" s="53" t="s">
        <v>925</v>
      </c>
      <c r="G207" s="53" t="s">
        <v>2072</v>
      </c>
      <c r="H207" s="54">
        <v>1.11430074161E9</v>
      </c>
      <c r="I207" s="26" t="s">
        <v>1851</v>
      </c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52" t="s">
        <v>575</v>
      </c>
      <c r="C208" s="53" t="s">
        <v>2070</v>
      </c>
      <c r="D208" s="53" t="s">
        <v>736</v>
      </c>
      <c r="E208" s="53" t="s">
        <v>2075</v>
      </c>
      <c r="F208" s="53" t="s">
        <v>736</v>
      </c>
      <c r="G208" s="53" t="s">
        <v>2072</v>
      </c>
      <c r="H208" s="54">
        <v>1.6939200838E8</v>
      </c>
      <c r="I208" s="26" t="s">
        <v>1851</v>
      </c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52" t="s">
        <v>575</v>
      </c>
      <c r="C209" s="53" t="s">
        <v>2076</v>
      </c>
      <c r="D209" s="53" t="s">
        <v>768</v>
      </c>
      <c r="E209" s="53" t="s">
        <v>2077</v>
      </c>
      <c r="F209" s="53" t="s">
        <v>768</v>
      </c>
      <c r="G209" s="53" t="s">
        <v>2078</v>
      </c>
      <c r="H209" s="54">
        <v>1.45010619711E9</v>
      </c>
      <c r="I209" s="26" t="s">
        <v>1855</v>
      </c>
      <c r="J209" s="26" t="s">
        <v>2079</v>
      </c>
      <c r="K209" s="26"/>
      <c r="L209" s="26" t="s">
        <v>2080</v>
      </c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52" t="s">
        <v>575</v>
      </c>
      <c r="C210" s="53" t="s">
        <v>2076</v>
      </c>
      <c r="D210" s="53" t="s">
        <v>768</v>
      </c>
      <c r="E210" s="53" t="s">
        <v>2081</v>
      </c>
      <c r="F210" s="53" t="s">
        <v>768</v>
      </c>
      <c r="G210" s="53" t="s">
        <v>2082</v>
      </c>
      <c r="H210" s="54">
        <v>3.9740327251E8</v>
      </c>
      <c r="I210" s="26" t="s">
        <v>1855</v>
      </c>
      <c r="J210" s="26" t="s">
        <v>2079</v>
      </c>
      <c r="K210" s="26"/>
      <c r="L210" s="26" t="s">
        <v>2083</v>
      </c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52" t="s">
        <v>575</v>
      </c>
      <c r="C211" s="53" t="s">
        <v>2076</v>
      </c>
      <c r="D211" s="53" t="s">
        <v>726</v>
      </c>
      <c r="E211" s="53" t="s">
        <v>2084</v>
      </c>
      <c r="F211" s="53" t="s">
        <v>726</v>
      </c>
      <c r="G211" s="53" t="s">
        <v>2078</v>
      </c>
      <c r="H211" s="54">
        <v>5.0086695831E8</v>
      </c>
      <c r="I211" s="26" t="s">
        <v>1855</v>
      </c>
      <c r="J211" s="26" t="s">
        <v>2079</v>
      </c>
      <c r="K211" s="26"/>
      <c r="L211" s="26" t="s">
        <v>2080</v>
      </c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52" t="s">
        <v>575</v>
      </c>
      <c r="C212" s="53" t="s">
        <v>2076</v>
      </c>
      <c r="D212" s="53" t="s">
        <v>726</v>
      </c>
      <c r="E212" s="53" t="s">
        <v>2085</v>
      </c>
      <c r="F212" s="53" t="s">
        <v>726</v>
      </c>
      <c r="G212" s="53" t="s">
        <v>2082</v>
      </c>
      <c r="H212" s="54">
        <v>9.923706707E7</v>
      </c>
      <c r="I212" s="26" t="s">
        <v>1855</v>
      </c>
      <c r="J212" s="26" t="s">
        <v>2079</v>
      </c>
      <c r="K212" s="26"/>
      <c r="L212" s="26" t="s">
        <v>2083</v>
      </c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52" t="s">
        <v>575</v>
      </c>
      <c r="C213" s="53" t="s">
        <v>2076</v>
      </c>
      <c r="D213" s="53" t="s">
        <v>788</v>
      </c>
      <c r="E213" s="53" t="s">
        <v>2086</v>
      </c>
      <c r="F213" s="53" t="s">
        <v>788</v>
      </c>
      <c r="G213" s="53" t="s">
        <v>2078</v>
      </c>
      <c r="H213" s="54">
        <v>1.32050583621E9</v>
      </c>
      <c r="I213" s="26" t="s">
        <v>1855</v>
      </c>
      <c r="J213" s="26" t="s">
        <v>2079</v>
      </c>
      <c r="K213" s="26"/>
      <c r="L213" s="26" t="s">
        <v>2080</v>
      </c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52" t="s">
        <v>575</v>
      </c>
      <c r="C214" s="53" t="s">
        <v>2076</v>
      </c>
      <c r="D214" s="53" t="s">
        <v>788</v>
      </c>
      <c r="E214" s="53" t="s">
        <v>2087</v>
      </c>
      <c r="F214" s="53" t="s">
        <v>788</v>
      </c>
      <c r="G214" s="53" t="s">
        <v>2082</v>
      </c>
      <c r="H214" s="54">
        <v>4.3504348195E8</v>
      </c>
      <c r="I214" s="26" t="s">
        <v>1855</v>
      </c>
      <c r="J214" s="26" t="s">
        <v>2079</v>
      </c>
      <c r="K214" s="26"/>
      <c r="L214" s="26" t="s">
        <v>2083</v>
      </c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52" t="s">
        <v>575</v>
      </c>
      <c r="C215" s="53" t="s">
        <v>2076</v>
      </c>
      <c r="D215" s="53" t="s">
        <v>830</v>
      </c>
      <c r="E215" s="53" t="s">
        <v>2088</v>
      </c>
      <c r="F215" s="53" t="s">
        <v>830</v>
      </c>
      <c r="G215" s="53" t="s">
        <v>2078</v>
      </c>
      <c r="H215" s="54">
        <v>3.16253667034E9</v>
      </c>
      <c r="I215" s="26" t="s">
        <v>1855</v>
      </c>
      <c r="J215" s="26" t="s">
        <v>2079</v>
      </c>
      <c r="K215" s="26"/>
      <c r="L215" s="26" t="s">
        <v>2080</v>
      </c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52" t="s">
        <v>575</v>
      </c>
      <c r="C216" s="53" t="s">
        <v>2076</v>
      </c>
      <c r="D216" s="53" t="s">
        <v>830</v>
      </c>
      <c r="E216" s="53" t="s">
        <v>2089</v>
      </c>
      <c r="F216" s="53" t="s">
        <v>830</v>
      </c>
      <c r="G216" s="53" t="s">
        <v>2082</v>
      </c>
      <c r="H216" s="54">
        <v>9.0152014777E8</v>
      </c>
      <c r="I216" s="26" t="s">
        <v>1855</v>
      </c>
      <c r="J216" s="26" t="s">
        <v>2079</v>
      </c>
      <c r="K216" s="26"/>
      <c r="L216" s="26" t="s">
        <v>2083</v>
      </c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52" t="s">
        <v>575</v>
      </c>
      <c r="C217" s="53" t="s">
        <v>2076</v>
      </c>
      <c r="D217" s="53" t="s">
        <v>968</v>
      </c>
      <c r="E217" s="53" t="s">
        <v>2090</v>
      </c>
      <c r="F217" s="53" t="s">
        <v>968</v>
      </c>
      <c r="G217" s="53" t="s">
        <v>2078</v>
      </c>
      <c r="H217" s="54">
        <v>2.8226351527E8</v>
      </c>
      <c r="I217" s="26" t="s">
        <v>1855</v>
      </c>
      <c r="J217" s="26" t="s">
        <v>2079</v>
      </c>
      <c r="K217" s="26"/>
      <c r="L217" s="26" t="s">
        <v>2080</v>
      </c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52" t="s">
        <v>575</v>
      </c>
      <c r="C218" s="53" t="s">
        <v>2076</v>
      </c>
      <c r="D218" s="53" t="s">
        <v>968</v>
      </c>
      <c r="E218" s="53" t="s">
        <v>2091</v>
      </c>
      <c r="F218" s="53" t="s">
        <v>968</v>
      </c>
      <c r="G218" s="53" t="s">
        <v>2082</v>
      </c>
      <c r="H218" s="54">
        <v>7.449883527E7</v>
      </c>
      <c r="I218" s="26" t="s">
        <v>1855</v>
      </c>
      <c r="J218" s="26" t="s">
        <v>2079</v>
      </c>
      <c r="K218" s="26"/>
      <c r="L218" s="26" t="s">
        <v>2083</v>
      </c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55"/>
      <c r="B219" s="56" t="s">
        <v>575</v>
      </c>
      <c r="C219" s="56" t="s">
        <v>2076</v>
      </c>
      <c r="D219" s="56" t="s">
        <v>941</v>
      </c>
      <c r="E219" s="56" t="s">
        <v>2092</v>
      </c>
      <c r="F219" s="56" t="s">
        <v>941</v>
      </c>
      <c r="G219" s="56" t="s">
        <v>2078</v>
      </c>
      <c r="H219" s="57">
        <v>8.59810155857E9</v>
      </c>
      <c r="I219" s="55" t="s">
        <v>1855</v>
      </c>
      <c r="J219" s="55" t="s">
        <v>2079</v>
      </c>
      <c r="K219" s="55" t="s">
        <v>2093</v>
      </c>
      <c r="L219" s="55" t="s">
        <v>2080</v>
      </c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>
      <c r="A220" s="55"/>
      <c r="B220" s="56" t="s">
        <v>575</v>
      </c>
      <c r="C220" s="56" t="s">
        <v>2076</v>
      </c>
      <c r="D220" s="56" t="s">
        <v>941</v>
      </c>
      <c r="E220" s="56" t="s">
        <v>2094</v>
      </c>
      <c r="F220" s="56" t="s">
        <v>941</v>
      </c>
      <c r="G220" s="56" t="s">
        <v>2082</v>
      </c>
      <c r="H220" s="57">
        <v>3.21930734236E9</v>
      </c>
      <c r="I220" s="55" t="s">
        <v>1855</v>
      </c>
      <c r="J220" s="55" t="s">
        <v>2079</v>
      </c>
      <c r="K220" s="55" t="s">
        <v>2093</v>
      </c>
      <c r="L220" s="55" t="s">
        <v>2083</v>
      </c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>
      <c r="A221" s="26"/>
      <c r="B221" s="52" t="s">
        <v>575</v>
      </c>
      <c r="C221" s="53" t="s">
        <v>2095</v>
      </c>
      <c r="D221" s="53" t="s">
        <v>695</v>
      </c>
      <c r="E221" s="53" t="s">
        <v>2096</v>
      </c>
      <c r="F221" s="53" t="s">
        <v>695</v>
      </c>
      <c r="G221" s="53" t="s">
        <v>2097</v>
      </c>
      <c r="H221" s="54">
        <v>5.4009364203E8</v>
      </c>
      <c r="I221" s="26" t="s">
        <v>1855</v>
      </c>
      <c r="J221" s="26" t="s">
        <v>2098</v>
      </c>
      <c r="K221" s="26"/>
      <c r="L221" s="26" t="s">
        <v>2099</v>
      </c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52" t="s">
        <v>575</v>
      </c>
      <c r="C222" s="53" t="s">
        <v>2095</v>
      </c>
      <c r="D222" s="53" t="s">
        <v>695</v>
      </c>
      <c r="E222" s="53" t="s">
        <v>2100</v>
      </c>
      <c r="F222" s="53" t="s">
        <v>695</v>
      </c>
      <c r="G222" s="53" t="s">
        <v>2101</v>
      </c>
      <c r="H222" s="54">
        <v>7.11521154E7</v>
      </c>
      <c r="I222" s="26" t="s">
        <v>1855</v>
      </c>
      <c r="J222" s="26" t="s">
        <v>2098</v>
      </c>
      <c r="K222" s="26"/>
      <c r="L222" s="26" t="s">
        <v>1860</v>
      </c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52" t="s">
        <v>575</v>
      </c>
      <c r="C223" s="53" t="s">
        <v>2095</v>
      </c>
      <c r="D223" s="53" t="s">
        <v>695</v>
      </c>
      <c r="E223" s="53" t="s">
        <v>2102</v>
      </c>
      <c r="F223" s="53" t="s">
        <v>695</v>
      </c>
      <c r="G223" s="53" t="s">
        <v>2103</v>
      </c>
      <c r="H223" s="54">
        <v>9.4013650128E8</v>
      </c>
      <c r="I223" s="26" t="s">
        <v>1855</v>
      </c>
      <c r="J223" s="26" t="s">
        <v>2098</v>
      </c>
      <c r="K223" s="26"/>
      <c r="L223" s="26" t="s">
        <v>2104</v>
      </c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52" t="s">
        <v>575</v>
      </c>
      <c r="C224" s="53" t="s">
        <v>2095</v>
      </c>
      <c r="D224" s="53" t="s">
        <v>742</v>
      </c>
      <c r="E224" s="53" t="s">
        <v>2105</v>
      </c>
      <c r="F224" s="53" t="s">
        <v>742</v>
      </c>
      <c r="G224" s="53" t="s">
        <v>2097</v>
      </c>
      <c r="H224" s="54">
        <v>2.1424400391E8</v>
      </c>
      <c r="I224" s="26" t="s">
        <v>1855</v>
      </c>
      <c r="J224" s="26" t="s">
        <v>2098</v>
      </c>
      <c r="K224" s="26"/>
      <c r="L224" s="26" t="s">
        <v>2099</v>
      </c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52" t="s">
        <v>575</v>
      </c>
      <c r="C225" s="53" t="s">
        <v>2095</v>
      </c>
      <c r="D225" s="53" t="s">
        <v>742</v>
      </c>
      <c r="E225" s="53" t="s">
        <v>2106</v>
      </c>
      <c r="F225" s="53" t="s">
        <v>742</v>
      </c>
      <c r="G225" s="53" t="s">
        <v>2101</v>
      </c>
      <c r="H225" s="54">
        <v>1.686358284E7</v>
      </c>
      <c r="I225" s="26" t="s">
        <v>1855</v>
      </c>
      <c r="J225" s="26" t="s">
        <v>2098</v>
      </c>
      <c r="K225" s="26"/>
      <c r="L225" s="26" t="s">
        <v>1860</v>
      </c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52" t="s">
        <v>575</v>
      </c>
      <c r="C226" s="53" t="s">
        <v>2095</v>
      </c>
      <c r="D226" s="53" t="s">
        <v>742</v>
      </c>
      <c r="E226" s="53" t="s">
        <v>2107</v>
      </c>
      <c r="F226" s="53" t="s">
        <v>742</v>
      </c>
      <c r="G226" s="53" t="s">
        <v>2103</v>
      </c>
      <c r="H226" s="54">
        <v>2.1797444381E8</v>
      </c>
      <c r="I226" s="26" t="s">
        <v>1855</v>
      </c>
      <c r="J226" s="26" t="s">
        <v>2098</v>
      </c>
      <c r="K226" s="26"/>
      <c r="L226" s="26" t="s">
        <v>2104</v>
      </c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52" t="s">
        <v>575</v>
      </c>
      <c r="C227" s="53" t="s">
        <v>2095</v>
      </c>
      <c r="D227" s="53" t="s">
        <v>746</v>
      </c>
      <c r="E227" s="53" t="s">
        <v>2108</v>
      </c>
      <c r="F227" s="53" t="s">
        <v>746</v>
      </c>
      <c r="G227" s="53" t="s">
        <v>2097</v>
      </c>
      <c r="H227" s="54">
        <v>1.59038976E7</v>
      </c>
      <c r="I227" s="26" t="s">
        <v>1855</v>
      </c>
      <c r="J227" s="26" t="s">
        <v>2098</v>
      </c>
      <c r="K227" s="26"/>
      <c r="L227" s="26" t="s">
        <v>2099</v>
      </c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52" t="s">
        <v>575</v>
      </c>
      <c r="C228" s="53" t="s">
        <v>2095</v>
      </c>
      <c r="D228" s="53" t="s">
        <v>746</v>
      </c>
      <c r="E228" s="53" t="s">
        <v>2109</v>
      </c>
      <c r="F228" s="53" t="s">
        <v>746</v>
      </c>
      <c r="G228" s="53" t="s">
        <v>2103</v>
      </c>
      <c r="H228" s="54">
        <v>4.5735811E7</v>
      </c>
      <c r="I228" s="26" t="s">
        <v>1855</v>
      </c>
      <c r="J228" s="26" t="s">
        <v>2098</v>
      </c>
      <c r="K228" s="26"/>
      <c r="L228" s="26" t="s">
        <v>2104</v>
      </c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52" t="s">
        <v>575</v>
      </c>
      <c r="C229" s="53" t="s">
        <v>2095</v>
      </c>
      <c r="D229" s="53" t="s">
        <v>749</v>
      </c>
      <c r="E229" s="53" t="s">
        <v>2110</v>
      </c>
      <c r="F229" s="53" t="s">
        <v>749</v>
      </c>
      <c r="G229" s="53" t="s">
        <v>2097</v>
      </c>
      <c r="H229" s="54">
        <v>5.8429133442E8</v>
      </c>
      <c r="I229" s="26" t="s">
        <v>1855</v>
      </c>
      <c r="J229" s="26" t="s">
        <v>2098</v>
      </c>
      <c r="K229" s="26"/>
      <c r="L229" s="26" t="s">
        <v>2099</v>
      </c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52" t="s">
        <v>575</v>
      </c>
      <c r="C230" s="53" t="s">
        <v>2095</v>
      </c>
      <c r="D230" s="53" t="s">
        <v>749</v>
      </c>
      <c r="E230" s="53" t="s">
        <v>2111</v>
      </c>
      <c r="F230" s="53" t="s">
        <v>749</v>
      </c>
      <c r="G230" s="53" t="s">
        <v>2101</v>
      </c>
      <c r="H230" s="54">
        <v>1.4775607134E8</v>
      </c>
      <c r="I230" s="26" t="s">
        <v>1855</v>
      </c>
      <c r="J230" s="26" t="s">
        <v>2098</v>
      </c>
      <c r="K230" s="26"/>
      <c r="L230" s="26" t="s">
        <v>1860</v>
      </c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52" t="s">
        <v>575</v>
      </c>
      <c r="C231" s="53" t="s">
        <v>2095</v>
      </c>
      <c r="D231" s="53" t="s">
        <v>749</v>
      </c>
      <c r="E231" s="53" t="s">
        <v>2112</v>
      </c>
      <c r="F231" s="53" t="s">
        <v>749</v>
      </c>
      <c r="G231" s="53" t="s">
        <v>2103</v>
      </c>
      <c r="H231" s="54">
        <v>5.3523793743E8</v>
      </c>
      <c r="I231" s="26" t="s">
        <v>1855</v>
      </c>
      <c r="J231" s="26" t="s">
        <v>2098</v>
      </c>
      <c r="K231" s="26"/>
      <c r="L231" s="26" t="s">
        <v>2104</v>
      </c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52" t="s">
        <v>575</v>
      </c>
      <c r="C232" s="53" t="s">
        <v>2095</v>
      </c>
      <c r="D232" s="53" t="s">
        <v>699</v>
      </c>
      <c r="E232" s="53" t="s">
        <v>2113</v>
      </c>
      <c r="F232" s="53" t="s">
        <v>699</v>
      </c>
      <c r="G232" s="53" t="s">
        <v>2097</v>
      </c>
      <c r="H232" s="54">
        <v>1.11572868527E9</v>
      </c>
      <c r="I232" s="26" t="s">
        <v>1855</v>
      </c>
      <c r="J232" s="26" t="s">
        <v>2098</v>
      </c>
      <c r="K232" s="26"/>
      <c r="L232" s="26" t="s">
        <v>2099</v>
      </c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52" t="s">
        <v>575</v>
      </c>
      <c r="C233" s="53" t="s">
        <v>2095</v>
      </c>
      <c r="D233" s="53" t="s">
        <v>699</v>
      </c>
      <c r="E233" s="53" t="s">
        <v>2114</v>
      </c>
      <c r="F233" s="53" t="s">
        <v>699</v>
      </c>
      <c r="G233" s="53" t="s">
        <v>2115</v>
      </c>
      <c r="H233" s="54">
        <v>3.4443476958E8</v>
      </c>
      <c r="I233" s="26" t="s">
        <v>1855</v>
      </c>
      <c r="J233" s="26" t="s">
        <v>2098</v>
      </c>
      <c r="K233" s="26"/>
      <c r="L233" s="26" t="s">
        <v>2116</v>
      </c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52" t="s">
        <v>575</v>
      </c>
      <c r="C234" s="53" t="s">
        <v>2095</v>
      </c>
      <c r="D234" s="53" t="s">
        <v>699</v>
      </c>
      <c r="E234" s="53" t="s">
        <v>2117</v>
      </c>
      <c r="F234" s="53" t="s">
        <v>699</v>
      </c>
      <c r="G234" s="53" t="s">
        <v>2101</v>
      </c>
      <c r="H234" s="54">
        <v>1.7516625318E8</v>
      </c>
      <c r="I234" s="26" t="s">
        <v>1855</v>
      </c>
      <c r="J234" s="26" t="s">
        <v>2098</v>
      </c>
      <c r="K234" s="26"/>
      <c r="L234" s="26" t="s">
        <v>1860</v>
      </c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52" t="s">
        <v>575</v>
      </c>
      <c r="C235" s="53" t="s">
        <v>2095</v>
      </c>
      <c r="D235" s="53" t="s">
        <v>699</v>
      </c>
      <c r="E235" s="53" t="s">
        <v>2118</v>
      </c>
      <c r="F235" s="53" t="s">
        <v>699</v>
      </c>
      <c r="G235" s="53" t="s">
        <v>2103</v>
      </c>
      <c r="H235" s="54">
        <v>1.61622129728E9</v>
      </c>
      <c r="I235" s="26" t="s">
        <v>1855</v>
      </c>
      <c r="J235" s="26" t="s">
        <v>2098</v>
      </c>
      <c r="K235" s="26"/>
      <c r="L235" s="26" t="s">
        <v>2104</v>
      </c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52" t="s">
        <v>575</v>
      </c>
      <c r="C236" s="53" t="s">
        <v>2095</v>
      </c>
      <c r="D236" s="53" t="s">
        <v>759</v>
      </c>
      <c r="E236" s="53" t="s">
        <v>2119</v>
      </c>
      <c r="F236" s="53" t="s">
        <v>759</v>
      </c>
      <c r="G236" s="53" t="s">
        <v>2097</v>
      </c>
      <c r="H236" s="54">
        <v>2.35617408E7</v>
      </c>
      <c r="I236" s="26" t="s">
        <v>1855</v>
      </c>
      <c r="J236" s="26" t="s">
        <v>2098</v>
      </c>
      <c r="K236" s="26"/>
      <c r="L236" s="26" t="s">
        <v>2099</v>
      </c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52" t="s">
        <v>575</v>
      </c>
      <c r="C237" s="53" t="s">
        <v>2095</v>
      </c>
      <c r="D237" s="53" t="s">
        <v>759</v>
      </c>
      <c r="E237" s="53" t="s">
        <v>2120</v>
      </c>
      <c r="F237" s="53" t="s">
        <v>759</v>
      </c>
      <c r="G237" s="53" t="s">
        <v>2103</v>
      </c>
      <c r="H237" s="54">
        <v>2.8470002E7</v>
      </c>
      <c r="I237" s="26" t="s">
        <v>1855</v>
      </c>
      <c r="J237" s="26" t="s">
        <v>2098</v>
      </c>
      <c r="K237" s="26"/>
      <c r="L237" s="26" t="s">
        <v>2104</v>
      </c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52" t="s">
        <v>575</v>
      </c>
      <c r="C238" s="53" t="s">
        <v>2095</v>
      </c>
      <c r="D238" s="53" t="s">
        <v>761</v>
      </c>
      <c r="E238" s="53" t="s">
        <v>2121</v>
      </c>
      <c r="F238" s="53" t="s">
        <v>761</v>
      </c>
      <c r="G238" s="53" t="s">
        <v>2097</v>
      </c>
      <c r="H238" s="54">
        <v>4.119247872E8</v>
      </c>
      <c r="I238" s="26" t="s">
        <v>1855</v>
      </c>
      <c r="J238" s="26" t="s">
        <v>2098</v>
      </c>
      <c r="K238" s="26"/>
      <c r="L238" s="26" t="s">
        <v>2099</v>
      </c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52" t="s">
        <v>575</v>
      </c>
      <c r="C239" s="53" t="s">
        <v>2095</v>
      </c>
      <c r="D239" s="53" t="s">
        <v>761</v>
      </c>
      <c r="E239" s="53" t="s">
        <v>2122</v>
      </c>
      <c r="F239" s="53" t="s">
        <v>761</v>
      </c>
      <c r="G239" s="53" t="s">
        <v>2101</v>
      </c>
      <c r="H239" s="54">
        <v>1.5590660232E8</v>
      </c>
      <c r="I239" s="26" t="s">
        <v>1855</v>
      </c>
      <c r="J239" s="26" t="s">
        <v>2098</v>
      </c>
      <c r="K239" s="26"/>
      <c r="L239" s="26" t="s">
        <v>1860</v>
      </c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52" t="s">
        <v>575</v>
      </c>
      <c r="C240" s="53" t="s">
        <v>2095</v>
      </c>
      <c r="D240" s="53" t="s">
        <v>761</v>
      </c>
      <c r="E240" s="53" t="s">
        <v>2123</v>
      </c>
      <c r="F240" s="53" t="s">
        <v>761</v>
      </c>
      <c r="G240" s="53" t="s">
        <v>2103</v>
      </c>
      <c r="H240" s="54">
        <v>4.7203350425E8</v>
      </c>
      <c r="I240" s="26" t="s">
        <v>1855</v>
      </c>
      <c r="J240" s="26" t="s">
        <v>2098</v>
      </c>
      <c r="K240" s="26"/>
      <c r="L240" s="26" t="s">
        <v>2104</v>
      </c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52" t="s">
        <v>575</v>
      </c>
      <c r="C241" s="53" t="s">
        <v>2095</v>
      </c>
      <c r="D241" s="53" t="s">
        <v>763</v>
      </c>
      <c r="E241" s="53" t="s">
        <v>2124</v>
      </c>
      <c r="F241" s="53" t="s">
        <v>763</v>
      </c>
      <c r="G241" s="53" t="s">
        <v>2097</v>
      </c>
      <c r="H241" s="54">
        <v>1.49227443232E9</v>
      </c>
      <c r="I241" s="26" t="s">
        <v>1855</v>
      </c>
      <c r="J241" s="26" t="s">
        <v>2098</v>
      </c>
      <c r="K241" s="26"/>
      <c r="L241" s="26" t="s">
        <v>2099</v>
      </c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52" t="s">
        <v>575</v>
      </c>
      <c r="C242" s="53" t="s">
        <v>2095</v>
      </c>
      <c r="D242" s="53" t="s">
        <v>763</v>
      </c>
      <c r="E242" s="53" t="s">
        <v>2125</v>
      </c>
      <c r="F242" s="53" t="s">
        <v>763</v>
      </c>
      <c r="G242" s="53" t="s">
        <v>2115</v>
      </c>
      <c r="H242" s="54">
        <v>4.9960893006E8</v>
      </c>
      <c r="I242" s="26" t="s">
        <v>1855</v>
      </c>
      <c r="J242" s="26" t="s">
        <v>2098</v>
      </c>
      <c r="K242" s="26"/>
      <c r="L242" s="26" t="s">
        <v>2116</v>
      </c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52" t="s">
        <v>575</v>
      </c>
      <c r="C243" s="53" t="s">
        <v>2095</v>
      </c>
      <c r="D243" s="53" t="s">
        <v>763</v>
      </c>
      <c r="E243" s="53" t="s">
        <v>2126</v>
      </c>
      <c r="F243" s="53" t="s">
        <v>763</v>
      </c>
      <c r="G243" s="53" t="s">
        <v>2101</v>
      </c>
      <c r="H243" s="54">
        <v>7.07092617E8</v>
      </c>
      <c r="I243" s="26" t="s">
        <v>1855</v>
      </c>
      <c r="J243" s="26" t="s">
        <v>2098</v>
      </c>
      <c r="K243" s="26"/>
      <c r="L243" s="26" t="s">
        <v>1860</v>
      </c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52" t="s">
        <v>575</v>
      </c>
      <c r="C244" s="53" t="s">
        <v>2095</v>
      </c>
      <c r="D244" s="53" t="s">
        <v>763</v>
      </c>
      <c r="E244" s="53" t="s">
        <v>2127</v>
      </c>
      <c r="F244" s="53" t="s">
        <v>763</v>
      </c>
      <c r="G244" s="53" t="s">
        <v>2103</v>
      </c>
      <c r="H244" s="54">
        <v>1.38143590691E9</v>
      </c>
      <c r="I244" s="26" t="s">
        <v>1855</v>
      </c>
      <c r="J244" s="26" t="s">
        <v>2098</v>
      </c>
      <c r="K244" s="26"/>
      <c r="L244" s="26" t="s">
        <v>2104</v>
      </c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52" t="s">
        <v>575</v>
      </c>
      <c r="C245" s="53" t="s">
        <v>2095</v>
      </c>
      <c r="D245" s="53" t="s">
        <v>768</v>
      </c>
      <c r="E245" s="53" t="s">
        <v>2128</v>
      </c>
      <c r="F245" s="53" t="s">
        <v>768</v>
      </c>
      <c r="G245" s="53" t="s">
        <v>2097</v>
      </c>
      <c r="H245" s="54">
        <v>2.4889692898E8</v>
      </c>
      <c r="I245" s="26" t="s">
        <v>1855</v>
      </c>
      <c r="J245" s="26" t="s">
        <v>2098</v>
      </c>
      <c r="K245" s="26"/>
      <c r="L245" s="26" t="s">
        <v>2099</v>
      </c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52" t="s">
        <v>575</v>
      </c>
      <c r="C246" s="53" t="s">
        <v>2095</v>
      </c>
      <c r="D246" s="53" t="s">
        <v>768</v>
      </c>
      <c r="E246" s="53" t="s">
        <v>2129</v>
      </c>
      <c r="F246" s="53" t="s">
        <v>768</v>
      </c>
      <c r="G246" s="53" t="s">
        <v>2101</v>
      </c>
      <c r="H246" s="54">
        <v>2.06805519E7</v>
      </c>
      <c r="I246" s="26" t="s">
        <v>1855</v>
      </c>
      <c r="J246" s="26" t="s">
        <v>2098</v>
      </c>
      <c r="K246" s="26"/>
      <c r="L246" s="26" t="s">
        <v>1860</v>
      </c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52" t="s">
        <v>575</v>
      </c>
      <c r="C247" s="53" t="s">
        <v>2095</v>
      </c>
      <c r="D247" s="53" t="s">
        <v>768</v>
      </c>
      <c r="E247" s="53" t="s">
        <v>2130</v>
      </c>
      <c r="F247" s="53" t="s">
        <v>768</v>
      </c>
      <c r="G247" s="53" t="s">
        <v>2103</v>
      </c>
      <c r="H247" s="54">
        <v>3.4413877108E8</v>
      </c>
      <c r="I247" s="26" t="s">
        <v>1855</v>
      </c>
      <c r="J247" s="26" t="s">
        <v>2098</v>
      </c>
      <c r="K247" s="26"/>
      <c r="L247" s="26" t="s">
        <v>2104</v>
      </c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52" t="s">
        <v>575</v>
      </c>
      <c r="C248" s="53" t="s">
        <v>2095</v>
      </c>
      <c r="D248" s="53" t="s">
        <v>772</v>
      </c>
      <c r="E248" s="53" t="s">
        <v>2131</v>
      </c>
      <c r="F248" s="53" t="s">
        <v>772</v>
      </c>
      <c r="G248" s="53" t="s">
        <v>2097</v>
      </c>
      <c r="H248" s="54">
        <v>8.462376109E7</v>
      </c>
      <c r="I248" s="26" t="s">
        <v>1855</v>
      </c>
      <c r="J248" s="26" t="s">
        <v>2098</v>
      </c>
      <c r="K248" s="26"/>
      <c r="L248" s="26" t="s">
        <v>2099</v>
      </c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52" t="s">
        <v>575</v>
      </c>
      <c r="C249" s="53" t="s">
        <v>2095</v>
      </c>
      <c r="D249" s="53" t="s">
        <v>772</v>
      </c>
      <c r="E249" s="53" t="s">
        <v>2132</v>
      </c>
      <c r="F249" s="53" t="s">
        <v>772</v>
      </c>
      <c r="G249" s="53" t="s">
        <v>2101</v>
      </c>
      <c r="H249" s="54">
        <v>2.314181094E7</v>
      </c>
      <c r="I249" s="26" t="s">
        <v>1855</v>
      </c>
      <c r="J249" s="26" t="s">
        <v>2098</v>
      </c>
      <c r="K249" s="26"/>
      <c r="L249" s="26" t="s">
        <v>1860</v>
      </c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52" t="s">
        <v>575</v>
      </c>
      <c r="C250" s="53" t="s">
        <v>2095</v>
      </c>
      <c r="D250" s="53" t="s">
        <v>772</v>
      </c>
      <c r="E250" s="53" t="s">
        <v>2133</v>
      </c>
      <c r="F250" s="53" t="s">
        <v>772</v>
      </c>
      <c r="G250" s="53" t="s">
        <v>2103</v>
      </c>
      <c r="H250" s="54">
        <v>1.0362378712E8</v>
      </c>
      <c r="I250" s="26" t="s">
        <v>1855</v>
      </c>
      <c r="J250" s="26" t="s">
        <v>2098</v>
      </c>
      <c r="K250" s="26"/>
      <c r="L250" s="26" t="s">
        <v>2104</v>
      </c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52" t="s">
        <v>575</v>
      </c>
      <c r="C251" s="53" t="s">
        <v>2095</v>
      </c>
      <c r="D251" s="53" t="s">
        <v>726</v>
      </c>
      <c r="E251" s="53" t="s">
        <v>2134</v>
      </c>
      <c r="F251" s="53" t="s">
        <v>726</v>
      </c>
      <c r="G251" s="53" t="s">
        <v>2097</v>
      </c>
      <c r="H251" s="54">
        <v>1.7555265792E8</v>
      </c>
      <c r="I251" s="26" t="s">
        <v>1855</v>
      </c>
      <c r="J251" s="26" t="s">
        <v>2098</v>
      </c>
      <c r="K251" s="26"/>
      <c r="L251" s="26" t="s">
        <v>2099</v>
      </c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52" t="s">
        <v>575</v>
      </c>
      <c r="C252" s="53" t="s">
        <v>2095</v>
      </c>
      <c r="D252" s="53" t="s">
        <v>726</v>
      </c>
      <c r="E252" s="53" t="s">
        <v>2135</v>
      </c>
      <c r="F252" s="53" t="s">
        <v>726</v>
      </c>
      <c r="G252" s="53" t="s">
        <v>2101</v>
      </c>
      <c r="H252" s="54">
        <v>2.769031064E7</v>
      </c>
      <c r="I252" s="26" t="s">
        <v>1855</v>
      </c>
      <c r="J252" s="26" t="s">
        <v>2098</v>
      </c>
      <c r="K252" s="26"/>
      <c r="L252" s="26" t="s">
        <v>1860</v>
      </c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52" t="s">
        <v>575</v>
      </c>
      <c r="C253" s="53" t="s">
        <v>2095</v>
      </c>
      <c r="D253" s="53" t="s">
        <v>726</v>
      </c>
      <c r="E253" s="53" t="s">
        <v>2136</v>
      </c>
      <c r="F253" s="53" t="s">
        <v>726</v>
      </c>
      <c r="G253" s="53" t="s">
        <v>2103</v>
      </c>
      <c r="H253" s="54">
        <v>1.485434335E8</v>
      </c>
      <c r="I253" s="26" t="s">
        <v>1855</v>
      </c>
      <c r="J253" s="26" t="s">
        <v>2098</v>
      </c>
      <c r="K253" s="26"/>
      <c r="L253" s="26" t="s">
        <v>2104</v>
      </c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52" t="s">
        <v>575</v>
      </c>
      <c r="C254" s="53" t="s">
        <v>2095</v>
      </c>
      <c r="D254" s="53" t="s">
        <v>774</v>
      </c>
      <c r="E254" s="53" t="s">
        <v>2137</v>
      </c>
      <c r="F254" s="53" t="s">
        <v>774</v>
      </c>
      <c r="G254" s="53" t="s">
        <v>2097</v>
      </c>
      <c r="H254" s="54">
        <v>4.427872512E7</v>
      </c>
      <c r="I254" s="26" t="s">
        <v>1855</v>
      </c>
      <c r="J254" s="26" t="s">
        <v>2098</v>
      </c>
      <c r="K254" s="26"/>
      <c r="L254" s="26" t="s">
        <v>2099</v>
      </c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52" t="s">
        <v>575</v>
      </c>
      <c r="C255" s="53" t="s">
        <v>2095</v>
      </c>
      <c r="D255" s="53" t="s">
        <v>774</v>
      </c>
      <c r="E255" s="53" t="s">
        <v>2138</v>
      </c>
      <c r="F255" s="53" t="s">
        <v>774</v>
      </c>
      <c r="G255" s="53" t="s">
        <v>2103</v>
      </c>
      <c r="H255" s="54">
        <v>5.55952595E7</v>
      </c>
      <c r="I255" s="26" t="s">
        <v>1855</v>
      </c>
      <c r="J255" s="26" t="s">
        <v>2098</v>
      </c>
      <c r="K255" s="26"/>
      <c r="L255" s="26" t="s">
        <v>2104</v>
      </c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52" t="s">
        <v>575</v>
      </c>
      <c r="C256" s="53" t="s">
        <v>2095</v>
      </c>
      <c r="D256" s="53" t="s">
        <v>776</v>
      </c>
      <c r="E256" s="53" t="s">
        <v>2139</v>
      </c>
      <c r="F256" s="53" t="s">
        <v>776</v>
      </c>
      <c r="G256" s="53" t="s">
        <v>2097</v>
      </c>
      <c r="H256" s="54">
        <v>5.6207644578E8</v>
      </c>
      <c r="I256" s="26" t="s">
        <v>1855</v>
      </c>
      <c r="J256" s="26" t="s">
        <v>2098</v>
      </c>
      <c r="K256" s="26"/>
      <c r="L256" s="26" t="s">
        <v>2099</v>
      </c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52" t="s">
        <v>575</v>
      </c>
      <c r="C257" s="53" t="s">
        <v>2095</v>
      </c>
      <c r="D257" s="53" t="s">
        <v>776</v>
      </c>
      <c r="E257" s="53" t="s">
        <v>2140</v>
      </c>
      <c r="F257" s="53" t="s">
        <v>776</v>
      </c>
      <c r="G257" s="53" t="s">
        <v>2101</v>
      </c>
      <c r="H257" s="54">
        <v>1.2463491834E8</v>
      </c>
      <c r="I257" s="26" t="s">
        <v>1855</v>
      </c>
      <c r="J257" s="26" t="s">
        <v>2098</v>
      </c>
      <c r="K257" s="26"/>
      <c r="L257" s="26" t="s">
        <v>1860</v>
      </c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52" t="s">
        <v>575</v>
      </c>
      <c r="C258" s="53" t="s">
        <v>2095</v>
      </c>
      <c r="D258" s="53" t="s">
        <v>776</v>
      </c>
      <c r="E258" s="53" t="s">
        <v>2141</v>
      </c>
      <c r="F258" s="53" t="s">
        <v>776</v>
      </c>
      <c r="G258" s="53" t="s">
        <v>2103</v>
      </c>
      <c r="H258" s="54">
        <v>6.7514829488E8</v>
      </c>
      <c r="I258" s="26" t="s">
        <v>1855</v>
      </c>
      <c r="J258" s="26" t="s">
        <v>2098</v>
      </c>
      <c r="K258" s="26"/>
      <c r="L258" s="26" t="s">
        <v>2104</v>
      </c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52" t="s">
        <v>575</v>
      </c>
      <c r="C259" s="53" t="s">
        <v>2095</v>
      </c>
      <c r="D259" s="53" t="s">
        <v>776</v>
      </c>
      <c r="E259" s="53" t="s">
        <v>2142</v>
      </c>
      <c r="F259" s="53" t="s">
        <v>2143</v>
      </c>
      <c r="G259" s="53" t="s">
        <v>2115</v>
      </c>
      <c r="H259" s="54">
        <v>2.8728855E7</v>
      </c>
      <c r="I259" s="26" t="s">
        <v>1855</v>
      </c>
      <c r="J259" s="26" t="s">
        <v>2098</v>
      </c>
      <c r="K259" s="26"/>
      <c r="L259" s="26" t="s">
        <v>2116</v>
      </c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52" t="s">
        <v>575</v>
      </c>
      <c r="C260" s="53" t="s">
        <v>2095</v>
      </c>
      <c r="D260" s="53" t="s">
        <v>1061</v>
      </c>
      <c r="E260" s="53" t="s">
        <v>2144</v>
      </c>
      <c r="F260" s="53" t="s">
        <v>1061</v>
      </c>
      <c r="G260" s="53" t="s">
        <v>2097</v>
      </c>
      <c r="H260" s="54">
        <v>7.978885973E7</v>
      </c>
      <c r="I260" s="26" t="s">
        <v>1855</v>
      </c>
      <c r="J260" s="26" t="s">
        <v>2098</v>
      </c>
      <c r="K260" s="26"/>
      <c r="L260" s="26" t="s">
        <v>2099</v>
      </c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52" t="s">
        <v>575</v>
      </c>
      <c r="C261" s="53" t="s">
        <v>2095</v>
      </c>
      <c r="D261" s="53" t="s">
        <v>1061</v>
      </c>
      <c r="E261" s="53" t="s">
        <v>2145</v>
      </c>
      <c r="F261" s="53" t="s">
        <v>1061</v>
      </c>
      <c r="G261" s="53" t="s">
        <v>2101</v>
      </c>
      <c r="H261" s="54">
        <v>2.03586903E7</v>
      </c>
      <c r="I261" s="26" t="s">
        <v>1855</v>
      </c>
      <c r="J261" s="26" t="s">
        <v>2098</v>
      </c>
      <c r="K261" s="26"/>
      <c r="L261" s="26" t="s">
        <v>1860</v>
      </c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52" t="s">
        <v>575</v>
      </c>
      <c r="C262" s="53" t="s">
        <v>2095</v>
      </c>
      <c r="D262" s="53" t="s">
        <v>1061</v>
      </c>
      <c r="E262" s="53" t="s">
        <v>2146</v>
      </c>
      <c r="F262" s="53" t="s">
        <v>1061</v>
      </c>
      <c r="G262" s="53" t="s">
        <v>2103</v>
      </c>
      <c r="H262" s="54">
        <v>7.66262403E7</v>
      </c>
      <c r="I262" s="26" t="s">
        <v>1855</v>
      </c>
      <c r="J262" s="26" t="s">
        <v>2098</v>
      </c>
      <c r="K262" s="26"/>
      <c r="L262" s="26" t="s">
        <v>2104</v>
      </c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52" t="s">
        <v>575</v>
      </c>
      <c r="C263" s="53" t="s">
        <v>2095</v>
      </c>
      <c r="D263" s="53" t="s">
        <v>720</v>
      </c>
      <c r="E263" s="53" t="s">
        <v>2147</v>
      </c>
      <c r="F263" s="53" t="s">
        <v>720</v>
      </c>
      <c r="G263" s="53" t="s">
        <v>2097</v>
      </c>
      <c r="H263" s="54">
        <v>2.522067438E7</v>
      </c>
      <c r="I263" s="26" t="s">
        <v>1855</v>
      </c>
      <c r="J263" s="26" t="s">
        <v>2098</v>
      </c>
      <c r="K263" s="26"/>
      <c r="L263" s="26" t="s">
        <v>2099</v>
      </c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52" t="s">
        <v>575</v>
      </c>
      <c r="C264" s="53" t="s">
        <v>2095</v>
      </c>
      <c r="D264" s="53" t="s">
        <v>720</v>
      </c>
      <c r="E264" s="53" t="s">
        <v>2148</v>
      </c>
      <c r="F264" s="53" t="s">
        <v>720</v>
      </c>
      <c r="G264" s="53" t="s">
        <v>2101</v>
      </c>
      <c r="H264" s="54">
        <v>5346430.48</v>
      </c>
      <c r="I264" s="26" t="s">
        <v>1855</v>
      </c>
      <c r="J264" s="26" t="s">
        <v>2098</v>
      </c>
      <c r="K264" s="26"/>
      <c r="L264" s="26" t="s">
        <v>1860</v>
      </c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52" t="s">
        <v>575</v>
      </c>
      <c r="C265" s="53" t="s">
        <v>2095</v>
      </c>
      <c r="D265" s="53" t="s">
        <v>720</v>
      </c>
      <c r="E265" s="53" t="s">
        <v>2149</v>
      </c>
      <c r="F265" s="53" t="s">
        <v>720</v>
      </c>
      <c r="G265" s="53" t="s">
        <v>2103</v>
      </c>
      <c r="H265" s="54">
        <v>4.03482475E7</v>
      </c>
      <c r="I265" s="26" t="s">
        <v>1855</v>
      </c>
      <c r="J265" s="26" t="s">
        <v>2098</v>
      </c>
      <c r="K265" s="26"/>
      <c r="L265" s="26" t="s">
        <v>2104</v>
      </c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52" t="s">
        <v>575</v>
      </c>
      <c r="C266" s="53" t="s">
        <v>2095</v>
      </c>
      <c r="D266" s="53" t="s">
        <v>779</v>
      </c>
      <c r="E266" s="53" t="s">
        <v>2150</v>
      </c>
      <c r="F266" s="53" t="s">
        <v>779</v>
      </c>
      <c r="G266" s="53" t="s">
        <v>2097</v>
      </c>
      <c r="H266" s="54">
        <v>8.1487612134E8</v>
      </c>
      <c r="I266" s="26" t="s">
        <v>1855</v>
      </c>
      <c r="J266" s="26" t="s">
        <v>2098</v>
      </c>
      <c r="K266" s="26"/>
      <c r="L266" s="26" t="s">
        <v>2099</v>
      </c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52" t="s">
        <v>575</v>
      </c>
      <c r="C267" s="53" t="s">
        <v>2095</v>
      </c>
      <c r="D267" s="53" t="s">
        <v>779</v>
      </c>
      <c r="E267" s="53" t="s">
        <v>2151</v>
      </c>
      <c r="F267" s="53" t="s">
        <v>779</v>
      </c>
      <c r="G267" s="53" t="s">
        <v>2115</v>
      </c>
      <c r="H267" s="54">
        <v>1.970384864E8</v>
      </c>
      <c r="I267" s="26" t="s">
        <v>1855</v>
      </c>
      <c r="J267" s="26" t="s">
        <v>2098</v>
      </c>
      <c r="K267" s="26"/>
      <c r="L267" s="26" t="s">
        <v>2116</v>
      </c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52" t="s">
        <v>575</v>
      </c>
      <c r="C268" s="53" t="s">
        <v>2095</v>
      </c>
      <c r="D268" s="53" t="s">
        <v>779</v>
      </c>
      <c r="E268" s="53" t="s">
        <v>2152</v>
      </c>
      <c r="F268" s="53" t="s">
        <v>779</v>
      </c>
      <c r="G268" s="53" t="s">
        <v>2101</v>
      </c>
      <c r="H268" s="54">
        <v>1.2931928119E8</v>
      </c>
      <c r="I268" s="26" t="s">
        <v>1855</v>
      </c>
      <c r="J268" s="26" t="s">
        <v>2098</v>
      </c>
      <c r="K268" s="26"/>
      <c r="L268" s="26" t="s">
        <v>1860</v>
      </c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52" t="s">
        <v>575</v>
      </c>
      <c r="C269" s="53" t="s">
        <v>2095</v>
      </c>
      <c r="D269" s="53" t="s">
        <v>779</v>
      </c>
      <c r="E269" s="53" t="s">
        <v>2153</v>
      </c>
      <c r="F269" s="53" t="s">
        <v>779</v>
      </c>
      <c r="G269" s="53" t="s">
        <v>2103</v>
      </c>
      <c r="H269" s="54">
        <v>8.258272095E8</v>
      </c>
      <c r="I269" s="26" t="s">
        <v>1855</v>
      </c>
      <c r="J269" s="26" t="s">
        <v>2098</v>
      </c>
      <c r="K269" s="26"/>
      <c r="L269" s="26" t="s">
        <v>2104</v>
      </c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52" t="s">
        <v>575</v>
      </c>
      <c r="C270" s="53" t="s">
        <v>2095</v>
      </c>
      <c r="D270" s="53" t="s">
        <v>783</v>
      </c>
      <c r="E270" s="53" t="s">
        <v>2154</v>
      </c>
      <c r="F270" s="53" t="s">
        <v>783</v>
      </c>
      <c r="G270" s="53" t="s">
        <v>2097</v>
      </c>
      <c r="H270" s="54">
        <v>5.3483920434E8</v>
      </c>
      <c r="I270" s="26" t="s">
        <v>1855</v>
      </c>
      <c r="J270" s="26" t="s">
        <v>2098</v>
      </c>
      <c r="K270" s="26"/>
      <c r="L270" s="26" t="s">
        <v>2099</v>
      </c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52" t="s">
        <v>575</v>
      </c>
      <c r="C271" s="53" t="s">
        <v>2095</v>
      </c>
      <c r="D271" s="53" t="s">
        <v>783</v>
      </c>
      <c r="E271" s="53" t="s">
        <v>2155</v>
      </c>
      <c r="F271" s="53" t="s">
        <v>783</v>
      </c>
      <c r="G271" s="53" t="s">
        <v>2101</v>
      </c>
      <c r="H271" s="54">
        <v>9.386795346E7</v>
      </c>
      <c r="I271" s="26" t="s">
        <v>1855</v>
      </c>
      <c r="J271" s="26" t="s">
        <v>2098</v>
      </c>
      <c r="K271" s="26"/>
      <c r="L271" s="26" t="s">
        <v>1860</v>
      </c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52" t="s">
        <v>575</v>
      </c>
      <c r="C272" s="53" t="s">
        <v>2095</v>
      </c>
      <c r="D272" s="53" t="s">
        <v>783</v>
      </c>
      <c r="E272" s="53" t="s">
        <v>2156</v>
      </c>
      <c r="F272" s="53" t="s">
        <v>783</v>
      </c>
      <c r="G272" s="53" t="s">
        <v>2103</v>
      </c>
      <c r="H272" s="54">
        <v>4.3075889523E8</v>
      </c>
      <c r="I272" s="26" t="s">
        <v>1855</v>
      </c>
      <c r="J272" s="26" t="s">
        <v>2098</v>
      </c>
      <c r="K272" s="26"/>
      <c r="L272" s="26" t="s">
        <v>2104</v>
      </c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52" t="s">
        <v>575</v>
      </c>
      <c r="C273" s="53" t="s">
        <v>2095</v>
      </c>
      <c r="D273" s="53" t="s">
        <v>708</v>
      </c>
      <c r="E273" s="53" t="s">
        <v>2157</v>
      </c>
      <c r="F273" s="53" t="s">
        <v>708</v>
      </c>
      <c r="G273" s="53" t="s">
        <v>2097</v>
      </c>
      <c r="H273" s="54">
        <v>8.8285737134E8</v>
      </c>
      <c r="I273" s="26" t="s">
        <v>1855</v>
      </c>
      <c r="J273" s="26" t="s">
        <v>2098</v>
      </c>
      <c r="K273" s="26"/>
      <c r="L273" s="26" t="s">
        <v>2099</v>
      </c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52" t="s">
        <v>575</v>
      </c>
      <c r="C274" s="53" t="s">
        <v>2095</v>
      </c>
      <c r="D274" s="53" t="s">
        <v>708</v>
      </c>
      <c r="E274" s="53" t="s">
        <v>2158</v>
      </c>
      <c r="F274" s="53" t="s">
        <v>708</v>
      </c>
      <c r="G274" s="53" t="s">
        <v>2115</v>
      </c>
      <c r="H274" s="54">
        <v>4.2541875E7</v>
      </c>
      <c r="I274" s="26" t="s">
        <v>1855</v>
      </c>
      <c r="J274" s="26" t="s">
        <v>2098</v>
      </c>
      <c r="K274" s="26"/>
      <c r="L274" s="26" t="s">
        <v>2116</v>
      </c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52" t="s">
        <v>575</v>
      </c>
      <c r="C275" s="53" t="s">
        <v>2095</v>
      </c>
      <c r="D275" s="53" t="s">
        <v>708</v>
      </c>
      <c r="E275" s="53" t="s">
        <v>2159</v>
      </c>
      <c r="F275" s="53" t="s">
        <v>708</v>
      </c>
      <c r="G275" s="53" t="s">
        <v>2101</v>
      </c>
      <c r="H275" s="54">
        <v>9.347850742E7</v>
      </c>
      <c r="I275" s="26" t="s">
        <v>1855</v>
      </c>
      <c r="J275" s="26" t="s">
        <v>2098</v>
      </c>
      <c r="K275" s="26"/>
      <c r="L275" s="26" t="s">
        <v>1860</v>
      </c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52" t="s">
        <v>575</v>
      </c>
      <c r="C276" s="53" t="s">
        <v>2095</v>
      </c>
      <c r="D276" s="53" t="s">
        <v>708</v>
      </c>
      <c r="E276" s="53" t="s">
        <v>2160</v>
      </c>
      <c r="F276" s="53" t="s">
        <v>708</v>
      </c>
      <c r="G276" s="53" t="s">
        <v>2103</v>
      </c>
      <c r="H276" s="54">
        <v>1.19030931332E9</v>
      </c>
      <c r="I276" s="26" t="s">
        <v>1855</v>
      </c>
      <c r="J276" s="26" t="s">
        <v>2098</v>
      </c>
      <c r="K276" s="26"/>
      <c r="L276" s="26" t="s">
        <v>2104</v>
      </c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52" t="s">
        <v>575</v>
      </c>
      <c r="C277" s="53" t="s">
        <v>2095</v>
      </c>
      <c r="D277" s="53" t="s">
        <v>788</v>
      </c>
      <c r="E277" s="53" t="s">
        <v>2161</v>
      </c>
      <c r="F277" s="53" t="s">
        <v>788</v>
      </c>
      <c r="G277" s="53" t="s">
        <v>2097</v>
      </c>
      <c r="H277" s="54">
        <v>1.4636216329E8</v>
      </c>
      <c r="I277" s="26" t="s">
        <v>1855</v>
      </c>
      <c r="J277" s="26" t="s">
        <v>2098</v>
      </c>
      <c r="K277" s="26"/>
      <c r="L277" s="26" t="s">
        <v>2099</v>
      </c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52" t="s">
        <v>575</v>
      </c>
      <c r="C278" s="53" t="s">
        <v>2095</v>
      </c>
      <c r="D278" s="53" t="s">
        <v>788</v>
      </c>
      <c r="E278" s="53" t="s">
        <v>2162</v>
      </c>
      <c r="F278" s="53" t="s">
        <v>788</v>
      </c>
      <c r="G278" s="53" t="s">
        <v>2115</v>
      </c>
      <c r="H278" s="54">
        <v>1.981980495E7</v>
      </c>
      <c r="I278" s="26" t="s">
        <v>1855</v>
      </c>
      <c r="J278" s="26" t="s">
        <v>2098</v>
      </c>
      <c r="K278" s="26"/>
      <c r="L278" s="26" t="s">
        <v>2116</v>
      </c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52" t="s">
        <v>575</v>
      </c>
      <c r="C279" s="53" t="s">
        <v>2095</v>
      </c>
      <c r="D279" s="53" t="s">
        <v>788</v>
      </c>
      <c r="E279" s="53" t="s">
        <v>2163</v>
      </c>
      <c r="F279" s="53" t="s">
        <v>788</v>
      </c>
      <c r="G279" s="53" t="s">
        <v>2101</v>
      </c>
      <c r="H279" s="54">
        <v>1.824594972E7</v>
      </c>
      <c r="I279" s="26" t="s">
        <v>1855</v>
      </c>
      <c r="J279" s="26" t="s">
        <v>2098</v>
      </c>
      <c r="K279" s="26"/>
      <c r="L279" s="26" t="s">
        <v>1860</v>
      </c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52" t="s">
        <v>575</v>
      </c>
      <c r="C280" s="53" t="s">
        <v>2095</v>
      </c>
      <c r="D280" s="53" t="s">
        <v>788</v>
      </c>
      <c r="E280" s="53" t="s">
        <v>2164</v>
      </c>
      <c r="F280" s="53" t="s">
        <v>788</v>
      </c>
      <c r="G280" s="53" t="s">
        <v>2103</v>
      </c>
      <c r="H280" s="54">
        <v>1.6843889529E8</v>
      </c>
      <c r="I280" s="26" t="s">
        <v>1855</v>
      </c>
      <c r="J280" s="26" t="s">
        <v>2098</v>
      </c>
      <c r="K280" s="26"/>
      <c r="L280" s="26" t="s">
        <v>2104</v>
      </c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52" t="s">
        <v>575</v>
      </c>
      <c r="C281" s="53" t="s">
        <v>2095</v>
      </c>
      <c r="D281" s="53" t="s">
        <v>800</v>
      </c>
      <c r="E281" s="53" t="s">
        <v>2165</v>
      </c>
      <c r="F281" s="53" t="s">
        <v>800</v>
      </c>
      <c r="G281" s="53" t="s">
        <v>2097</v>
      </c>
      <c r="H281" s="54">
        <v>1.5946077696E8</v>
      </c>
      <c r="I281" s="26" t="s">
        <v>1855</v>
      </c>
      <c r="J281" s="26" t="s">
        <v>2098</v>
      </c>
      <c r="K281" s="26"/>
      <c r="L281" s="26" t="s">
        <v>2099</v>
      </c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52" t="s">
        <v>575</v>
      </c>
      <c r="C282" s="53" t="s">
        <v>2095</v>
      </c>
      <c r="D282" s="53" t="s">
        <v>800</v>
      </c>
      <c r="E282" s="53" t="s">
        <v>2166</v>
      </c>
      <c r="F282" s="53" t="s">
        <v>800</v>
      </c>
      <c r="G282" s="53" t="s">
        <v>2101</v>
      </c>
      <c r="H282" s="54">
        <v>4.057984912E7</v>
      </c>
      <c r="I282" s="26" t="s">
        <v>1855</v>
      </c>
      <c r="J282" s="26" t="s">
        <v>2098</v>
      </c>
      <c r="K282" s="26"/>
      <c r="L282" s="26" t="s">
        <v>1860</v>
      </c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52" t="s">
        <v>575</v>
      </c>
      <c r="C283" s="53" t="s">
        <v>2095</v>
      </c>
      <c r="D283" s="53" t="s">
        <v>800</v>
      </c>
      <c r="E283" s="53" t="s">
        <v>2167</v>
      </c>
      <c r="F283" s="53" t="s">
        <v>800</v>
      </c>
      <c r="G283" s="53" t="s">
        <v>2103</v>
      </c>
      <c r="H283" s="54">
        <v>1.41574477E8</v>
      </c>
      <c r="I283" s="26" t="s">
        <v>1855</v>
      </c>
      <c r="J283" s="26" t="s">
        <v>2098</v>
      </c>
      <c r="K283" s="26"/>
      <c r="L283" s="26" t="s">
        <v>2104</v>
      </c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52" t="s">
        <v>575</v>
      </c>
      <c r="C284" s="53" t="s">
        <v>2095</v>
      </c>
      <c r="D284" s="53" t="s">
        <v>953</v>
      </c>
      <c r="E284" s="53" t="s">
        <v>2168</v>
      </c>
      <c r="F284" s="53" t="s">
        <v>953</v>
      </c>
      <c r="G284" s="53" t="s">
        <v>2097</v>
      </c>
      <c r="H284" s="54">
        <v>6.673913688E7</v>
      </c>
      <c r="I284" s="26" t="s">
        <v>1855</v>
      </c>
      <c r="J284" s="26" t="s">
        <v>2098</v>
      </c>
      <c r="K284" s="26"/>
      <c r="L284" s="26" t="s">
        <v>2099</v>
      </c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52" t="s">
        <v>575</v>
      </c>
      <c r="C285" s="53" t="s">
        <v>2095</v>
      </c>
      <c r="D285" s="53" t="s">
        <v>953</v>
      </c>
      <c r="E285" s="53" t="s">
        <v>2169</v>
      </c>
      <c r="F285" s="53" t="s">
        <v>953</v>
      </c>
      <c r="G285" s="53" t="s">
        <v>2101</v>
      </c>
      <c r="H285" s="54">
        <v>8050027.38</v>
      </c>
      <c r="I285" s="26" t="s">
        <v>1855</v>
      </c>
      <c r="J285" s="26" t="s">
        <v>2098</v>
      </c>
      <c r="K285" s="26"/>
      <c r="L285" s="26" t="s">
        <v>1860</v>
      </c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52" t="s">
        <v>575</v>
      </c>
      <c r="C286" s="53" t="s">
        <v>2095</v>
      </c>
      <c r="D286" s="53" t="s">
        <v>953</v>
      </c>
      <c r="E286" s="53" t="s">
        <v>2170</v>
      </c>
      <c r="F286" s="53" t="s">
        <v>953</v>
      </c>
      <c r="G286" s="53" t="s">
        <v>2103</v>
      </c>
      <c r="H286" s="54">
        <v>6.489363576E7</v>
      </c>
      <c r="I286" s="26" t="s">
        <v>1855</v>
      </c>
      <c r="J286" s="26" t="s">
        <v>2098</v>
      </c>
      <c r="K286" s="26"/>
      <c r="L286" s="26" t="s">
        <v>2104</v>
      </c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52" t="s">
        <v>575</v>
      </c>
      <c r="C287" s="53" t="s">
        <v>2095</v>
      </c>
      <c r="D287" s="53" t="s">
        <v>812</v>
      </c>
      <c r="E287" s="53" t="s">
        <v>2171</v>
      </c>
      <c r="F287" s="53" t="s">
        <v>812</v>
      </c>
      <c r="G287" s="53" t="s">
        <v>2097</v>
      </c>
      <c r="H287" s="54">
        <v>3.827333626E7</v>
      </c>
      <c r="I287" s="26" t="s">
        <v>1855</v>
      </c>
      <c r="J287" s="26" t="s">
        <v>2098</v>
      </c>
      <c r="K287" s="26"/>
      <c r="L287" s="26" t="s">
        <v>2099</v>
      </c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52" t="s">
        <v>575</v>
      </c>
      <c r="C288" s="53" t="s">
        <v>2095</v>
      </c>
      <c r="D288" s="53" t="s">
        <v>812</v>
      </c>
      <c r="E288" s="53" t="s">
        <v>2172</v>
      </c>
      <c r="F288" s="53" t="s">
        <v>812</v>
      </c>
      <c r="G288" s="53" t="s">
        <v>2103</v>
      </c>
      <c r="H288" s="54">
        <v>3.897567279E7</v>
      </c>
      <c r="I288" s="26" t="s">
        <v>1855</v>
      </c>
      <c r="J288" s="26" t="s">
        <v>2098</v>
      </c>
      <c r="K288" s="26"/>
      <c r="L288" s="26" t="s">
        <v>2104</v>
      </c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52" t="s">
        <v>575</v>
      </c>
      <c r="C289" s="53" t="s">
        <v>2095</v>
      </c>
      <c r="D289" s="53" t="s">
        <v>814</v>
      </c>
      <c r="E289" s="53" t="s">
        <v>2173</v>
      </c>
      <c r="F289" s="53" t="s">
        <v>814</v>
      </c>
      <c r="G289" s="53" t="s">
        <v>2097</v>
      </c>
      <c r="H289" s="54">
        <v>2.7138789927E8</v>
      </c>
      <c r="I289" s="26" t="s">
        <v>1855</v>
      </c>
      <c r="J289" s="26" t="s">
        <v>2098</v>
      </c>
      <c r="K289" s="26"/>
      <c r="L289" s="26" t="s">
        <v>2099</v>
      </c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52" t="s">
        <v>575</v>
      </c>
      <c r="C290" s="53" t="s">
        <v>2095</v>
      </c>
      <c r="D290" s="53" t="s">
        <v>814</v>
      </c>
      <c r="E290" s="53" t="s">
        <v>2174</v>
      </c>
      <c r="F290" s="53" t="s">
        <v>814</v>
      </c>
      <c r="G290" s="53" t="s">
        <v>2115</v>
      </c>
      <c r="H290" s="54">
        <v>1.154769473E8</v>
      </c>
      <c r="I290" s="26" t="s">
        <v>1855</v>
      </c>
      <c r="J290" s="26" t="s">
        <v>2098</v>
      </c>
      <c r="K290" s="26"/>
      <c r="L290" s="26" t="s">
        <v>2116</v>
      </c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52" t="s">
        <v>575</v>
      </c>
      <c r="C291" s="53" t="s">
        <v>2095</v>
      </c>
      <c r="D291" s="53" t="s">
        <v>814</v>
      </c>
      <c r="E291" s="53" t="s">
        <v>2175</v>
      </c>
      <c r="F291" s="53" t="s">
        <v>814</v>
      </c>
      <c r="G291" s="53" t="s">
        <v>2101</v>
      </c>
      <c r="H291" s="54">
        <v>3.241158594E7</v>
      </c>
      <c r="I291" s="26" t="s">
        <v>1855</v>
      </c>
      <c r="J291" s="26" t="s">
        <v>2098</v>
      </c>
      <c r="K291" s="26"/>
      <c r="L291" s="26" t="s">
        <v>1860</v>
      </c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52" t="s">
        <v>575</v>
      </c>
      <c r="C292" s="53" t="s">
        <v>2095</v>
      </c>
      <c r="D292" s="53" t="s">
        <v>814</v>
      </c>
      <c r="E292" s="53" t="s">
        <v>2176</v>
      </c>
      <c r="F292" s="53" t="s">
        <v>814</v>
      </c>
      <c r="G292" s="53" t="s">
        <v>2103</v>
      </c>
      <c r="H292" s="54">
        <v>5.0598292475E8</v>
      </c>
      <c r="I292" s="26" t="s">
        <v>1855</v>
      </c>
      <c r="J292" s="26" t="s">
        <v>2098</v>
      </c>
      <c r="K292" s="26"/>
      <c r="L292" s="26" t="s">
        <v>2104</v>
      </c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52" t="s">
        <v>575</v>
      </c>
      <c r="C293" s="53" t="s">
        <v>2095</v>
      </c>
      <c r="D293" s="53" t="s">
        <v>816</v>
      </c>
      <c r="E293" s="53" t="s">
        <v>2177</v>
      </c>
      <c r="F293" s="53" t="s">
        <v>816</v>
      </c>
      <c r="G293" s="53" t="s">
        <v>2097</v>
      </c>
      <c r="H293" s="54">
        <v>8.809292544E7</v>
      </c>
      <c r="I293" s="26" t="s">
        <v>1855</v>
      </c>
      <c r="J293" s="26" t="s">
        <v>2098</v>
      </c>
      <c r="K293" s="26"/>
      <c r="L293" s="26" t="s">
        <v>2099</v>
      </c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52" t="s">
        <v>575</v>
      </c>
      <c r="C294" s="53" t="s">
        <v>2095</v>
      </c>
      <c r="D294" s="53" t="s">
        <v>816</v>
      </c>
      <c r="E294" s="53" t="s">
        <v>2178</v>
      </c>
      <c r="F294" s="53" t="s">
        <v>816</v>
      </c>
      <c r="G294" s="53" t="s">
        <v>2101</v>
      </c>
      <c r="H294" s="54">
        <v>3764658.6</v>
      </c>
      <c r="I294" s="26" t="s">
        <v>1855</v>
      </c>
      <c r="J294" s="26" t="s">
        <v>2098</v>
      </c>
      <c r="K294" s="26"/>
      <c r="L294" s="26" t="s">
        <v>1860</v>
      </c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52" t="s">
        <v>575</v>
      </c>
      <c r="C295" s="53" t="s">
        <v>2095</v>
      </c>
      <c r="D295" s="53" t="s">
        <v>816</v>
      </c>
      <c r="E295" s="53" t="s">
        <v>2179</v>
      </c>
      <c r="F295" s="53" t="s">
        <v>816</v>
      </c>
      <c r="G295" s="53" t="s">
        <v>2103</v>
      </c>
      <c r="H295" s="54">
        <v>8.30999235E7</v>
      </c>
      <c r="I295" s="26" t="s">
        <v>1855</v>
      </c>
      <c r="J295" s="26" t="s">
        <v>2098</v>
      </c>
      <c r="K295" s="26"/>
      <c r="L295" s="26" t="s">
        <v>2104</v>
      </c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52" t="s">
        <v>575</v>
      </c>
      <c r="C296" s="53" t="s">
        <v>2095</v>
      </c>
      <c r="D296" s="53" t="s">
        <v>826</v>
      </c>
      <c r="E296" s="53" t="s">
        <v>2180</v>
      </c>
      <c r="F296" s="53" t="s">
        <v>826</v>
      </c>
      <c r="G296" s="53" t="s">
        <v>2097</v>
      </c>
      <c r="H296" s="54">
        <v>1.33046251748E9</v>
      </c>
      <c r="I296" s="26" t="s">
        <v>1855</v>
      </c>
      <c r="J296" s="26" t="s">
        <v>2098</v>
      </c>
      <c r="K296" s="26"/>
      <c r="L296" s="26" t="s">
        <v>2099</v>
      </c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52" t="s">
        <v>575</v>
      </c>
      <c r="C297" s="53" t="s">
        <v>2095</v>
      </c>
      <c r="D297" s="53" t="s">
        <v>826</v>
      </c>
      <c r="E297" s="53" t="s">
        <v>2181</v>
      </c>
      <c r="F297" s="53" t="s">
        <v>826</v>
      </c>
      <c r="G297" s="53" t="s">
        <v>2101</v>
      </c>
      <c r="H297" s="54">
        <v>1.6404879348E8</v>
      </c>
      <c r="I297" s="26" t="s">
        <v>1855</v>
      </c>
      <c r="J297" s="26" t="s">
        <v>2098</v>
      </c>
      <c r="K297" s="26"/>
      <c r="L297" s="26" t="s">
        <v>1860</v>
      </c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52" t="s">
        <v>575</v>
      </c>
      <c r="C298" s="53" t="s">
        <v>2095</v>
      </c>
      <c r="D298" s="53" t="s">
        <v>826</v>
      </c>
      <c r="E298" s="53" t="s">
        <v>2182</v>
      </c>
      <c r="F298" s="53" t="s">
        <v>826</v>
      </c>
      <c r="G298" s="53" t="s">
        <v>2103</v>
      </c>
      <c r="H298" s="54">
        <v>1.18367098084E9</v>
      </c>
      <c r="I298" s="26" t="s">
        <v>1855</v>
      </c>
      <c r="J298" s="26" t="s">
        <v>2098</v>
      </c>
      <c r="K298" s="26"/>
      <c r="L298" s="26" t="s">
        <v>2104</v>
      </c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52" t="s">
        <v>575</v>
      </c>
      <c r="C299" s="53" t="s">
        <v>2095</v>
      </c>
      <c r="D299" s="53" t="s">
        <v>830</v>
      </c>
      <c r="E299" s="53" t="s">
        <v>2183</v>
      </c>
      <c r="F299" s="53" t="s">
        <v>830</v>
      </c>
      <c r="G299" s="53" t="s">
        <v>2097</v>
      </c>
      <c r="H299" s="54">
        <v>6.8108346786E8</v>
      </c>
      <c r="I299" s="26" t="s">
        <v>1855</v>
      </c>
      <c r="J299" s="26" t="s">
        <v>2098</v>
      </c>
      <c r="K299" s="26"/>
      <c r="L299" s="26" t="s">
        <v>2099</v>
      </c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52" t="s">
        <v>575</v>
      </c>
      <c r="C300" s="53" t="s">
        <v>2095</v>
      </c>
      <c r="D300" s="53" t="s">
        <v>830</v>
      </c>
      <c r="E300" s="53" t="s">
        <v>2184</v>
      </c>
      <c r="F300" s="53" t="s">
        <v>830</v>
      </c>
      <c r="G300" s="53" t="s">
        <v>2101</v>
      </c>
      <c r="H300" s="54">
        <v>1.3496484366E8</v>
      </c>
      <c r="I300" s="26" t="s">
        <v>1855</v>
      </c>
      <c r="J300" s="26" t="s">
        <v>2098</v>
      </c>
      <c r="K300" s="26"/>
      <c r="L300" s="26" t="s">
        <v>1860</v>
      </c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52" t="s">
        <v>575</v>
      </c>
      <c r="C301" s="53" t="s">
        <v>2095</v>
      </c>
      <c r="D301" s="53" t="s">
        <v>830</v>
      </c>
      <c r="E301" s="53" t="s">
        <v>2185</v>
      </c>
      <c r="F301" s="53" t="s">
        <v>830</v>
      </c>
      <c r="G301" s="53" t="s">
        <v>2103</v>
      </c>
      <c r="H301" s="54">
        <v>8.7202106104E8</v>
      </c>
      <c r="I301" s="26" t="s">
        <v>1855</v>
      </c>
      <c r="J301" s="26" t="s">
        <v>2098</v>
      </c>
      <c r="K301" s="26"/>
      <c r="L301" s="26" t="s">
        <v>2104</v>
      </c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52" t="s">
        <v>575</v>
      </c>
      <c r="C302" s="53" t="s">
        <v>2095</v>
      </c>
      <c r="D302" s="53" t="s">
        <v>834</v>
      </c>
      <c r="E302" s="53" t="s">
        <v>2186</v>
      </c>
      <c r="F302" s="53" t="s">
        <v>834</v>
      </c>
      <c r="G302" s="53" t="s">
        <v>2097</v>
      </c>
      <c r="H302" s="54">
        <v>2395453.44</v>
      </c>
      <c r="I302" s="26" t="s">
        <v>1855</v>
      </c>
      <c r="J302" s="26" t="s">
        <v>2098</v>
      </c>
      <c r="K302" s="26"/>
      <c r="L302" s="26" t="s">
        <v>2099</v>
      </c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52" t="s">
        <v>575</v>
      </c>
      <c r="C303" s="53" t="s">
        <v>2095</v>
      </c>
      <c r="D303" s="53" t="s">
        <v>836</v>
      </c>
      <c r="E303" s="53" t="s">
        <v>2187</v>
      </c>
      <c r="F303" s="53" t="s">
        <v>836</v>
      </c>
      <c r="G303" s="53" t="s">
        <v>2097</v>
      </c>
      <c r="H303" s="54">
        <v>3.602243241E7</v>
      </c>
      <c r="I303" s="26" t="s">
        <v>1855</v>
      </c>
      <c r="J303" s="26" t="s">
        <v>2098</v>
      </c>
      <c r="K303" s="26"/>
      <c r="L303" s="26" t="s">
        <v>2099</v>
      </c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52" t="s">
        <v>575</v>
      </c>
      <c r="C304" s="53" t="s">
        <v>2095</v>
      </c>
      <c r="D304" s="53" t="s">
        <v>836</v>
      </c>
      <c r="E304" s="53" t="s">
        <v>2188</v>
      </c>
      <c r="F304" s="53" t="s">
        <v>836</v>
      </c>
      <c r="G304" s="53" t="s">
        <v>2101</v>
      </c>
      <c r="H304" s="54">
        <v>8093177.7</v>
      </c>
      <c r="I304" s="26" t="s">
        <v>1855</v>
      </c>
      <c r="J304" s="26" t="s">
        <v>2098</v>
      </c>
      <c r="K304" s="26"/>
      <c r="L304" s="26" t="s">
        <v>1860</v>
      </c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52" t="s">
        <v>575</v>
      </c>
      <c r="C305" s="53" t="s">
        <v>2095</v>
      </c>
      <c r="D305" s="53" t="s">
        <v>836</v>
      </c>
      <c r="E305" s="53" t="s">
        <v>2189</v>
      </c>
      <c r="F305" s="53" t="s">
        <v>836</v>
      </c>
      <c r="G305" s="53" t="s">
        <v>2103</v>
      </c>
      <c r="H305" s="54">
        <v>6.75230602E7</v>
      </c>
      <c r="I305" s="26" t="s">
        <v>1855</v>
      </c>
      <c r="J305" s="26" t="s">
        <v>2098</v>
      </c>
      <c r="K305" s="26"/>
      <c r="L305" s="26" t="s">
        <v>2104</v>
      </c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52" t="s">
        <v>575</v>
      </c>
      <c r="C306" s="53" t="s">
        <v>2095</v>
      </c>
      <c r="D306" s="53" t="s">
        <v>1054</v>
      </c>
      <c r="E306" s="53" t="s">
        <v>2190</v>
      </c>
      <c r="F306" s="53" t="s">
        <v>1054</v>
      </c>
      <c r="G306" s="53" t="s">
        <v>2097</v>
      </c>
      <c r="H306" s="54">
        <v>8.0059191782E8</v>
      </c>
      <c r="I306" s="26" t="s">
        <v>1855</v>
      </c>
      <c r="J306" s="26" t="s">
        <v>2098</v>
      </c>
      <c r="K306" s="26"/>
      <c r="L306" s="26" t="s">
        <v>2099</v>
      </c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52" t="s">
        <v>575</v>
      </c>
      <c r="C307" s="53" t="s">
        <v>2095</v>
      </c>
      <c r="D307" s="53" t="s">
        <v>1054</v>
      </c>
      <c r="E307" s="53" t="s">
        <v>2191</v>
      </c>
      <c r="F307" s="53" t="s">
        <v>1054</v>
      </c>
      <c r="G307" s="53" t="s">
        <v>2101</v>
      </c>
      <c r="H307" s="54">
        <v>3.4860108634E8</v>
      </c>
      <c r="I307" s="26" t="s">
        <v>1855</v>
      </c>
      <c r="J307" s="26" t="s">
        <v>2098</v>
      </c>
      <c r="K307" s="26"/>
      <c r="L307" s="26" t="s">
        <v>1860</v>
      </c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52" t="s">
        <v>575</v>
      </c>
      <c r="C308" s="53" t="s">
        <v>2095</v>
      </c>
      <c r="D308" s="53" t="s">
        <v>1054</v>
      </c>
      <c r="E308" s="53" t="s">
        <v>2192</v>
      </c>
      <c r="F308" s="53" t="s">
        <v>1054</v>
      </c>
      <c r="G308" s="53" t="s">
        <v>2103</v>
      </c>
      <c r="H308" s="54">
        <v>6.527531648E8</v>
      </c>
      <c r="I308" s="26" t="s">
        <v>1855</v>
      </c>
      <c r="J308" s="26" t="s">
        <v>2098</v>
      </c>
      <c r="K308" s="26"/>
      <c r="L308" s="26" t="s">
        <v>2104</v>
      </c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52" t="s">
        <v>575</v>
      </c>
      <c r="C309" s="53" t="s">
        <v>2095</v>
      </c>
      <c r="D309" s="53" t="s">
        <v>710</v>
      </c>
      <c r="E309" s="53" t="s">
        <v>2193</v>
      </c>
      <c r="F309" s="53" t="s">
        <v>710</v>
      </c>
      <c r="G309" s="53" t="s">
        <v>2097</v>
      </c>
      <c r="H309" s="54">
        <v>6.051092004E8</v>
      </c>
      <c r="I309" s="26" t="s">
        <v>1855</v>
      </c>
      <c r="J309" s="26" t="s">
        <v>2098</v>
      </c>
      <c r="K309" s="26"/>
      <c r="L309" s="26" t="s">
        <v>2099</v>
      </c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52" t="s">
        <v>575</v>
      </c>
      <c r="C310" s="53" t="s">
        <v>2095</v>
      </c>
      <c r="D310" s="53" t="s">
        <v>710</v>
      </c>
      <c r="E310" s="53" t="s">
        <v>2194</v>
      </c>
      <c r="F310" s="53" t="s">
        <v>710</v>
      </c>
      <c r="G310" s="53" t="s">
        <v>2101</v>
      </c>
      <c r="H310" s="54">
        <v>1.1678124263E8</v>
      </c>
      <c r="I310" s="26" t="s">
        <v>1855</v>
      </c>
      <c r="J310" s="26" t="s">
        <v>2098</v>
      </c>
      <c r="K310" s="26"/>
      <c r="L310" s="26" t="s">
        <v>1860</v>
      </c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52" t="s">
        <v>575</v>
      </c>
      <c r="C311" s="53" t="s">
        <v>2095</v>
      </c>
      <c r="D311" s="53" t="s">
        <v>710</v>
      </c>
      <c r="E311" s="53" t="s">
        <v>2195</v>
      </c>
      <c r="F311" s="53" t="s">
        <v>710</v>
      </c>
      <c r="G311" s="53" t="s">
        <v>2103</v>
      </c>
      <c r="H311" s="54">
        <v>5.909114527E8</v>
      </c>
      <c r="I311" s="26" t="s">
        <v>1855</v>
      </c>
      <c r="J311" s="26" t="s">
        <v>2098</v>
      </c>
      <c r="K311" s="26"/>
      <c r="L311" s="26" t="s">
        <v>2104</v>
      </c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52" t="s">
        <v>575</v>
      </c>
      <c r="C312" s="53" t="s">
        <v>2095</v>
      </c>
      <c r="D312" s="53" t="s">
        <v>1139</v>
      </c>
      <c r="E312" s="53" t="s">
        <v>2196</v>
      </c>
      <c r="F312" s="53" t="s">
        <v>1139</v>
      </c>
      <c r="G312" s="53" t="s">
        <v>2097</v>
      </c>
      <c r="H312" s="54">
        <v>1.975458943E9</v>
      </c>
      <c r="I312" s="26" t="s">
        <v>1855</v>
      </c>
      <c r="J312" s="26" t="s">
        <v>2098</v>
      </c>
      <c r="K312" s="26"/>
      <c r="L312" s="26" t="s">
        <v>2099</v>
      </c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52" t="s">
        <v>575</v>
      </c>
      <c r="C313" s="53" t="s">
        <v>2095</v>
      </c>
      <c r="D313" s="53" t="s">
        <v>1139</v>
      </c>
      <c r="E313" s="53" t="s">
        <v>2197</v>
      </c>
      <c r="F313" s="53" t="s">
        <v>1139</v>
      </c>
      <c r="G313" s="53" t="s">
        <v>2115</v>
      </c>
      <c r="H313" s="54">
        <v>6.7607546764E8</v>
      </c>
      <c r="I313" s="26" t="s">
        <v>1855</v>
      </c>
      <c r="J313" s="26" t="s">
        <v>2098</v>
      </c>
      <c r="K313" s="26"/>
      <c r="L313" s="26" t="s">
        <v>2116</v>
      </c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52" t="s">
        <v>575</v>
      </c>
      <c r="C314" s="53" t="s">
        <v>2095</v>
      </c>
      <c r="D314" s="53" t="s">
        <v>1139</v>
      </c>
      <c r="E314" s="53" t="s">
        <v>2198</v>
      </c>
      <c r="F314" s="53" t="s">
        <v>1139</v>
      </c>
      <c r="G314" s="53" t="s">
        <v>2101</v>
      </c>
      <c r="H314" s="54">
        <v>7.7828760576E8</v>
      </c>
      <c r="I314" s="26" t="s">
        <v>1855</v>
      </c>
      <c r="J314" s="26" t="s">
        <v>2098</v>
      </c>
      <c r="K314" s="26"/>
      <c r="L314" s="26" t="s">
        <v>1860</v>
      </c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52" t="s">
        <v>575</v>
      </c>
      <c r="C315" s="53" t="s">
        <v>2095</v>
      </c>
      <c r="D315" s="53" t="s">
        <v>1139</v>
      </c>
      <c r="E315" s="53" t="s">
        <v>2199</v>
      </c>
      <c r="F315" s="53" t="s">
        <v>1139</v>
      </c>
      <c r="G315" s="53" t="s">
        <v>2103</v>
      </c>
      <c r="H315" s="54">
        <v>1.81534202838E9</v>
      </c>
      <c r="I315" s="26" t="s">
        <v>1855</v>
      </c>
      <c r="J315" s="26" t="s">
        <v>2098</v>
      </c>
      <c r="K315" s="26"/>
      <c r="L315" s="26" t="s">
        <v>2104</v>
      </c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52" t="s">
        <v>575</v>
      </c>
      <c r="C316" s="53" t="s">
        <v>2095</v>
      </c>
      <c r="D316" s="53" t="s">
        <v>842</v>
      </c>
      <c r="E316" s="53" t="s">
        <v>2200</v>
      </c>
      <c r="F316" s="53" t="s">
        <v>842</v>
      </c>
      <c r="G316" s="53" t="s">
        <v>2097</v>
      </c>
      <c r="H316" s="54">
        <v>1.0432297945E8</v>
      </c>
      <c r="I316" s="26" t="s">
        <v>1855</v>
      </c>
      <c r="J316" s="26" t="s">
        <v>2098</v>
      </c>
      <c r="K316" s="26"/>
      <c r="L316" s="26" t="s">
        <v>2099</v>
      </c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52" t="s">
        <v>575</v>
      </c>
      <c r="C317" s="53" t="s">
        <v>2095</v>
      </c>
      <c r="D317" s="53" t="s">
        <v>842</v>
      </c>
      <c r="E317" s="53" t="s">
        <v>2201</v>
      </c>
      <c r="F317" s="53" t="s">
        <v>842</v>
      </c>
      <c r="G317" s="53" t="s">
        <v>2101</v>
      </c>
      <c r="H317" s="54">
        <v>9691582.68</v>
      </c>
      <c r="I317" s="26" t="s">
        <v>1855</v>
      </c>
      <c r="J317" s="26" t="s">
        <v>2098</v>
      </c>
      <c r="K317" s="26"/>
      <c r="L317" s="26" t="s">
        <v>1860</v>
      </c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52" t="s">
        <v>575</v>
      </c>
      <c r="C318" s="53" t="s">
        <v>2095</v>
      </c>
      <c r="D318" s="53" t="s">
        <v>842</v>
      </c>
      <c r="E318" s="53" t="s">
        <v>2202</v>
      </c>
      <c r="F318" s="53" t="s">
        <v>842</v>
      </c>
      <c r="G318" s="53" t="s">
        <v>2103</v>
      </c>
      <c r="H318" s="54">
        <v>6.158093427E7</v>
      </c>
      <c r="I318" s="26" t="s">
        <v>1855</v>
      </c>
      <c r="J318" s="26" t="s">
        <v>2098</v>
      </c>
      <c r="K318" s="26"/>
      <c r="L318" s="26" t="s">
        <v>2104</v>
      </c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52" t="s">
        <v>575</v>
      </c>
      <c r="C319" s="53" t="s">
        <v>2095</v>
      </c>
      <c r="D319" s="53" t="s">
        <v>850</v>
      </c>
      <c r="E319" s="53" t="s">
        <v>2203</v>
      </c>
      <c r="F319" s="53" t="s">
        <v>850</v>
      </c>
      <c r="G319" s="53" t="s">
        <v>2097</v>
      </c>
      <c r="H319" s="54">
        <v>6.440401E7</v>
      </c>
      <c r="I319" s="26" t="s">
        <v>1855</v>
      </c>
      <c r="J319" s="26" t="s">
        <v>2098</v>
      </c>
      <c r="K319" s="26"/>
      <c r="L319" s="26" t="s">
        <v>2099</v>
      </c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52" t="s">
        <v>575</v>
      </c>
      <c r="C320" s="53" t="s">
        <v>2095</v>
      </c>
      <c r="D320" s="53" t="s">
        <v>850</v>
      </c>
      <c r="E320" s="53" t="s">
        <v>2204</v>
      </c>
      <c r="F320" s="53" t="s">
        <v>850</v>
      </c>
      <c r="G320" s="53" t="s">
        <v>2101</v>
      </c>
      <c r="H320" s="54">
        <v>3.67952898E7</v>
      </c>
      <c r="I320" s="26" t="s">
        <v>1855</v>
      </c>
      <c r="J320" s="26" t="s">
        <v>2098</v>
      </c>
      <c r="K320" s="26"/>
      <c r="L320" s="26" t="s">
        <v>1860</v>
      </c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52" t="s">
        <v>575</v>
      </c>
      <c r="C321" s="53" t="s">
        <v>2095</v>
      </c>
      <c r="D321" s="53" t="s">
        <v>850</v>
      </c>
      <c r="E321" s="53" t="s">
        <v>2205</v>
      </c>
      <c r="F321" s="53" t="s">
        <v>850</v>
      </c>
      <c r="G321" s="53" t="s">
        <v>2103</v>
      </c>
      <c r="H321" s="54">
        <v>7.720345896E7</v>
      </c>
      <c r="I321" s="26" t="s">
        <v>1855</v>
      </c>
      <c r="J321" s="26" t="s">
        <v>2098</v>
      </c>
      <c r="K321" s="26"/>
      <c r="L321" s="26" t="s">
        <v>2104</v>
      </c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52" t="s">
        <v>575</v>
      </c>
      <c r="C322" s="53" t="s">
        <v>2095</v>
      </c>
      <c r="D322" s="53" t="s">
        <v>866</v>
      </c>
      <c r="E322" s="53" t="s">
        <v>2206</v>
      </c>
      <c r="F322" s="53" t="s">
        <v>866</v>
      </c>
      <c r="G322" s="53" t="s">
        <v>2097</v>
      </c>
      <c r="H322" s="54">
        <v>6.820478976E7</v>
      </c>
      <c r="I322" s="26" t="s">
        <v>1855</v>
      </c>
      <c r="J322" s="26" t="s">
        <v>2098</v>
      </c>
      <c r="K322" s="26"/>
      <c r="L322" s="26" t="s">
        <v>2099</v>
      </c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52" t="s">
        <v>575</v>
      </c>
      <c r="C323" s="53" t="s">
        <v>2095</v>
      </c>
      <c r="D323" s="53" t="s">
        <v>866</v>
      </c>
      <c r="E323" s="53" t="s">
        <v>2207</v>
      </c>
      <c r="F323" s="53" t="s">
        <v>866</v>
      </c>
      <c r="G323" s="53" t="s">
        <v>2101</v>
      </c>
      <c r="H323" s="54">
        <v>3115655.52</v>
      </c>
      <c r="I323" s="26" t="s">
        <v>1855</v>
      </c>
      <c r="J323" s="26" t="s">
        <v>2098</v>
      </c>
      <c r="K323" s="26"/>
      <c r="L323" s="26" t="s">
        <v>1860</v>
      </c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52" t="s">
        <v>575</v>
      </c>
      <c r="C324" s="53" t="s">
        <v>2095</v>
      </c>
      <c r="D324" s="53" t="s">
        <v>866</v>
      </c>
      <c r="E324" s="53" t="s">
        <v>2208</v>
      </c>
      <c r="F324" s="53" t="s">
        <v>866</v>
      </c>
      <c r="G324" s="53" t="s">
        <v>2103</v>
      </c>
      <c r="H324" s="54">
        <v>9.393998075E7</v>
      </c>
      <c r="I324" s="26" t="s">
        <v>1855</v>
      </c>
      <c r="J324" s="26" t="s">
        <v>2098</v>
      </c>
      <c r="K324" s="26"/>
      <c r="L324" s="26" t="s">
        <v>2104</v>
      </c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52" t="s">
        <v>575</v>
      </c>
      <c r="C325" s="53" t="s">
        <v>2095</v>
      </c>
      <c r="D325" s="53" t="s">
        <v>701</v>
      </c>
      <c r="E325" s="53" t="s">
        <v>2209</v>
      </c>
      <c r="F325" s="53" t="s">
        <v>701</v>
      </c>
      <c r="G325" s="53" t="s">
        <v>2097</v>
      </c>
      <c r="H325" s="54">
        <v>3.5896877802E9</v>
      </c>
      <c r="I325" s="26" t="s">
        <v>1855</v>
      </c>
      <c r="J325" s="26" t="s">
        <v>2098</v>
      </c>
      <c r="K325" s="26"/>
      <c r="L325" s="26" t="s">
        <v>2099</v>
      </c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52" t="s">
        <v>575</v>
      </c>
      <c r="C326" s="53" t="s">
        <v>2095</v>
      </c>
      <c r="D326" s="53" t="s">
        <v>701</v>
      </c>
      <c r="E326" s="53" t="s">
        <v>2210</v>
      </c>
      <c r="F326" s="53" t="s">
        <v>701</v>
      </c>
      <c r="G326" s="53" t="s">
        <v>2115</v>
      </c>
      <c r="H326" s="54">
        <v>9.3345724665E8</v>
      </c>
      <c r="I326" s="26" t="s">
        <v>1855</v>
      </c>
      <c r="J326" s="26" t="s">
        <v>2098</v>
      </c>
      <c r="K326" s="26"/>
      <c r="L326" s="26" t="s">
        <v>2116</v>
      </c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52" t="s">
        <v>575</v>
      </c>
      <c r="C327" s="53" t="s">
        <v>2095</v>
      </c>
      <c r="D327" s="53" t="s">
        <v>701</v>
      </c>
      <c r="E327" s="53" t="s">
        <v>2211</v>
      </c>
      <c r="F327" s="53" t="s">
        <v>701</v>
      </c>
      <c r="G327" s="53" t="s">
        <v>2101</v>
      </c>
      <c r="H327" s="54">
        <v>1.39286426853E9</v>
      </c>
      <c r="I327" s="26" t="s">
        <v>1855</v>
      </c>
      <c r="J327" s="26" t="s">
        <v>2098</v>
      </c>
      <c r="K327" s="26"/>
      <c r="L327" s="26" t="s">
        <v>1860</v>
      </c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52" t="s">
        <v>575</v>
      </c>
      <c r="C328" s="53" t="s">
        <v>2095</v>
      </c>
      <c r="D328" s="53" t="s">
        <v>701</v>
      </c>
      <c r="E328" s="53" t="s">
        <v>2212</v>
      </c>
      <c r="F328" s="53" t="s">
        <v>701</v>
      </c>
      <c r="G328" s="53" t="s">
        <v>2103</v>
      </c>
      <c r="H328" s="54">
        <v>3.77284842816E9</v>
      </c>
      <c r="I328" s="26" t="s">
        <v>1855</v>
      </c>
      <c r="J328" s="26" t="s">
        <v>2098</v>
      </c>
      <c r="K328" s="26"/>
      <c r="L328" s="26" t="s">
        <v>2104</v>
      </c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52" t="s">
        <v>575</v>
      </c>
      <c r="C329" s="53" t="s">
        <v>2095</v>
      </c>
      <c r="D329" s="53" t="s">
        <v>870</v>
      </c>
      <c r="E329" s="53" t="s">
        <v>2213</v>
      </c>
      <c r="F329" s="53" t="s">
        <v>848</v>
      </c>
      <c r="G329" s="53" t="s">
        <v>2097</v>
      </c>
      <c r="H329" s="54">
        <v>2.178849792E7</v>
      </c>
      <c r="I329" s="26" t="s">
        <v>1855</v>
      </c>
      <c r="J329" s="26" t="s">
        <v>2098</v>
      </c>
      <c r="K329" s="26"/>
      <c r="L329" s="26" t="s">
        <v>2099</v>
      </c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52" t="s">
        <v>575</v>
      </c>
      <c r="C330" s="53" t="s">
        <v>2095</v>
      </c>
      <c r="D330" s="53" t="s">
        <v>870</v>
      </c>
      <c r="E330" s="53" t="s">
        <v>2214</v>
      </c>
      <c r="F330" s="53" t="s">
        <v>848</v>
      </c>
      <c r="G330" s="53" t="s">
        <v>2103</v>
      </c>
      <c r="H330" s="54">
        <v>5.0973098E7</v>
      </c>
      <c r="I330" s="26" t="s">
        <v>1855</v>
      </c>
      <c r="J330" s="26" t="s">
        <v>2098</v>
      </c>
      <c r="K330" s="26"/>
      <c r="L330" s="26" t="s">
        <v>2104</v>
      </c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52" t="s">
        <v>575</v>
      </c>
      <c r="C331" s="53" t="s">
        <v>2095</v>
      </c>
      <c r="D331" s="53" t="s">
        <v>1040</v>
      </c>
      <c r="E331" s="53" t="s">
        <v>2215</v>
      </c>
      <c r="F331" s="53" t="s">
        <v>1040</v>
      </c>
      <c r="G331" s="53" t="s">
        <v>2097</v>
      </c>
      <c r="H331" s="54">
        <v>8.498283192E7</v>
      </c>
      <c r="I331" s="26" t="s">
        <v>1855</v>
      </c>
      <c r="J331" s="26" t="s">
        <v>2098</v>
      </c>
      <c r="K331" s="26"/>
      <c r="L331" s="26" t="s">
        <v>2099</v>
      </c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52" t="s">
        <v>575</v>
      </c>
      <c r="C332" s="53" t="s">
        <v>2095</v>
      </c>
      <c r="D332" s="53" t="s">
        <v>1040</v>
      </c>
      <c r="E332" s="53" t="s">
        <v>2216</v>
      </c>
      <c r="F332" s="53" t="s">
        <v>1040</v>
      </c>
      <c r="G332" s="53" t="s">
        <v>2101</v>
      </c>
      <c r="H332" s="54">
        <v>2.909592045E7</v>
      </c>
      <c r="I332" s="26" t="s">
        <v>1855</v>
      </c>
      <c r="J332" s="26" t="s">
        <v>2098</v>
      </c>
      <c r="K332" s="26"/>
      <c r="L332" s="26" t="s">
        <v>1860</v>
      </c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52" t="s">
        <v>575</v>
      </c>
      <c r="C333" s="53" t="s">
        <v>2095</v>
      </c>
      <c r="D333" s="53" t="s">
        <v>1040</v>
      </c>
      <c r="E333" s="53" t="s">
        <v>2217</v>
      </c>
      <c r="F333" s="53" t="s">
        <v>1040</v>
      </c>
      <c r="G333" s="53" t="s">
        <v>2103</v>
      </c>
      <c r="H333" s="54">
        <v>1.3430505145E8</v>
      </c>
      <c r="I333" s="26" t="s">
        <v>1855</v>
      </c>
      <c r="J333" s="26" t="s">
        <v>2098</v>
      </c>
      <c r="K333" s="26"/>
      <c r="L333" s="26" t="s">
        <v>2104</v>
      </c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52" t="s">
        <v>575</v>
      </c>
      <c r="C334" s="53" t="s">
        <v>2095</v>
      </c>
      <c r="D334" s="53" t="s">
        <v>876</v>
      </c>
      <c r="E334" s="53" t="s">
        <v>2218</v>
      </c>
      <c r="F334" s="53" t="s">
        <v>876</v>
      </c>
      <c r="G334" s="53" t="s">
        <v>2097</v>
      </c>
      <c r="H334" s="54">
        <v>7.2010239017E8</v>
      </c>
      <c r="I334" s="26" t="s">
        <v>1855</v>
      </c>
      <c r="J334" s="26" t="s">
        <v>2098</v>
      </c>
      <c r="K334" s="26"/>
      <c r="L334" s="26" t="s">
        <v>2099</v>
      </c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52" t="s">
        <v>575</v>
      </c>
      <c r="C335" s="53" t="s">
        <v>2095</v>
      </c>
      <c r="D335" s="53" t="s">
        <v>876</v>
      </c>
      <c r="E335" s="53" t="s">
        <v>2219</v>
      </c>
      <c r="F335" s="53" t="s">
        <v>876</v>
      </c>
      <c r="G335" s="53" t="s">
        <v>2115</v>
      </c>
      <c r="H335" s="54">
        <v>4.0438240436E8</v>
      </c>
      <c r="I335" s="26" t="s">
        <v>1855</v>
      </c>
      <c r="J335" s="26" t="s">
        <v>2098</v>
      </c>
      <c r="K335" s="26"/>
      <c r="L335" s="26" t="s">
        <v>2116</v>
      </c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52" t="s">
        <v>575</v>
      </c>
      <c r="C336" s="53" t="s">
        <v>2095</v>
      </c>
      <c r="D336" s="53" t="s">
        <v>876</v>
      </c>
      <c r="E336" s="53" t="s">
        <v>2220</v>
      </c>
      <c r="F336" s="53" t="s">
        <v>876</v>
      </c>
      <c r="G336" s="53" t="s">
        <v>2101</v>
      </c>
      <c r="H336" s="54">
        <v>1.1572255182E8</v>
      </c>
      <c r="I336" s="26" t="s">
        <v>1855</v>
      </c>
      <c r="J336" s="26" t="s">
        <v>2098</v>
      </c>
      <c r="K336" s="26"/>
      <c r="L336" s="26" t="s">
        <v>1860</v>
      </c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52" t="s">
        <v>575</v>
      </c>
      <c r="C337" s="53" t="s">
        <v>2095</v>
      </c>
      <c r="D337" s="53" t="s">
        <v>876</v>
      </c>
      <c r="E337" s="53" t="s">
        <v>2221</v>
      </c>
      <c r="F337" s="53" t="s">
        <v>876</v>
      </c>
      <c r="G337" s="53" t="s">
        <v>2103</v>
      </c>
      <c r="H337" s="54">
        <v>1.14110131831E9</v>
      </c>
      <c r="I337" s="26" t="s">
        <v>1855</v>
      </c>
      <c r="J337" s="26" t="s">
        <v>2098</v>
      </c>
      <c r="K337" s="26"/>
      <c r="L337" s="26" t="s">
        <v>2104</v>
      </c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52" t="s">
        <v>575</v>
      </c>
      <c r="C338" s="53" t="s">
        <v>2095</v>
      </c>
      <c r="D338" s="53" t="s">
        <v>886</v>
      </c>
      <c r="E338" s="53" t="s">
        <v>2222</v>
      </c>
      <c r="F338" s="53" t="s">
        <v>886</v>
      </c>
      <c r="G338" s="53" t="s">
        <v>2097</v>
      </c>
      <c r="H338" s="54">
        <v>3.118180608E7</v>
      </c>
      <c r="I338" s="26" t="s">
        <v>1855</v>
      </c>
      <c r="J338" s="26" t="s">
        <v>2098</v>
      </c>
      <c r="K338" s="26"/>
      <c r="L338" s="26" t="s">
        <v>2099</v>
      </c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52" t="s">
        <v>575</v>
      </c>
      <c r="C339" s="53" t="s">
        <v>2095</v>
      </c>
      <c r="D339" s="53" t="s">
        <v>886</v>
      </c>
      <c r="E339" s="53" t="s">
        <v>2223</v>
      </c>
      <c r="F339" s="53" t="s">
        <v>886</v>
      </c>
      <c r="G339" s="53" t="s">
        <v>2101</v>
      </c>
      <c r="H339" s="54">
        <v>5387364.48</v>
      </c>
      <c r="I339" s="26" t="s">
        <v>1855</v>
      </c>
      <c r="J339" s="26" t="s">
        <v>2098</v>
      </c>
      <c r="K339" s="26"/>
      <c r="L339" s="26" t="s">
        <v>1860</v>
      </c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52" t="s">
        <v>575</v>
      </c>
      <c r="C340" s="53" t="s">
        <v>2095</v>
      </c>
      <c r="D340" s="53" t="s">
        <v>886</v>
      </c>
      <c r="E340" s="53" t="s">
        <v>2224</v>
      </c>
      <c r="F340" s="53" t="s">
        <v>886</v>
      </c>
      <c r="G340" s="53" t="s">
        <v>2103</v>
      </c>
      <c r="H340" s="54">
        <v>4.548204925E7</v>
      </c>
      <c r="I340" s="26" t="s">
        <v>1855</v>
      </c>
      <c r="J340" s="26" t="s">
        <v>2098</v>
      </c>
      <c r="K340" s="26"/>
      <c r="L340" s="26" t="s">
        <v>2104</v>
      </c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52" t="s">
        <v>575</v>
      </c>
      <c r="C341" s="53" t="s">
        <v>2095</v>
      </c>
      <c r="D341" s="53" t="s">
        <v>894</v>
      </c>
      <c r="E341" s="53" t="s">
        <v>2225</v>
      </c>
      <c r="F341" s="53" t="s">
        <v>894</v>
      </c>
      <c r="G341" s="53" t="s">
        <v>2097</v>
      </c>
      <c r="H341" s="54">
        <v>2.864481792E7</v>
      </c>
      <c r="I341" s="26" t="s">
        <v>1855</v>
      </c>
      <c r="J341" s="26" t="s">
        <v>2098</v>
      </c>
      <c r="K341" s="26"/>
      <c r="L341" s="26" t="s">
        <v>2099</v>
      </c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52" t="s">
        <v>575</v>
      </c>
      <c r="C342" s="53" t="s">
        <v>2095</v>
      </c>
      <c r="D342" s="53" t="s">
        <v>894</v>
      </c>
      <c r="E342" s="53" t="s">
        <v>2226</v>
      </c>
      <c r="F342" s="53" t="s">
        <v>894</v>
      </c>
      <c r="G342" s="53" t="s">
        <v>2101</v>
      </c>
      <c r="H342" s="54">
        <v>3272236.8</v>
      </c>
      <c r="I342" s="26" t="s">
        <v>1855</v>
      </c>
      <c r="J342" s="26" t="s">
        <v>2098</v>
      </c>
      <c r="K342" s="26"/>
      <c r="L342" s="26" t="s">
        <v>1860</v>
      </c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52" t="s">
        <v>575</v>
      </c>
      <c r="C343" s="53" t="s">
        <v>2095</v>
      </c>
      <c r="D343" s="53" t="s">
        <v>894</v>
      </c>
      <c r="E343" s="53" t="s">
        <v>2227</v>
      </c>
      <c r="F343" s="53" t="s">
        <v>894</v>
      </c>
      <c r="G343" s="53" t="s">
        <v>2103</v>
      </c>
      <c r="H343" s="54">
        <v>4.278373E7</v>
      </c>
      <c r="I343" s="26" t="s">
        <v>1855</v>
      </c>
      <c r="J343" s="26" t="s">
        <v>2098</v>
      </c>
      <c r="K343" s="26"/>
      <c r="L343" s="26" t="s">
        <v>2104</v>
      </c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52" t="s">
        <v>575</v>
      </c>
      <c r="C344" s="53" t="s">
        <v>2095</v>
      </c>
      <c r="D344" s="53" t="s">
        <v>906</v>
      </c>
      <c r="E344" s="53" t="s">
        <v>2228</v>
      </c>
      <c r="F344" s="53" t="s">
        <v>906</v>
      </c>
      <c r="G344" s="53" t="s">
        <v>2097</v>
      </c>
      <c r="H344" s="54">
        <v>3.7581625284E8</v>
      </c>
      <c r="I344" s="26" t="s">
        <v>1855</v>
      </c>
      <c r="J344" s="26" t="s">
        <v>2098</v>
      </c>
      <c r="K344" s="26"/>
      <c r="L344" s="26" t="s">
        <v>2099</v>
      </c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52" t="s">
        <v>575</v>
      </c>
      <c r="C345" s="53" t="s">
        <v>2095</v>
      </c>
      <c r="D345" s="53" t="s">
        <v>906</v>
      </c>
      <c r="E345" s="53" t="s">
        <v>2229</v>
      </c>
      <c r="F345" s="53" t="s">
        <v>906</v>
      </c>
      <c r="G345" s="53" t="s">
        <v>2101</v>
      </c>
      <c r="H345" s="54">
        <v>4.175171316E7</v>
      </c>
      <c r="I345" s="26" t="s">
        <v>1855</v>
      </c>
      <c r="J345" s="26" t="s">
        <v>2098</v>
      </c>
      <c r="K345" s="26"/>
      <c r="L345" s="26" t="s">
        <v>1860</v>
      </c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52" t="s">
        <v>575</v>
      </c>
      <c r="C346" s="53" t="s">
        <v>2095</v>
      </c>
      <c r="D346" s="53" t="s">
        <v>906</v>
      </c>
      <c r="E346" s="53" t="s">
        <v>2230</v>
      </c>
      <c r="F346" s="53" t="s">
        <v>906</v>
      </c>
      <c r="G346" s="53" t="s">
        <v>2103</v>
      </c>
      <c r="H346" s="54">
        <v>4.9178647289E8</v>
      </c>
      <c r="I346" s="26" t="s">
        <v>1855</v>
      </c>
      <c r="J346" s="26" t="s">
        <v>2098</v>
      </c>
      <c r="K346" s="26"/>
      <c r="L346" s="26" t="s">
        <v>2104</v>
      </c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52" t="s">
        <v>575</v>
      </c>
      <c r="C347" s="53" t="s">
        <v>2095</v>
      </c>
      <c r="D347" s="53" t="s">
        <v>717</v>
      </c>
      <c r="E347" s="53" t="s">
        <v>2231</v>
      </c>
      <c r="F347" s="53" t="s">
        <v>717</v>
      </c>
      <c r="G347" s="53" t="s">
        <v>2097</v>
      </c>
      <c r="H347" s="54">
        <v>5.6234021256E8</v>
      </c>
      <c r="I347" s="26" t="s">
        <v>1855</v>
      </c>
      <c r="J347" s="26" t="s">
        <v>2098</v>
      </c>
      <c r="K347" s="26"/>
      <c r="L347" s="26" t="s">
        <v>2099</v>
      </c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52" t="s">
        <v>575</v>
      </c>
      <c r="C348" s="53" t="s">
        <v>2095</v>
      </c>
      <c r="D348" s="53" t="s">
        <v>717</v>
      </c>
      <c r="E348" s="53" t="s">
        <v>2232</v>
      </c>
      <c r="F348" s="53" t="s">
        <v>717</v>
      </c>
      <c r="G348" s="53" t="s">
        <v>2101</v>
      </c>
      <c r="H348" s="54">
        <v>5.928532104E7</v>
      </c>
      <c r="I348" s="26" t="s">
        <v>1855</v>
      </c>
      <c r="J348" s="26" t="s">
        <v>2098</v>
      </c>
      <c r="K348" s="26"/>
      <c r="L348" s="26" t="s">
        <v>1860</v>
      </c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52" t="s">
        <v>575</v>
      </c>
      <c r="C349" s="53" t="s">
        <v>2095</v>
      </c>
      <c r="D349" s="53" t="s">
        <v>717</v>
      </c>
      <c r="E349" s="53" t="s">
        <v>2233</v>
      </c>
      <c r="F349" s="53" t="s">
        <v>717</v>
      </c>
      <c r="G349" s="53" t="s">
        <v>2103</v>
      </c>
      <c r="H349" s="54">
        <v>6.0364193273E8</v>
      </c>
      <c r="I349" s="26" t="s">
        <v>1855</v>
      </c>
      <c r="J349" s="26" t="s">
        <v>2098</v>
      </c>
      <c r="K349" s="26"/>
      <c r="L349" s="26" t="s">
        <v>2104</v>
      </c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52" t="s">
        <v>575</v>
      </c>
      <c r="C350" s="53" t="s">
        <v>2095</v>
      </c>
      <c r="D350" s="53" t="s">
        <v>915</v>
      </c>
      <c r="E350" s="53" t="s">
        <v>2234</v>
      </c>
      <c r="F350" s="53" t="s">
        <v>915</v>
      </c>
      <c r="G350" s="53" t="s">
        <v>2097</v>
      </c>
      <c r="H350" s="54">
        <v>1.9467752064E8</v>
      </c>
      <c r="I350" s="26" t="s">
        <v>1855</v>
      </c>
      <c r="J350" s="26" t="s">
        <v>2098</v>
      </c>
      <c r="K350" s="26"/>
      <c r="L350" s="26" t="s">
        <v>2099</v>
      </c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52" t="s">
        <v>575</v>
      </c>
      <c r="C351" s="53" t="s">
        <v>2095</v>
      </c>
      <c r="D351" s="53" t="s">
        <v>915</v>
      </c>
      <c r="E351" s="53" t="s">
        <v>2235</v>
      </c>
      <c r="F351" s="53" t="s">
        <v>915</v>
      </c>
      <c r="G351" s="53" t="s">
        <v>2101</v>
      </c>
      <c r="H351" s="54">
        <v>2.28564786E7</v>
      </c>
      <c r="I351" s="26" t="s">
        <v>1855</v>
      </c>
      <c r="J351" s="26" t="s">
        <v>2098</v>
      </c>
      <c r="K351" s="26"/>
      <c r="L351" s="26" t="s">
        <v>1860</v>
      </c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52" t="s">
        <v>575</v>
      </c>
      <c r="C352" s="53" t="s">
        <v>2095</v>
      </c>
      <c r="D352" s="53" t="s">
        <v>915</v>
      </c>
      <c r="E352" s="53" t="s">
        <v>2236</v>
      </c>
      <c r="F352" s="53" t="s">
        <v>915</v>
      </c>
      <c r="G352" s="53" t="s">
        <v>2103</v>
      </c>
      <c r="H352" s="54">
        <v>1.699189525E8</v>
      </c>
      <c r="I352" s="26" t="s">
        <v>1855</v>
      </c>
      <c r="J352" s="26" t="s">
        <v>2098</v>
      </c>
      <c r="K352" s="26"/>
      <c r="L352" s="26" t="s">
        <v>2104</v>
      </c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52" t="s">
        <v>575</v>
      </c>
      <c r="C353" s="53" t="s">
        <v>2095</v>
      </c>
      <c r="D353" s="53" t="s">
        <v>1445</v>
      </c>
      <c r="E353" s="53" t="s">
        <v>2237</v>
      </c>
      <c r="F353" s="53" t="s">
        <v>1445</v>
      </c>
      <c r="G353" s="53" t="s">
        <v>2097</v>
      </c>
      <c r="H353" s="54">
        <v>8.489222174E7</v>
      </c>
      <c r="I353" s="26" t="s">
        <v>1855</v>
      </c>
      <c r="J353" s="26" t="s">
        <v>2098</v>
      </c>
      <c r="K353" s="26"/>
      <c r="L353" s="26" t="s">
        <v>2099</v>
      </c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52" t="s">
        <v>575</v>
      </c>
      <c r="C354" s="53" t="s">
        <v>2095</v>
      </c>
      <c r="D354" s="53" t="s">
        <v>1445</v>
      </c>
      <c r="E354" s="53" t="s">
        <v>2238</v>
      </c>
      <c r="F354" s="53" t="s">
        <v>1445</v>
      </c>
      <c r="G354" s="53" t="s">
        <v>2101</v>
      </c>
      <c r="H354" s="54">
        <v>5.770609022E7</v>
      </c>
      <c r="I354" s="26" t="s">
        <v>1855</v>
      </c>
      <c r="J354" s="26" t="s">
        <v>2098</v>
      </c>
      <c r="K354" s="26"/>
      <c r="L354" s="26" t="s">
        <v>1860</v>
      </c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52" t="s">
        <v>575</v>
      </c>
      <c r="C355" s="53" t="s">
        <v>2095</v>
      </c>
      <c r="D355" s="53" t="s">
        <v>1445</v>
      </c>
      <c r="E355" s="53" t="s">
        <v>2239</v>
      </c>
      <c r="F355" s="53" t="s">
        <v>1445</v>
      </c>
      <c r="G355" s="53" t="s">
        <v>2103</v>
      </c>
      <c r="H355" s="54">
        <v>1.6566463935E8</v>
      </c>
      <c r="I355" s="26" t="s">
        <v>1855</v>
      </c>
      <c r="J355" s="26" t="s">
        <v>2098</v>
      </c>
      <c r="K355" s="26"/>
      <c r="L355" s="26" t="s">
        <v>2104</v>
      </c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52" t="s">
        <v>575</v>
      </c>
      <c r="C356" s="53" t="s">
        <v>2095</v>
      </c>
      <c r="D356" s="53" t="s">
        <v>968</v>
      </c>
      <c r="E356" s="53" t="s">
        <v>2240</v>
      </c>
      <c r="F356" s="53" t="s">
        <v>968</v>
      </c>
      <c r="G356" s="53" t="s">
        <v>2097</v>
      </c>
      <c r="H356" s="54">
        <v>2.594227911E8</v>
      </c>
      <c r="I356" s="26" t="s">
        <v>1855</v>
      </c>
      <c r="J356" s="26" t="s">
        <v>2098</v>
      </c>
      <c r="K356" s="26"/>
      <c r="L356" s="26" t="s">
        <v>2099</v>
      </c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52" t="s">
        <v>575</v>
      </c>
      <c r="C357" s="53" t="s">
        <v>2095</v>
      </c>
      <c r="D357" s="53" t="s">
        <v>968</v>
      </c>
      <c r="E357" s="53" t="s">
        <v>2241</v>
      </c>
      <c r="F357" s="53" t="s">
        <v>968</v>
      </c>
      <c r="G357" s="53" t="s">
        <v>2115</v>
      </c>
      <c r="H357" s="54">
        <v>2.411631706E7</v>
      </c>
      <c r="I357" s="26" t="s">
        <v>1855</v>
      </c>
      <c r="J357" s="26" t="s">
        <v>2098</v>
      </c>
      <c r="K357" s="26"/>
      <c r="L357" s="26" t="s">
        <v>2116</v>
      </c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52" t="s">
        <v>575</v>
      </c>
      <c r="C358" s="53" t="s">
        <v>2095</v>
      </c>
      <c r="D358" s="53" t="s">
        <v>968</v>
      </c>
      <c r="E358" s="53" t="s">
        <v>2242</v>
      </c>
      <c r="F358" s="53" t="s">
        <v>968</v>
      </c>
      <c r="G358" s="53" t="s">
        <v>2101</v>
      </c>
      <c r="H358" s="54">
        <v>6.718957289E7</v>
      </c>
      <c r="I358" s="26" t="s">
        <v>1855</v>
      </c>
      <c r="J358" s="26" t="s">
        <v>2098</v>
      </c>
      <c r="K358" s="26"/>
      <c r="L358" s="26" t="s">
        <v>1860</v>
      </c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52" t="s">
        <v>575</v>
      </c>
      <c r="C359" s="53" t="s">
        <v>2095</v>
      </c>
      <c r="D359" s="53" t="s">
        <v>968</v>
      </c>
      <c r="E359" s="53" t="s">
        <v>2243</v>
      </c>
      <c r="F359" s="53" t="s">
        <v>968</v>
      </c>
      <c r="G359" s="53" t="s">
        <v>2103</v>
      </c>
      <c r="H359" s="54">
        <v>2.6250988135E8</v>
      </c>
      <c r="I359" s="26" t="s">
        <v>1855</v>
      </c>
      <c r="J359" s="26" t="s">
        <v>2098</v>
      </c>
      <c r="K359" s="26"/>
      <c r="L359" s="26" t="s">
        <v>2104</v>
      </c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52" t="s">
        <v>575</v>
      </c>
      <c r="C360" s="53" t="s">
        <v>2095</v>
      </c>
      <c r="D360" s="53" t="s">
        <v>917</v>
      </c>
      <c r="E360" s="53" t="s">
        <v>2244</v>
      </c>
      <c r="F360" s="53" t="s">
        <v>917</v>
      </c>
      <c r="G360" s="53" t="s">
        <v>2097</v>
      </c>
      <c r="H360" s="54">
        <v>7.3038504087E9</v>
      </c>
      <c r="I360" s="26" t="s">
        <v>1855</v>
      </c>
      <c r="J360" s="26" t="s">
        <v>2098</v>
      </c>
      <c r="K360" s="26"/>
      <c r="L360" s="26" t="s">
        <v>2099</v>
      </c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52" t="s">
        <v>575</v>
      </c>
      <c r="C361" s="53" t="s">
        <v>2095</v>
      </c>
      <c r="D361" s="53" t="s">
        <v>917</v>
      </c>
      <c r="E361" s="53" t="s">
        <v>2245</v>
      </c>
      <c r="F361" s="53" t="s">
        <v>917</v>
      </c>
      <c r="G361" s="53" t="s">
        <v>2115</v>
      </c>
      <c r="H361" s="54">
        <v>3.37514161728E9</v>
      </c>
      <c r="I361" s="26" t="s">
        <v>1855</v>
      </c>
      <c r="J361" s="26" t="s">
        <v>2098</v>
      </c>
      <c r="K361" s="26"/>
      <c r="L361" s="26" t="s">
        <v>2116</v>
      </c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52" t="s">
        <v>575</v>
      </c>
      <c r="C362" s="53" t="s">
        <v>2095</v>
      </c>
      <c r="D362" s="53" t="s">
        <v>917</v>
      </c>
      <c r="E362" s="53" t="s">
        <v>2246</v>
      </c>
      <c r="F362" s="53" t="s">
        <v>917</v>
      </c>
      <c r="G362" s="53" t="s">
        <v>2101</v>
      </c>
      <c r="H362" s="54">
        <v>3.21050151513E9</v>
      </c>
      <c r="I362" s="26" t="s">
        <v>1855</v>
      </c>
      <c r="J362" s="26" t="s">
        <v>2098</v>
      </c>
      <c r="K362" s="26"/>
      <c r="L362" s="26" t="s">
        <v>1860</v>
      </c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52" t="s">
        <v>575</v>
      </c>
      <c r="C363" s="53" t="s">
        <v>2095</v>
      </c>
      <c r="D363" s="53" t="s">
        <v>917</v>
      </c>
      <c r="E363" s="53" t="s">
        <v>2247</v>
      </c>
      <c r="F363" s="53" t="s">
        <v>917</v>
      </c>
      <c r="G363" s="53" t="s">
        <v>2103</v>
      </c>
      <c r="H363" s="54">
        <v>6.87918416758E9</v>
      </c>
      <c r="I363" s="26" t="s">
        <v>1855</v>
      </c>
      <c r="J363" s="26" t="s">
        <v>2098</v>
      </c>
      <c r="K363" s="26"/>
      <c r="L363" s="26" t="s">
        <v>2104</v>
      </c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52" t="s">
        <v>575</v>
      </c>
      <c r="C364" s="53" t="s">
        <v>2095</v>
      </c>
      <c r="D364" s="53" t="s">
        <v>925</v>
      </c>
      <c r="E364" s="53" t="s">
        <v>2248</v>
      </c>
      <c r="F364" s="53" t="s">
        <v>925</v>
      </c>
      <c r="G364" s="53" t="s">
        <v>2097</v>
      </c>
      <c r="H364" s="54">
        <v>4.788041669E7</v>
      </c>
      <c r="I364" s="26" t="s">
        <v>1855</v>
      </c>
      <c r="J364" s="26" t="s">
        <v>2098</v>
      </c>
      <c r="K364" s="26"/>
      <c r="L364" s="26" t="s">
        <v>2099</v>
      </c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52" t="s">
        <v>575</v>
      </c>
      <c r="C365" s="53" t="s">
        <v>2095</v>
      </c>
      <c r="D365" s="53" t="s">
        <v>925</v>
      </c>
      <c r="E365" s="53" t="s">
        <v>2249</v>
      </c>
      <c r="F365" s="53" t="s">
        <v>925</v>
      </c>
      <c r="G365" s="53" t="s">
        <v>2101</v>
      </c>
      <c r="H365" s="54">
        <v>1505318.4</v>
      </c>
      <c r="I365" s="26" t="s">
        <v>1855</v>
      </c>
      <c r="J365" s="26" t="s">
        <v>2098</v>
      </c>
      <c r="K365" s="26"/>
      <c r="L365" s="26" t="s">
        <v>1860</v>
      </c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52" t="s">
        <v>575</v>
      </c>
      <c r="C366" s="53" t="s">
        <v>2095</v>
      </c>
      <c r="D366" s="53" t="s">
        <v>925</v>
      </c>
      <c r="E366" s="53" t="s">
        <v>2250</v>
      </c>
      <c r="F366" s="53" t="s">
        <v>925</v>
      </c>
      <c r="G366" s="53" t="s">
        <v>2103</v>
      </c>
      <c r="H366" s="54">
        <v>4.5518186E7</v>
      </c>
      <c r="I366" s="26" t="s">
        <v>1855</v>
      </c>
      <c r="J366" s="26" t="s">
        <v>2098</v>
      </c>
      <c r="K366" s="26"/>
      <c r="L366" s="26" t="s">
        <v>2104</v>
      </c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52" t="s">
        <v>575</v>
      </c>
      <c r="C367" s="53" t="s">
        <v>2095</v>
      </c>
      <c r="D367" s="53" t="s">
        <v>931</v>
      </c>
      <c r="E367" s="53" t="s">
        <v>2251</v>
      </c>
      <c r="F367" s="53" t="s">
        <v>931</v>
      </c>
      <c r="G367" s="53" t="s">
        <v>2097</v>
      </c>
      <c r="H367" s="54">
        <v>3.10237277E7</v>
      </c>
      <c r="I367" s="26" t="s">
        <v>1855</v>
      </c>
      <c r="J367" s="26" t="s">
        <v>2098</v>
      </c>
      <c r="K367" s="26"/>
      <c r="L367" s="26" t="s">
        <v>2099</v>
      </c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52" t="s">
        <v>575</v>
      </c>
      <c r="C368" s="53" t="s">
        <v>2095</v>
      </c>
      <c r="D368" s="53" t="s">
        <v>931</v>
      </c>
      <c r="E368" s="53" t="s">
        <v>2252</v>
      </c>
      <c r="F368" s="53" t="s">
        <v>931</v>
      </c>
      <c r="G368" s="53" t="s">
        <v>2101</v>
      </c>
      <c r="H368" s="54">
        <v>3112885.2</v>
      </c>
      <c r="I368" s="26" t="s">
        <v>1855</v>
      </c>
      <c r="J368" s="26" t="s">
        <v>2098</v>
      </c>
      <c r="K368" s="26"/>
      <c r="L368" s="26" t="s">
        <v>1860</v>
      </c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52" t="s">
        <v>575</v>
      </c>
      <c r="C369" s="53" t="s">
        <v>2095</v>
      </c>
      <c r="D369" s="53" t="s">
        <v>931</v>
      </c>
      <c r="E369" s="53" t="s">
        <v>2253</v>
      </c>
      <c r="F369" s="53" t="s">
        <v>931</v>
      </c>
      <c r="G369" s="53" t="s">
        <v>2103</v>
      </c>
      <c r="H369" s="54">
        <v>6.467854525E7</v>
      </c>
      <c r="I369" s="26" t="s">
        <v>1855</v>
      </c>
      <c r="J369" s="26" t="s">
        <v>2098</v>
      </c>
      <c r="K369" s="26"/>
      <c r="L369" s="26" t="s">
        <v>2104</v>
      </c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52" t="s">
        <v>575</v>
      </c>
      <c r="C370" s="53" t="s">
        <v>2095</v>
      </c>
      <c r="D370" s="53" t="s">
        <v>935</v>
      </c>
      <c r="E370" s="53" t="s">
        <v>2254</v>
      </c>
      <c r="F370" s="53" t="s">
        <v>935</v>
      </c>
      <c r="G370" s="53" t="s">
        <v>2097</v>
      </c>
      <c r="H370" s="54">
        <v>1.20279225213E9</v>
      </c>
      <c r="I370" s="26" t="s">
        <v>1855</v>
      </c>
      <c r="J370" s="26" t="s">
        <v>2098</v>
      </c>
      <c r="K370" s="26"/>
      <c r="L370" s="26" t="s">
        <v>2099</v>
      </c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52" t="s">
        <v>575</v>
      </c>
      <c r="C371" s="53" t="s">
        <v>2095</v>
      </c>
      <c r="D371" s="53" t="s">
        <v>935</v>
      </c>
      <c r="E371" s="53" t="s">
        <v>2255</v>
      </c>
      <c r="F371" s="53" t="s">
        <v>935</v>
      </c>
      <c r="G371" s="53" t="s">
        <v>2101</v>
      </c>
      <c r="H371" s="54">
        <v>1.6442308665E8</v>
      </c>
      <c r="I371" s="26" t="s">
        <v>1855</v>
      </c>
      <c r="J371" s="26" t="s">
        <v>2098</v>
      </c>
      <c r="K371" s="26"/>
      <c r="L371" s="26" t="s">
        <v>1860</v>
      </c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52" t="s">
        <v>575</v>
      </c>
      <c r="C372" s="53" t="s">
        <v>2095</v>
      </c>
      <c r="D372" s="53" t="s">
        <v>935</v>
      </c>
      <c r="E372" s="53" t="s">
        <v>2256</v>
      </c>
      <c r="F372" s="53" t="s">
        <v>935</v>
      </c>
      <c r="G372" s="53" t="s">
        <v>2103</v>
      </c>
      <c r="H372" s="54">
        <v>1.18497676458E9</v>
      </c>
      <c r="I372" s="26" t="s">
        <v>1855</v>
      </c>
      <c r="J372" s="26" t="s">
        <v>2098</v>
      </c>
      <c r="K372" s="26"/>
      <c r="L372" s="26" t="s">
        <v>2104</v>
      </c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52" t="s">
        <v>575</v>
      </c>
      <c r="C373" s="53" t="s">
        <v>2095</v>
      </c>
      <c r="D373" s="53" t="s">
        <v>736</v>
      </c>
      <c r="E373" s="53" t="s">
        <v>2257</v>
      </c>
      <c r="F373" s="53" t="s">
        <v>736</v>
      </c>
      <c r="G373" s="53" t="s">
        <v>2097</v>
      </c>
      <c r="H373" s="54">
        <v>2.8210267632E8</v>
      </c>
      <c r="I373" s="26" t="s">
        <v>1855</v>
      </c>
      <c r="J373" s="26" t="s">
        <v>2098</v>
      </c>
      <c r="K373" s="26"/>
      <c r="L373" s="26" t="s">
        <v>2099</v>
      </c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52" t="s">
        <v>575</v>
      </c>
      <c r="C374" s="53" t="s">
        <v>2095</v>
      </c>
      <c r="D374" s="53" t="s">
        <v>736</v>
      </c>
      <c r="E374" s="53" t="s">
        <v>2258</v>
      </c>
      <c r="F374" s="53" t="s">
        <v>736</v>
      </c>
      <c r="G374" s="53" t="s">
        <v>2115</v>
      </c>
      <c r="H374" s="54">
        <v>1.6803644E7</v>
      </c>
      <c r="I374" s="26" t="s">
        <v>1855</v>
      </c>
      <c r="J374" s="26" t="s">
        <v>2098</v>
      </c>
      <c r="K374" s="26"/>
      <c r="L374" s="26" t="s">
        <v>2116</v>
      </c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52" t="s">
        <v>575</v>
      </c>
      <c r="C375" s="53" t="s">
        <v>2095</v>
      </c>
      <c r="D375" s="53" t="s">
        <v>736</v>
      </c>
      <c r="E375" s="53" t="s">
        <v>2259</v>
      </c>
      <c r="F375" s="53" t="s">
        <v>736</v>
      </c>
      <c r="G375" s="53" t="s">
        <v>2101</v>
      </c>
      <c r="H375" s="54">
        <v>2.304164425E7</v>
      </c>
      <c r="I375" s="26" t="s">
        <v>1855</v>
      </c>
      <c r="J375" s="26" t="s">
        <v>2098</v>
      </c>
      <c r="K375" s="26"/>
      <c r="L375" s="26" t="s">
        <v>1860</v>
      </c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52" t="s">
        <v>575</v>
      </c>
      <c r="C376" s="53" t="s">
        <v>2095</v>
      </c>
      <c r="D376" s="53" t="s">
        <v>736</v>
      </c>
      <c r="E376" s="53" t="s">
        <v>2260</v>
      </c>
      <c r="F376" s="53" t="s">
        <v>736</v>
      </c>
      <c r="G376" s="53" t="s">
        <v>2103</v>
      </c>
      <c r="H376" s="54">
        <v>2.646418944E8</v>
      </c>
      <c r="I376" s="26" t="s">
        <v>1855</v>
      </c>
      <c r="J376" s="26" t="s">
        <v>2098</v>
      </c>
      <c r="K376" s="26"/>
      <c r="L376" s="26" t="s">
        <v>2104</v>
      </c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52" t="s">
        <v>575</v>
      </c>
      <c r="C377" s="53" t="s">
        <v>2261</v>
      </c>
      <c r="D377" s="53" t="s">
        <v>761</v>
      </c>
      <c r="E377" s="53" t="s">
        <v>2262</v>
      </c>
      <c r="F377" s="53" t="s">
        <v>761</v>
      </c>
      <c r="G377" s="53" t="s">
        <v>2263</v>
      </c>
      <c r="H377" s="54">
        <v>9.119472732E7</v>
      </c>
      <c r="I377" s="26" t="s">
        <v>1855</v>
      </c>
      <c r="J377" s="26" t="s">
        <v>2264</v>
      </c>
      <c r="K377" s="26"/>
      <c r="L377" s="26" t="s">
        <v>2099</v>
      </c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52" t="s">
        <v>575</v>
      </c>
      <c r="C378" s="53" t="s">
        <v>2261</v>
      </c>
      <c r="D378" s="53" t="s">
        <v>761</v>
      </c>
      <c r="E378" s="53" t="s">
        <v>2265</v>
      </c>
      <c r="F378" s="53" t="s">
        <v>761</v>
      </c>
      <c r="G378" s="53" t="s">
        <v>2266</v>
      </c>
      <c r="H378" s="54">
        <v>8.893434291E7</v>
      </c>
      <c r="I378" s="26" t="s">
        <v>1855</v>
      </c>
      <c r="J378" s="26" t="s">
        <v>2264</v>
      </c>
      <c r="K378" s="26"/>
      <c r="L378" s="26" t="s">
        <v>1860</v>
      </c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52" t="s">
        <v>575</v>
      </c>
      <c r="C379" s="53" t="s">
        <v>2261</v>
      </c>
      <c r="D379" s="53" t="s">
        <v>768</v>
      </c>
      <c r="E379" s="53" t="s">
        <v>2267</v>
      </c>
      <c r="F379" s="53" t="s">
        <v>768</v>
      </c>
      <c r="G379" s="53" t="s">
        <v>2263</v>
      </c>
      <c r="H379" s="54">
        <v>3.263532465E7</v>
      </c>
      <c r="I379" s="26" t="s">
        <v>1855</v>
      </c>
      <c r="J379" s="26" t="s">
        <v>2264</v>
      </c>
      <c r="K379" s="26"/>
      <c r="L379" s="26" t="s">
        <v>2099</v>
      </c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52" t="s">
        <v>575</v>
      </c>
      <c r="C380" s="53" t="s">
        <v>2261</v>
      </c>
      <c r="D380" s="53" t="s">
        <v>768</v>
      </c>
      <c r="E380" s="53" t="s">
        <v>2268</v>
      </c>
      <c r="F380" s="53" t="s">
        <v>768</v>
      </c>
      <c r="G380" s="53" t="s">
        <v>2266</v>
      </c>
      <c r="H380" s="54">
        <v>2.63177586E7</v>
      </c>
      <c r="I380" s="26" t="s">
        <v>1855</v>
      </c>
      <c r="J380" s="26" t="s">
        <v>2264</v>
      </c>
      <c r="K380" s="26"/>
      <c r="L380" s="26" t="s">
        <v>1860</v>
      </c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52" t="s">
        <v>575</v>
      </c>
      <c r="C381" s="53" t="s">
        <v>2261</v>
      </c>
      <c r="D381" s="53" t="s">
        <v>770</v>
      </c>
      <c r="E381" s="53" t="s">
        <v>2269</v>
      </c>
      <c r="F381" s="53" t="s">
        <v>770</v>
      </c>
      <c r="G381" s="53" t="s">
        <v>2263</v>
      </c>
      <c r="H381" s="54">
        <v>1.55677167E7</v>
      </c>
      <c r="I381" s="26" t="s">
        <v>1855</v>
      </c>
      <c r="J381" s="26" t="s">
        <v>2264</v>
      </c>
      <c r="K381" s="26"/>
      <c r="L381" s="26" t="s">
        <v>2099</v>
      </c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52" t="s">
        <v>575</v>
      </c>
      <c r="C382" s="53" t="s">
        <v>2261</v>
      </c>
      <c r="D382" s="53" t="s">
        <v>770</v>
      </c>
      <c r="E382" s="53" t="s">
        <v>2270</v>
      </c>
      <c r="F382" s="53" t="s">
        <v>770</v>
      </c>
      <c r="G382" s="53" t="s">
        <v>2266</v>
      </c>
      <c r="H382" s="54">
        <v>2.011600528E7</v>
      </c>
      <c r="I382" s="26" t="s">
        <v>1855</v>
      </c>
      <c r="J382" s="26" t="s">
        <v>2264</v>
      </c>
      <c r="K382" s="26"/>
      <c r="L382" s="26" t="s">
        <v>1860</v>
      </c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52" t="s">
        <v>575</v>
      </c>
      <c r="C383" s="53" t="s">
        <v>2261</v>
      </c>
      <c r="D383" s="53" t="s">
        <v>786</v>
      </c>
      <c r="E383" s="53" t="s">
        <v>2271</v>
      </c>
      <c r="F383" s="53" t="s">
        <v>786</v>
      </c>
      <c r="G383" s="53" t="s">
        <v>2263</v>
      </c>
      <c r="H383" s="54">
        <v>1.894606164E7</v>
      </c>
      <c r="I383" s="26" t="s">
        <v>1855</v>
      </c>
      <c r="J383" s="26" t="s">
        <v>2264</v>
      </c>
      <c r="K383" s="26"/>
      <c r="L383" s="26" t="s">
        <v>2099</v>
      </c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52" t="s">
        <v>575</v>
      </c>
      <c r="C384" s="53" t="s">
        <v>2261</v>
      </c>
      <c r="D384" s="53" t="s">
        <v>786</v>
      </c>
      <c r="E384" s="53" t="s">
        <v>2272</v>
      </c>
      <c r="F384" s="53" t="s">
        <v>786</v>
      </c>
      <c r="G384" s="53" t="s">
        <v>2266</v>
      </c>
      <c r="H384" s="54">
        <v>8213840.6</v>
      </c>
      <c r="I384" s="26" t="s">
        <v>1855</v>
      </c>
      <c r="J384" s="26" t="s">
        <v>2264</v>
      </c>
      <c r="K384" s="26"/>
      <c r="L384" s="26" t="s">
        <v>1860</v>
      </c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52" t="s">
        <v>575</v>
      </c>
      <c r="C385" s="53" t="s">
        <v>2261</v>
      </c>
      <c r="D385" s="53" t="s">
        <v>1121</v>
      </c>
      <c r="E385" s="53" t="s">
        <v>2273</v>
      </c>
      <c r="F385" s="53" t="s">
        <v>1121</v>
      </c>
      <c r="G385" s="53" t="s">
        <v>2263</v>
      </c>
      <c r="H385" s="54">
        <v>8.180675136E7</v>
      </c>
      <c r="I385" s="26" t="s">
        <v>1855</v>
      </c>
      <c r="J385" s="26" t="s">
        <v>2264</v>
      </c>
      <c r="K385" s="26"/>
      <c r="L385" s="26" t="s">
        <v>2099</v>
      </c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52" t="s">
        <v>575</v>
      </c>
      <c r="C386" s="53" t="s">
        <v>2261</v>
      </c>
      <c r="D386" s="53" t="s">
        <v>1121</v>
      </c>
      <c r="E386" s="53" t="s">
        <v>2274</v>
      </c>
      <c r="F386" s="53" t="s">
        <v>1121</v>
      </c>
      <c r="G386" s="53" t="s">
        <v>2266</v>
      </c>
      <c r="H386" s="54">
        <v>1.1946417903E8</v>
      </c>
      <c r="I386" s="26" t="s">
        <v>1855</v>
      </c>
      <c r="J386" s="26" t="s">
        <v>2264</v>
      </c>
      <c r="K386" s="26"/>
      <c r="L386" s="26" t="s">
        <v>1860</v>
      </c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52" t="s">
        <v>575</v>
      </c>
      <c r="C387" s="53" t="s">
        <v>2261</v>
      </c>
      <c r="D387" s="53" t="s">
        <v>810</v>
      </c>
      <c r="E387" s="53" t="s">
        <v>2275</v>
      </c>
      <c r="F387" s="53" t="s">
        <v>810</v>
      </c>
      <c r="G387" s="53" t="s">
        <v>2263</v>
      </c>
      <c r="H387" s="54">
        <v>1.4200969482E8</v>
      </c>
      <c r="I387" s="26" t="s">
        <v>1855</v>
      </c>
      <c r="J387" s="26" t="s">
        <v>2264</v>
      </c>
      <c r="K387" s="26"/>
      <c r="L387" s="26" t="s">
        <v>2099</v>
      </c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52" t="s">
        <v>575</v>
      </c>
      <c r="C388" s="53" t="s">
        <v>2261</v>
      </c>
      <c r="D388" s="53" t="s">
        <v>810</v>
      </c>
      <c r="E388" s="53" t="s">
        <v>2276</v>
      </c>
      <c r="F388" s="53" t="s">
        <v>810</v>
      </c>
      <c r="G388" s="53" t="s">
        <v>2266</v>
      </c>
      <c r="H388" s="54">
        <v>1.8322652565E8</v>
      </c>
      <c r="I388" s="26" t="s">
        <v>1855</v>
      </c>
      <c r="J388" s="26" t="s">
        <v>2264</v>
      </c>
      <c r="K388" s="26"/>
      <c r="L388" s="26" t="s">
        <v>1860</v>
      </c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52" t="s">
        <v>575</v>
      </c>
      <c r="C389" s="53" t="s">
        <v>2261</v>
      </c>
      <c r="D389" s="53" t="s">
        <v>816</v>
      </c>
      <c r="E389" s="53" t="s">
        <v>2277</v>
      </c>
      <c r="F389" s="53" t="s">
        <v>816</v>
      </c>
      <c r="G389" s="53" t="s">
        <v>2263</v>
      </c>
      <c r="H389" s="54">
        <v>1.488715128E7</v>
      </c>
      <c r="I389" s="26" t="s">
        <v>1855</v>
      </c>
      <c r="J389" s="26" t="s">
        <v>2264</v>
      </c>
      <c r="K389" s="26"/>
      <c r="L389" s="26" t="s">
        <v>2099</v>
      </c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52" t="s">
        <v>575</v>
      </c>
      <c r="C390" s="53" t="s">
        <v>2261</v>
      </c>
      <c r="D390" s="53" t="s">
        <v>816</v>
      </c>
      <c r="E390" s="53" t="s">
        <v>2278</v>
      </c>
      <c r="F390" s="53" t="s">
        <v>816</v>
      </c>
      <c r="G390" s="53" t="s">
        <v>2266</v>
      </c>
      <c r="H390" s="54">
        <v>3.860926825E7</v>
      </c>
      <c r="I390" s="26" t="s">
        <v>1855</v>
      </c>
      <c r="J390" s="26" t="s">
        <v>2264</v>
      </c>
      <c r="K390" s="26"/>
      <c r="L390" s="26" t="s">
        <v>1860</v>
      </c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52" t="s">
        <v>575</v>
      </c>
      <c r="C391" s="53" t="s">
        <v>2261</v>
      </c>
      <c r="D391" s="53" t="s">
        <v>834</v>
      </c>
      <c r="E391" s="53" t="s">
        <v>2279</v>
      </c>
      <c r="F391" s="53" t="s">
        <v>834</v>
      </c>
      <c r="G391" s="53" t="s">
        <v>2263</v>
      </c>
      <c r="H391" s="54">
        <v>6.083085492E7</v>
      </c>
      <c r="I391" s="26" t="s">
        <v>1855</v>
      </c>
      <c r="J391" s="26" t="s">
        <v>2264</v>
      </c>
      <c r="K391" s="26"/>
      <c r="L391" s="26" t="s">
        <v>2099</v>
      </c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52" t="s">
        <v>575</v>
      </c>
      <c r="C392" s="53" t="s">
        <v>2261</v>
      </c>
      <c r="D392" s="53" t="s">
        <v>834</v>
      </c>
      <c r="E392" s="53" t="s">
        <v>2280</v>
      </c>
      <c r="F392" s="53" t="s">
        <v>834</v>
      </c>
      <c r="G392" s="53" t="s">
        <v>2266</v>
      </c>
      <c r="H392" s="54">
        <v>5.225466526E7</v>
      </c>
      <c r="I392" s="26" t="s">
        <v>1855</v>
      </c>
      <c r="J392" s="26" t="s">
        <v>2264</v>
      </c>
      <c r="K392" s="26"/>
      <c r="L392" s="26" t="s">
        <v>1860</v>
      </c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52" t="s">
        <v>575</v>
      </c>
      <c r="C393" s="53" t="s">
        <v>2261</v>
      </c>
      <c r="D393" s="53" t="s">
        <v>710</v>
      </c>
      <c r="E393" s="53" t="s">
        <v>2281</v>
      </c>
      <c r="F393" s="53" t="s">
        <v>710</v>
      </c>
      <c r="G393" s="53" t="s">
        <v>2263</v>
      </c>
      <c r="H393" s="54">
        <v>1.703663298E7</v>
      </c>
      <c r="I393" s="26" t="s">
        <v>1855</v>
      </c>
      <c r="J393" s="26" t="s">
        <v>2264</v>
      </c>
      <c r="K393" s="26"/>
      <c r="L393" s="26" t="s">
        <v>2099</v>
      </c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52" t="s">
        <v>575</v>
      </c>
      <c r="C394" s="53" t="s">
        <v>2261</v>
      </c>
      <c r="D394" s="53" t="s">
        <v>710</v>
      </c>
      <c r="E394" s="53" t="s">
        <v>2282</v>
      </c>
      <c r="F394" s="53" t="s">
        <v>710</v>
      </c>
      <c r="G394" s="53" t="s">
        <v>2266</v>
      </c>
      <c r="H394" s="54">
        <v>5134371.9</v>
      </c>
      <c r="I394" s="26" t="s">
        <v>1855</v>
      </c>
      <c r="J394" s="26" t="s">
        <v>2264</v>
      </c>
      <c r="K394" s="26"/>
      <c r="L394" s="26" t="s">
        <v>1860</v>
      </c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52" t="s">
        <v>575</v>
      </c>
      <c r="C395" s="53" t="s">
        <v>2261</v>
      </c>
      <c r="D395" s="53" t="s">
        <v>1979</v>
      </c>
      <c r="E395" s="53" t="s">
        <v>2283</v>
      </c>
      <c r="F395" s="53" t="s">
        <v>1979</v>
      </c>
      <c r="G395" s="53" t="s">
        <v>2263</v>
      </c>
      <c r="H395" s="54">
        <v>4.4576360222E8</v>
      </c>
      <c r="I395" s="26" t="s">
        <v>1855</v>
      </c>
      <c r="J395" s="26" t="s">
        <v>2264</v>
      </c>
      <c r="K395" s="26"/>
      <c r="L395" s="26" t="s">
        <v>2099</v>
      </c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52" t="s">
        <v>575</v>
      </c>
      <c r="C396" s="53" t="s">
        <v>2261</v>
      </c>
      <c r="D396" s="53" t="s">
        <v>1979</v>
      </c>
      <c r="E396" s="53" t="s">
        <v>2284</v>
      </c>
      <c r="F396" s="53" t="s">
        <v>1979</v>
      </c>
      <c r="G396" s="53" t="s">
        <v>2266</v>
      </c>
      <c r="H396" s="54">
        <v>4.1155793992E8</v>
      </c>
      <c r="I396" s="26" t="s">
        <v>1855</v>
      </c>
      <c r="J396" s="26" t="s">
        <v>2264</v>
      </c>
      <c r="K396" s="26"/>
      <c r="L396" s="26" t="s">
        <v>1860</v>
      </c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52" t="s">
        <v>575</v>
      </c>
      <c r="C397" s="53" t="s">
        <v>2261</v>
      </c>
      <c r="D397" s="53" t="s">
        <v>1979</v>
      </c>
      <c r="E397" s="53" t="s">
        <v>2285</v>
      </c>
      <c r="F397" s="53" t="s">
        <v>1979</v>
      </c>
      <c r="G397" s="53" t="s">
        <v>2286</v>
      </c>
      <c r="H397" s="54">
        <v>4.152998592E7</v>
      </c>
      <c r="I397" s="26" t="s">
        <v>1855</v>
      </c>
      <c r="J397" s="26" t="s">
        <v>2264</v>
      </c>
      <c r="K397" s="26"/>
      <c r="L397" s="26" t="s">
        <v>2287</v>
      </c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52" t="s">
        <v>575</v>
      </c>
      <c r="C398" s="53" t="s">
        <v>2261</v>
      </c>
      <c r="D398" s="53" t="s">
        <v>730</v>
      </c>
      <c r="E398" s="53" t="s">
        <v>2288</v>
      </c>
      <c r="F398" s="53" t="s">
        <v>730</v>
      </c>
      <c r="G398" s="53" t="s">
        <v>2263</v>
      </c>
      <c r="H398" s="54">
        <v>3.445124094E7</v>
      </c>
      <c r="I398" s="26" t="s">
        <v>1855</v>
      </c>
      <c r="J398" s="26" t="s">
        <v>2264</v>
      </c>
      <c r="K398" s="26"/>
      <c r="L398" s="26" t="s">
        <v>2099</v>
      </c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52" t="s">
        <v>575</v>
      </c>
      <c r="C399" s="53" t="s">
        <v>2261</v>
      </c>
      <c r="D399" s="53" t="s">
        <v>730</v>
      </c>
      <c r="E399" s="53" t="s">
        <v>2289</v>
      </c>
      <c r="F399" s="53" t="s">
        <v>730</v>
      </c>
      <c r="G399" s="53" t="s">
        <v>2266</v>
      </c>
      <c r="H399" s="54">
        <v>4.502652045E7</v>
      </c>
      <c r="I399" s="26" t="s">
        <v>1855</v>
      </c>
      <c r="J399" s="26" t="s">
        <v>2264</v>
      </c>
      <c r="K399" s="26"/>
      <c r="L399" s="26" t="s">
        <v>1860</v>
      </c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52" t="s">
        <v>575</v>
      </c>
      <c r="C400" s="53" t="s">
        <v>2261</v>
      </c>
      <c r="D400" s="53" t="s">
        <v>868</v>
      </c>
      <c r="E400" s="53" t="s">
        <v>2290</v>
      </c>
      <c r="F400" s="53" t="s">
        <v>868</v>
      </c>
      <c r="G400" s="53" t="s">
        <v>2263</v>
      </c>
      <c r="H400" s="54">
        <v>1.839462696E7</v>
      </c>
      <c r="I400" s="26" t="s">
        <v>1855</v>
      </c>
      <c r="J400" s="26" t="s">
        <v>2264</v>
      </c>
      <c r="K400" s="26"/>
      <c r="L400" s="26" t="s">
        <v>2099</v>
      </c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52" t="s">
        <v>575</v>
      </c>
      <c r="C401" s="53" t="s">
        <v>2261</v>
      </c>
      <c r="D401" s="53" t="s">
        <v>868</v>
      </c>
      <c r="E401" s="53" t="s">
        <v>2291</v>
      </c>
      <c r="F401" s="53" t="s">
        <v>868</v>
      </c>
      <c r="G401" s="53" t="s">
        <v>2266</v>
      </c>
      <c r="H401" s="54">
        <v>1.373024835E7</v>
      </c>
      <c r="I401" s="26" t="s">
        <v>1855</v>
      </c>
      <c r="J401" s="26" t="s">
        <v>2264</v>
      </c>
      <c r="K401" s="26"/>
      <c r="L401" s="26" t="s">
        <v>1860</v>
      </c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52" t="s">
        <v>575</v>
      </c>
      <c r="C402" s="53" t="s">
        <v>2261</v>
      </c>
      <c r="D402" s="53" t="s">
        <v>870</v>
      </c>
      <c r="E402" s="53" t="s">
        <v>2292</v>
      </c>
      <c r="F402" s="53" t="s">
        <v>870</v>
      </c>
      <c r="G402" s="53" t="s">
        <v>2263</v>
      </c>
      <c r="H402" s="54">
        <v>1.3744242E7</v>
      </c>
      <c r="I402" s="26" t="s">
        <v>1855</v>
      </c>
      <c r="J402" s="26" t="s">
        <v>2264</v>
      </c>
      <c r="K402" s="26"/>
      <c r="L402" s="26" t="s">
        <v>2099</v>
      </c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52" t="s">
        <v>575</v>
      </c>
      <c r="C403" s="53" t="s">
        <v>2261</v>
      </c>
      <c r="D403" s="53" t="s">
        <v>870</v>
      </c>
      <c r="E403" s="53" t="s">
        <v>2293</v>
      </c>
      <c r="F403" s="53" t="s">
        <v>870</v>
      </c>
      <c r="G403" s="53" t="s">
        <v>2266</v>
      </c>
      <c r="H403" s="54">
        <v>6139293.3</v>
      </c>
      <c r="I403" s="26" t="s">
        <v>1855</v>
      </c>
      <c r="J403" s="26" t="s">
        <v>2264</v>
      </c>
      <c r="K403" s="26"/>
      <c r="L403" s="26" t="s">
        <v>1860</v>
      </c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52" t="s">
        <v>575</v>
      </c>
      <c r="C404" s="53" t="s">
        <v>2261</v>
      </c>
      <c r="D404" s="53" t="s">
        <v>734</v>
      </c>
      <c r="E404" s="53" t="s">
        <v>2294</v>
      </c>
      <c r="F404" s="53" t="s">
        <v>734</v>
      </c>
      <c r="G404" s="53" t="s">
        <v>2263</v>
      </c>
      <c r="H404" s="54">
        <v>1.443121434E7</v>
      </c>
      <c r="I404" s="26" t="s">
        <v>1855</v>
      </c>
      <c r="J404" s="26" t="s">
        <v>2264</v>
      </c>
      <c r="K404" s="26"/>
      <c r="L404" s="26" t="s">
        <v>2099</v>
      </c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52" t="s">
        <v>575</v>
      </c>
      <c r="C405" s="53" t="s">
        <v>2261</v>
      </c>
      <c r="D405" s="53" t="s">
        <v>734</v>
      </c>
      <c r="E405" s="53" t="s">
        <v>2295</v>
      </c>
      <c r="F405" s="53" t="s">
        <v>734</v>
      </c>
      <c r="G405" s="53" t="s">
        <v>2266</v>
      </c>
      <c r="H405" s="54">
        <v>2.007568367E7</v>
      </c>
      <c r="I405" s="26" t="s">
        <v>1855</v>
      </c>
      <c r="J405" s="26" t="s">
        <v>2264</v>
      </c>
      <c r="K405" s="26"/>
      <c r="L405" s="26" t="s">
        <v>1860</v>
      </c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52" t="s">
        <v>575</v>
      </c>
      <c r="C406" s="53" t="s">
        <v>2261</v>
      </c>
      <c r="D406" s="53" t="s">
        <v>874</v>
      </c>
      <c r="E406" s="53" t="s">
        <v>2296</v>
      </c>
      <c r="F406" s="53" t="s">
        <v>874</v>
      </c>
      <c r="G406" s="53" t="s">
        <v>2263</v>
      </c>
      <c r="H406" s="54">
        <v>5.5516118E7</v>
      </c>
      <c r="I406" s="26" t="s">
        <v>1855</v>
      </c>
      <c r="J406" s="26" t="s">
        <v>2264</v>
      </c>
      <c r="K406" s="26"/>
      <c r="L406" s="26" t="s">
        <v>2099</v>
      </c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52" t="s">
        <v>575</v>
      </c>
      <c r="C407" s="53" t="s">
        <v>2261</v>
      </c>
      <c r="D407" s="53" t="s">
        <v>874</v>
      </c>
      <c r="E407" s="53" t="s">
        <v>2297</v>
      </c>
      <c r="F407" s="53" t="s">
        <v>874</v>
      </c>
      <c r="G407" s="53" t="s">
        <v>2266</v>
      </c>
      <c r="H407" s="54">
        <v>7633026.0</v>
      </c>
      <c r="I407" s="26" t="s">
        <v>1855</v>
      </c>
      <c r="J407" s="26" t="s">
        <v>2264</v>
      </c>
      <c r="K407" s="26"/>
      <c r="L407" s="26" t="s">
        <v>1860</v>
      </c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52" t="s">
        <v>575</v>
      </c>
      <c r="C408" s="53" t="s">
        <v>2261</v>
      </c>
      <c r="D408" s="53" t="s">
        <v>886</v>
      </c>
      <c r="E408" s="53" t="s">
        <v>2298</v>
      </c>
      <c r="F408" s="53" t="s">
        <v>886</v>
      </c>
      <c r="G408" s="53" t="s">
        <v>2263</v>
      </c>
      <c r="H408" s="54">
        <v>8172339.48</v>
      </c>
      <c r="I408" s="26" t="s">
        <v>1855</v>
      </c>
      <c r="J408" s="26" t="s">
        <v>2264</v>
      </c>
      <c r="K408" s="26"/>
      <c r="L408" s="26" t="s">
        <v>2099</v>
      </c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52" t="s">
        <v>575</v>
      </c>
      <c r="C409" s="53" t="s">
        <v>2261</v>
      </c>
      <c r="D409" s="53" t="s">
        <v>886</v>
      </c>
      <c r="E409" s="53" t="s">
        <v>2299</v>
      </c>
      <c r="F409" s="53" t="s">
        <v>886</v>
      </c>
      <c r="G409" s="53" t="s">
        <v>2266</v>
      </c>
      <c r="H409" s="54">
        <v>2224438.3</v>
      </c>
      <c r="I409" s="26" t="s">
        <v>1855</v>
      </c>
      <c r="J409" s="26" t="s">
        <v>2264</v>
      </c>
      <c r="K409" s="26"/>
      <c r="L409" s="26" t="s">
        <v>1860</v>
      </c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52" t="s">
        <v>575</v>
      </c>
      <c r="C410" s="53" t="s">
        <v>2261</v>
      </c>
      <c r="D410" s="53" t="s">
        <v>900</v>
      </c>
      <c r="E410" s="53" t="s">
        <v>2300</v>
      </c>
      <c r="F410" s="53" t="s">
        <v>900</v>
      </c>
      <c r="G410" s="53" t="s">
        <v>2263</v>
      </c>
      <c r="H410" s="54">
        <v>2.126256282E7</v>
      </c>
      <c r="I410" s="26" t="s">
        <v>1855</v>
      </c>
      <c r="J410" s="26" t="s">
        <v>2264</v>
      </c>
      <c r="K410" s="26"/>
      <c r="L410" s="26" t="s">
        <v>2099</v>
      </c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52" t="s">
        <v>575</v>
      </c>
      <c r="C411" s="53" t="s">
        <v>2261</v>
      </c>
      <c r="D411" s="53" t="s">
        <v>900</v>
      </c>
      <c r="E411" s="53" t="s">
        <v>2301</v>
      </c>
      <c r="F411" s="53" t="s">
        <v>900</v>
      </c>
      <c r="G411" s="53" t="s">
        <v>2266</v>
      </c>
      <c r="H411" s="54">
        <v>2.607396771E7</v>
      </c>
      <c r="I411" s="26" t="s">
        <v>1855</v>
      </c>
      <c r="J411" s="26" t="s">
        <v>2264</v>
      </c>
      <c r="K411" s="26"/>
      <c r="L411" s="26" t="s">
        <v>1860</v>
      </c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52" t="s">
        <v>575</v>
      </c>
      <c r="C412" s="53" t="s">
        <v>2261</v>
      </c>
      <c r="D412" s="53" t="s">
        <v>717</v>
      </c>
      <c r="E412" s="53" t="s">
        <v>2302</v>
      </c>
      <c r="F412" s="53" t="s">
        <v>717</v>
      </c>
      <c r="G412" s="53" t="s">
        <v>2263</v>
      </c>
      <c r="H412" s="54">
        <v>3128108.76</v>
      </c>
      <c r="I412" s="26" t="s">
        <v>1855</v>
      </c>
      <c r="J412" s="26" t="s">
        <v>2264</v>
      </c>
      <c r="K412" s="26"/>
      <c r="L412" s="26" t="s">
        <v>2099</v>
      </c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52" t="s">
        <v>575</v>
      </c>
      <c r="C413" s="53" t="s">
        <v>2261</v>
      </c>
      <c r="D413" s="53" t="s">
        <v>915</v>
      </c>
      <c r="E413" s="53" t="s">
        <v>2303</v>
      </c>
      <c r="F413" s="53" t="s">
        <v>915</v>
      </c>
      <c r="G413" s="53" t="s">
        <v>2263</v>
      </c>
      <c r="H413" s="54">
        <v>1.15506378E7</v>
      </c>
      <c r="I413" s="26" t="s">
        <v>1855</v>
      </c>
      <c r="J413" s="26" t="s">
        <v>2264</v>
      </c>
      <c r="K413" s="26"/>
      <c r="L413" s="26" t="s">
        <v>2099</v>
      </c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52" t="s">
        <v>575</v>
      </c>
      <c r="C414" s="53" t="s">
        <v>2261</v>
      </c>
      <c r="D414" s="53" t="s">
        <v>915</v>
      </c>
      <c r="E414" s="53" t="s">
        <v>2304</v>
      </c>
      <c r="F414" s="53" t="s">
        <v>915</v>
      </c>
      <c r="G414" s="53" t="s">
        <v>2266</v>
      </c>
      <c r="H414" s="54">
        <v>6876831.5</v>
      </c>
      <c r="I414" s="26" t="s">
        <v>1855</v>
      </c>
      <c r="J414" s="26" t="s">
        <v>2264</v>
      </c>
      <c r="K414" s="26"/>
      <c r="L414" s="26" t="s">
        <v>1860</v>
      </c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52" t="s">
        <v>575</v>
      </c>
      <c r="C415" s="53" t="s">
        <v>2261</v>
      </c>
      <c r="D415" s="53" t="s">
        <v>736</v>
      </c>
      <c r="E415" s="53" t="s">
        <v>2305</v>
      </c>
      <c r="F415" s="53" t="s">
        <v>736</v>
      </c>
      <c r="G415" s="53" t="s">
        <v>2263</v>
      </c>
      <c r="H415" s="54">
        <v>2.675024964E7</v>
      </c>
      <c r="I415" s="26" t="s">
        <v>1855</v>
      </c>
      <c r="J415" s="26" t="s">
        <v>2264</v>
      </c>
      <c r="K415" s="26"/>
      <c r="L415" s="26" t="s">
        <v>2099</v>
      </c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52" t="s">
        <v>575</v>
      </c>
      <c r="C416" s="53" t="s">
        <v>2261</v>
      </c>
      <c r="D416" s="53" t="s">
        <v>736</v>
      </c>
      <c r="E416" s="53" t="s">
        <v>2306</v>
      </c>
      <c r="F416" s="53" t="s">
        <v>736</v>
      </c>
      <c r="G416" s="53" t="s">
        <v>2266</v>
      </c>
      <c r="H416" s="54">
        <v>1.274720545E7</v>
      </c>
      <c r="I416" s="26" t="s">
        <v>1855</v>
      </c>
      <c r="J416" s="26" t="s">
        <v>2264</v>
      </c>
      <c r="K416" s="26"/>
      <c r="L416" s="26" t="s">
        <v>1860</v>
      </c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52" t="s">
        <v>575</v>
      </c>
      <c r="C417" s="53" t="s">
        <v>2307</v>
      </c>
      <c r="D417" s="53" t="s">
        <v>768</v>
      </c>
      <c r="E417" s="53" t="s">
        <v>2308</v>
      </c>
      <c r="F417" s="53" t="s">
        <v>768</v>
      </c>
      <c r="G417" s="53" t="s">
        <v>2309</v>
      </c>
      <c r="H417" s="54">
        <v>6.6781768584E8</v>
      </c>
      <c r="I417" s="26" t="s">
        <v>1851</v>
      </c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52" t="s">
        <v>575</v>
      </c>
      <c r="C418" s="53" t="s">
        <v>2307</v>
      </c>
      <c r="D418" s="53" t="s">
        <v>726</v>
      </c>
      <c r="E418" s="53" t="s">
        <v>2310</v>
      </c>
      <c r="F418" s="53" t="s">
        <v>726</v>
      </c>
      <c r="G418" s="53" t="s">
        <v>2309</v>
      </c>
      <c r="H418" s="54">
        <v>5.2319574464E8</v>
      </c>
      <c r="I418" s="26" t="s">
        <v>1851</v>
      </c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52" t="s">
        <v>575</v>
      </c>
      <c r="C419" s="53" t="s">
        <v>2307</v>
      </c>
      <c r="D419" s="53" t="s">
        <v>776</v>
      </c>
      <c r="E419" s="53" t="s">
        <v>2311</v>
      </c>
      <c r="F419" s="53" t="s">
        <v>776</v>
      </c>
      <c r="G419" s="53" t="s">
        <v>2309</v>
      </c>
      <c r="H419" s="54">
        <v>4.6980124008E8</v>
      </c>
      <c r="I419" s="26" t="s">
        <v>1851</v>
      </c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52" t="s">
        <v>575</v>
      </c>
      <c r="C420" s="53" t="s">
        <v>2307</v>
      </c>
      <c r="D420" s="53" t="s">
        <v>786</v>
      </c>
      <c r="E420" s="53" t="s">
        <v>2312</v>
      </c>
      <c r="F420" s="53" t="s">
        <v>786</v>
      </c>
      <c r="G420" s="53" t="s">
        <v>2309</v>
      </c>
      <c r="H420" s="54">
        <v>1.556770264E7</v>
      </c>
      <c r="I420" s="26" t="s">
        <v>1851</v>
      </c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52" t="s">
        <v>575</v>
      </c>
      <c r="C421" s="53" t="s">
        <v>2307</v>
      </c>
      <c r="D421" s="53" t="s">
        <v>790</v>
      </c>
      <c r="E421" s="53" t="s">
        <v>2313</v>
      </c>
      <c r="F421" s="53" t="s">
        <v>790</v>
      </c>
      <c r="G421" s="53" t="s">
        <v>2309</v>
      </c>
      <c r="H421" s="54">
        <v>2.306524779E7</v>
      </c>
      <c r="I421" s="26" t="s">
        <v>1851</v>
      </c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52" t="s">
        <v>575</v>
      </c>
      <c r="C422" s="53" t="s">
        <v>2307</v>
      </c>
      <c r="D422" s="53" t="s">
        <v>800</v>
      </c>
      <c r="E422" s="53" t="s">
        <v>2314</v>
      </c>
      <c r="F422" s="53" t="s">
        <v>800</v>
      </c>
      <c r="G422" s="53" t="s">
        <v>2309</v>
      </c>
      <c r="H422" s="54">
        <v>1.7404914208E8</v>
      </c>
      <c r="I422" s="26" t="s">
        <v>1851</v>
      </c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52" t="s">
        <v>575</v>
      </c>
      <c r="C423" s="53" t="s">
        <v>2307</v>
      </c>
      <c r="D423" s="53" t="s">
        <v>810</v>
      </c>
      <c r="E423" s="53" t="s">
        <v>2315</v>
      </c>
      <c r="F423" s="53" t="s">
        <v>810</v>
      </c>
      <c r="G423" s="53" t="s">
        <v>2309</v>
      </c>
      <c r="H423" s="54">
        <v>6.005916568E7</v>
      </c>
      <c r="I423" s="26" t="s">
        <v>1851</v>
      </c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52" t="s">
        <v>575</v>
      </c>
      <c r="C424" s="53" t="s">
        <v>2307</v>
      </c>
      <c r="D424" s="53" t="s">
        <v>814</v>
      </c>
      <c r="E424" s="53" t="s">
        <v>2316</v>
      </c>
      <c r="F424" s="53" t="s">
        <v>814</v>
      </c>
      <c r="G424" s="53" t="s">
        <v>2309</v>
      </c>
      <c r="H424" s="54">
        <v>4.396408616E7</v>
      </c>
      <c r="I424" s="26" t="s">
        <v>1851</v>
      </c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52" t="s">
        <v>575</v>
      </c>
      <c r="C425" s="53" t="s">
        <v>2307</v>
      </c>
      <c r="D425" s="53" t="s">
        <v>830</v>
      </c>
      <c r="E425" s="53" t="s">
        <v>2317</v>
      </c>
      <c r="F425" s="53" t="s">
        <v>830</v>
      </c>
      <c r="G425" s="53" t="s">
        <v>2309</v>
      </c>
      <c r="H425" s="54">
        <v>1.29987543648E9</v>
      </c>
      <c r="I425" s="26" t="s">
        <v>1851</v>
      </c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52" t="s">
        <v>575</v>
      </c>
      <c r="C426" s="53" t="s">
        <v>2307</v>
      </c>
      <c r="D426" s="53" t="s">
        <v>862</v>
      </c>
      <c r="E426" s="53" t="s">
        <v>2318</v>
      </c>
      <c r="F426" s="53" t="s">
        <v>862</v>
      </c>
      <c r="G426" s="53" t="s">
        <v>2309</v>
      </c>
      <c r="H426" s="54">
        <v>1.162704582E7</v>
      </c>
      <c r="I426" s="26" t="s">
        <v>1851</v>
      </c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52" t="s">
        <v>575</v>
      </c>
      <c r="C427" s="53" t="s">
        <v>2307</v>
      </c>
      <c r="D427" s="53" t="s">
        <v>868</v>
      </c>
      <c r="E427" s="53" t="s">
        <v>2319</v>
      </c>
      <c r="F427" s="53" t="s">
        <v>868</v>
      </c>
      <c r="G427" s="53" t="s">
        <v>2309</v>
      </c>
      <c r="H427" s="54">
        <v>1.49232954E7</v>
      </c>
      <c r="I427" s="26" t="s">
        <v>1851</v>
      </c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52" t="s">
        <v>575</v>
      </c>
      <c r="C428" s="53" t="s">
        <v>2307</v>
      </c>
      <c r="D428" s="53" t="s">
        <v>884</v>
      </c>
      <c r="E428" s="53" t="s">
        <v>2320</v>
      </c>
      <c r="F428" s="53" t="s">
        <v>884</v>
      </c>
      <c r="G428" s="53" t="s">
        <v>2309</v>
      </c>
      <c r="H428" s="54">
        <v>2.507729864E8</v>
      </c>
      <c r="I428" s="26" t="s">
        <v>1851</v>
      </c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52" t="s">
        <v>575</v>
      </c>
      <c r="C429" s="53" t="s">
        <v>2307</v>
      </c>
      <c r="D429" s="53" t="s">
        <v>915</v>
      </c>
      <c r="E429" s="53" t="s">
        <v>2321</v>
      </c>
      <c r="F429" s="53" t="s">
        <v>915</v>
      </c>
      <c r="G429" s="53" t="s">
        <v>2309</v>
      </c>
      <c r="H429" s="54">
        <v>6.7500014056E8</v>
      </c>
      <c r="I429" s="26" t="s">
        <v>1851</v>
      </c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52" t="s">
        <v>575</v>
      </c>
      <c r="C430" s="53" t="s">
        <v>2307</v>
      </c>
      <c r="D430" s="53" t="s">
        <v>968</v>
      </c>
      <c r="E430" s="53" t="s">
        <v>2322</v>
      </c>
      <c r="F430" s="53" t="s">
        <v>968</v>
      </c>
      <c r="G430" s="53" t="s">
        <v>2309</v>
      </c>
      <c r="H430" s="54">
        <v>6.058445412E8</v>
      </c>
      <c r="I430" s="26" t="s">
        <v>1851</v>
      </c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52" t="s">
        <v>575</v>
      </c>
      <c r="C431" s="53" t="s">
        <v>2307</v>
      </c>
      <c r="D431" s="53" t="s">
        <v>935</v>
      </c>
      <c r="E431" s="53" t="s">
        <v>2323</v>
      </c>
      <c r="F431" s="53" t="s">
        <v>935</v>
      </c>
      <c r="G431" s="53" t="s">
        <v>2309</v>
      </c>
      <c r="H431" s="54">
        <v>2.112493248E7</v>
      </c>
      <c r="I431" s="26" t="s">
        <v>1851</v>
      </c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52" t="s">
        <v>575</v>
      </c>
      <c r="C432" s="53" t="s">
        <v>2324</v>
      </c>
      <c r="D432" s="53" t="s">
        <v>833</v>
      </c>
      <c r="E432" s="53" t="s">
        <v>2325</v>
      </c>
      <c r="F432" s="53" t="s">
        <v>833</v>
      </c>
      <c r="G432" s="53" t="s">
        <v>2326</v>
      </c>
      <c r="H432" s="54">
        <v>1.88108488395E9</v>
      </c>
      <c r="I432" s="26" t="s">
        <v>1851</v>
      </c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52" t="s">
        <v>575</v>
      </c>
      <c r="C433" s="53" t="s">
        <v>2327</v>
      </c>
      <c r="D433" s="53" t="s">
        <v>730</v>
      </c>
      <c r="E433" s="53" t="s">
        <v>2328</v>
      </c>
      <c r="F433" s="53" t="s">
        <v>730</v>
      </c>
      <c r="G433" s="53" t="s">
        <v>2329</v>
      </c>
      <c r="H433" s="54">
        <v>6.3283627113E8</v>
      </c>
      <c r="I433" s="26" t="s">
        <v>1851</v>
      </c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52" t="s">
        <v>575</v>
      </c>
      <c r="C434" s="53" t="s">
        <v>2327</v>
      </c>
      <c r="D434" s="53" t="s">
        <v>941</v>
      </c>
      <c r="E434" s="53" t="s">
        <v>2330</v>
      </c>
      <c r="F434" s="53" t="s">
        <v>941</v>
      </c>
      <c r="G434" s="53" t="s">
        <v>2329</v>
      </c>
      <c r="H434" s="54">
        <v>3.189140766E7</v>
      </c>
      <c r="I434" s="26" t="s">
        <v>1851</v>
      </c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52" t="s">
        <v>575</v>
      </c>
      <c r="C435" s="53" t="s">
        <v>2331</v>
      </c>
      <c r="D435" s="53" t="s">
        <v>759</v>
      </c>
      <c r="E435" s="53" t="s">
        <v>2332</v>
      </c>
      <c r="F435" s="53" t="s">
        <v>759</v>
      </c>
      <c r="G435" s="53" t="s">
        <v>2333</v>
      </c>
      <c r="H435" s="54">
        <v>9.519261687E7</v>
      </c>
      <c r="I435" s="26" t="s">
        <v>1851</v>
      </c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52" t="s">
        <v>575</v>
      </c>
      <c r="C436" s="53" t="s">
        <v>2331</v>
      </c>
      <c r="D436" s="53" t="s">
        <v>763</v>
      </c>
      <c r="E436" s="53" t="s">
        <v>2334</v>
      </c>
      <c r="F436" s="53" t="s">
        <v>763</v>
      </c>
      <c r="G436" s="53" t="s">
        <v>2333</v>
      </c>
      <c r="H436" s="54">
        <v>1.545793431E7</v>
      </c>
      <c r="I436" s="26" t="s">
        <v>1851</v>
      </c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52" t="s">
        <v>575</v>
      </c>
      <c r="C437" s="53" t="s">
        <v>2331</v>
      </c>
      <c r="D437" s="53" t="s">
        <v>826</v>
      </c>
      <c r="E437" s="53" t="s">
        <v>2335</v>
      </c>
      <c r="F437" s="53" t="s">
        <v>826</v>
      </c>
      <c r="G437" s="53" t="s">
        <v>2333</v>
      </c>
      <c r="H437" s="54">
        <v>1.780678936E7</v>
      </c>
      <c r="I437" s="26" t="s">
        <v>1851</v>
      </c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52" t="s">
        <v>575</v>
      </c>
      <c r="C438" s="53" t="s">
        <v>2331</v>
      </c>
      <c r="D438" s="53" t="s">
        <v>710</v>
      </c>
      <c r="E438" s="53" t="s">
        <v>2336</v>
      </c>
      <c r="F438" s="53" t="s">
        <v>710</v>
      </c>
      <c r="G438" s="53" t="s">
        <v>2333</v>
      </c>
      <c r="H438" s="54">
        <v>7936124.82</v>
      </c>
      <c r="I438" s="26" t="s">
        <v>1851</v>
      </c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52" t="s">
        <v>575</v>
      </c>
      <c r="C439" s="53" t="s">
        <v>2331</v>
      </c>
      <c r="D439" s="53" t="s">
        <v>842</v>
      </c>
      <c r="E439" s="53" t="s">
        <v>2337</v>
      </c>
      <c r="F439" s="53" t="s">
        <v>842</v>
      </c>
      <c r="G439" s="53" t="s">
        <v>2333</v>
      </c>
      <c r="H439" s="54">
        <v>1.019615648E7</v>
      </c>
      <c r="I439" s="26" t="s">
        <v>1851</v>
      </c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52" t="s">
        <v>575</v>
      </c>
      <c r="C440" s="53" t="s">
        <v>2331</v>
      </c>
      <c r="D440" s="53" t="s">
        <v>999</v>
      </c>
      <c r="E440" s="53" t="s">
        <v>2338</v>
      </c>
      <c r="F440" s="53" t="s">
        <v>999</v>
      </c>
      <c r="G440" s="53" t="s">
        <v>2333</v>
      </c>
      <c r="H440" s="54">
        <v>3.028593776E7</v>
      </c>
      <c r="I440" s="26" t="s">
        <v>1851</v>
      </c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52" t="s">
        <v>575</v>
      </c>
      <c r="C441" s="53" t="s">
        <v>2331</v>
      </c>
      <c r="D441" s="53" t="s">
        <v>880</v>
      </c>
      <c r="E441" s="53" t="s">
        <v>2339</v>
      </c>
      <c r="F441" s="53" t="s">
        <v>880</v>
      </c>
      <c r="G441" s="53" t="s">
        <v>2333</v>
      </c>
      <c r="H441" s="54">
        <v>2.600627679E7</v>
      </c>
      <c r="I441" s="26" t="s">
        <v>1851</v>
      </c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52" t="s">
        <v>575</v>
      </c>
      <c r="C442" s="53" t="s">
        <v>2331</v>
      </c>
      <c r="D442" s="53" t="s">
        <v>717</v>
      </c>
      <c r="E442" s="53" t="s">
        <v>2340</v>
      </c>
      <c r="F442" s="53" t="s">
        <v>717</v>
      </c>
      <c r="G442" s="53" t="s">
        <v>2333</v>
      </c>
      <c r="H442" s="54">
        <v>1.165719711E7</v>
      </c>
      <c r="I442" s="26" t="s">
        <v>1851</v>
      </c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52" t="s">
        <v>575</v>
      </c>
      <c r="C443" s="53" t="s">
        <v>2341</v>
      </c>
      <c r="D443" s="53" t="s">
        <v>739</v>
      </c>
      <c r="E443" s="53" t="s">
        <v>2342</v>
      </c>
      <c r="F443" s="53" t="s">
        <v>739</v>
      </c>
      <c r="G443" s="53" t="s">
        <v>2343</v>
      </c>
      <c r="H443" s="54">
        <v>3.903849469E7</v>
      </c>
      <c r="I443" s="26" t="s">
        <v>1851</v>
      </c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52" t="s">
        <v>575</v>
      </c>
      <c r="C444" s="53" t="s">
        <v>2341</v>
      </c>
      <c r="D444" s="53" t="s">
        <v>2065</v>
      </c>
      <c r="E444" s="53" t="s">
        <v>2344</v>
      </c>
      <c r="F444" s="53" t="s">
        <v>2065</v>
      </c>
      <c r="G444" s="53" t="s">
        <v>2343</v>
      </c>
      <c r="H444" s="54">
        <v>6.0337756115E8</v>
      </c>
      <c r="I444" s="26" t="s">
        <v>1851</v>
      </c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52" t="s">
        <v>575</v>
      </c>
      <c r="C445" s="53" t="s">
        <v>2341</v>
      </c>
      <c r="D445" s="53" t="s">
        <v>695</v>
      </c>
      <c r="E445" s="53" t="s">
        <v>2345</v>
      </c>
      <c r="F445" s="53" t="s">
        <v>695</v>
      </c>
      <c r="G445" s="53" t="s">
        <v>2343</v>
      </c>
      <c r="H445" s="54">
        <v>1.776593091E7</v>
      </c>
      <c r="I445" s="26" t="s">
        <v>1851</v>
      </c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52" t="s">
        <v>575</v>
      </c>
      <c r="C446" s="53" t="s">
        <v>2341</v>
      </c>
      <c r="D446" s="53" t="s">
        <v>761</v>
      </c>
      <c r="E446" s="53" t="s">
        <v>2346</v>
      </c>
      <c r="F446" s="53" t="s">
        <v>761</v>
      </c>
      <c r="G446" s="53" t="s">
        <v>2343</v>
      </c>
      <c r="H446" s="54">
        <v>4798060.8</v>
      </c>
      <c r="I446" s="26" t="s">
        <v>1851</v>
      </c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52" t="s">
        <v>575</v>
      </c>
      <c r="C447" s="53" t="s">
        <v>2341</v>
      </c>
      <c r="D447" s="53" t="s">
        <v>788</v>
      </c>
      <c r="E447" s="53" t="s">
        <v>2347</v>
      </c>
      <c r="F447" s="53" t="s">
        <v>788</v>
      </c>
      <c r="G447" s="53" t="s">
        <v>2343</v>
      </c>
      <c r="H447" s="54">
        <v>3.533612186E7</v>
      </c>
      <c r="I447" s="26" t="s">
        <v>1851</v>
      </c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52" t="s">
        <v>575</v>
      </c>
      <c r="C448" s="53" t="s">
        <v>2341</v>
      </c>
      <c r="D448" s="53" t="s">
        <v>816</v>
      </c>
      <c r="E448" s="53" t="s">
        <v>2348</v>
      </c>
      <c r="F448" s="53" t="s">
        <v>816</v>
      </c>
      <c r="G448" s="53" t="s">
        <v>2343</v>
      </c>
      <c r="H448" s="54">
        <v>1.078994228E7</v>
      </c>
      <c r="I448" s="26" t="s">
        <v>1851</v>
      </c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52" t="s">
        <v>575</v>
      </c>
      <c r="C449" s="53" t="s">
        <v>2341</v>
      </c>
      <c r="D449" s="53" t="s">
        <v>834</v>
      </c>
      <c r="E449" s="53" t="s">
        <v>2349</v>
      </c>
      <c r="F449" s="53" t="s">
        <v>834</v>
      </c>
      <c r="G449" s="53" t="s">
        <v>2343</v>
      </c>
      <c r="H449" s="54">
        <v>1.54188294E7</v>
      </c>
      <c r="I449" s="26" t="s">
        <v>1851</v>
      </c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52" t="s">
        <v>575</v>
      </c>
      <c r="C450" s="53" t="s">
        <v>2341</v>
      </c>
      <c r="D450" s="53" t="s">
        <v>730</v>
      </c>
      <c r="E450" s="53" t="s">
        <v>2350</v>
      </c>
      <c r="F450" s="53" t="s">
        <v>730</v>
      </c>
      <c r="G450" s="53" t="s">
        <v>2343</v>
      </c>
      <c r="H450" s="54">
        <v>1.9878504347E8</v>
      </c>
      <c r="I450" s="26" t="s">
        <v>1851</v>
      </c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52" t="s">
        <v>575</v>
      </c>
      <c r="C451" s="53" t="s">
        <v>2341</v>
      </c>
      <c r="D451" s="53" t="s">
        <v>866</v>
      </c>
      <c r="E451" s="53" t="s">
        <v>2351</v>
      </c>
      <c r="F451" s="53" t="s">
        <v>866</v>
      </c>
      <c r="G451" s="53" t="s">
        <v>2343</v>
      </c>
      <c r="H451" s="54">
        <v>8.446554428E7</v>
      </c>
      <c r="I451" s="26" t="s">
        <v>1851</v>
      </c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52" t="s">
        <v>575</v>
      </c>
      <c r="C452" s="53" t="s">
        <v>2341</v>
      </c>
      <c r="D452" s="53" t="s">
        <v>876</v>
      </c>
      <c r="E452" s="53" t="s">
        <v>2352</v>
      </c>
      <c r="F452" s="53" t="s">
        <v>876</v>
      </c>
      <c r="G452" s="53" t="s">
        <v>2343</v>
      </c>
      <c r="H452" s="54">
        <v>6.845491861E7</v>
      </c>
      <c r="I452" s="26" t="s">
        <v>1851</v>
      </c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52" t="s">
        <v>575</v>
      </c>
      <c r="C453" s="53" t="s">
        <v>2341</v>
      </c>
      <c r="D453" s="53" t="s">
        <v>717</v>
      </c>
      <c r="E453" s="53" t="s">
        <v>2353</v>
      </c>
      <c r="F453" s="53" t="s">
        <v>717</v>
      </c>
      <c r="G453" s="53" t="s">
        <v>2343</v>
      </c>
      <c r="H453" s="54">
        <v>4.168081307E7</v>
      </c>
      <c r="I453" s="26" t="s">
        <v>1851</v>
      </c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52" t="s">
        <v>575</v>
      </c>
      <c r="C454" s="53" t="s">
        <v>2341</v>
      </c>
      <c r="D454" s="53" t="s">
        <v>915</v>
      </c>
      <c r="E454" s="53" t="s">
        <v>2354</v>
      </c>
      <c r="F454" s="53" t="s">
        <v>915</v>
      </c>
      <c r="G454" s="53" t="s">
        <v>2343</v>
      </c>
      <c r="H454" s="54">
        <v>4.251788918E7</v>
      </c>
      <c r="I454" s="26" t="s">
        <v>1851</v>
      </c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52" t="s">
        <v>575</v>
      </c>
      <c r="C455" s="53" t="s">
        <v>2341</v>
      </c>
      <c r="D455" s="53" t="s">
        <v>736</v>
      </c>
      <c r="E455" s="53" t="s">
        <v>2355</v>
      </c>
      <c r="F455" s="53" t="s">
        <v>736</v>
      </c>
      <c r="G455" s="53" t="s">
        <v>2343</v>
      </c>
      <c r="H455" s="54">
        <v>4052799.66</v>
      </c>
      <c r="I455" s="26" t="s">
        <v>1851</v>
      </c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52" t="s">
        <v>575</v>
      </c>
      <c r="C456" s="53" t="s">
        <v>2356</v>
      </c>
      <c r="D456" s="53" t="s">
        <v>730</v>
      </c>
      <c r="E456" s="53" t="s">
        <v>2357</v>
      </c>
      <c r="F456" s="53" t="s">
        <v>730</v>
      </c>
      <c r="G456" s="53" t="s">
        <v>2358</v>
      </c>
      <c r="H456" s="54">
        <v>5.1689376874E8</v>
      </c>
      <c r="I456" s="26" t="s">
        <v>1851</v>
      </c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58"/>
      <c r="B457" s="59" t="s">
        <v>2359</v>
      </c>
      <c r="C457" s="60" t="s">
        <v>2360</v>
      </c>
      <c r="D457" s="60" t="s">
        <v>2361</v>
      </c>
      <c r="E457" s="60" t="s">
        <v>2362</v>
      </c>
      <c r="F457" s="60" t="s">
        <v>2363</v>
      </c>
      <c r="G457" s="60" t="s">
        <v>2364</v>
      </c>
      <c r="H457" s="61">
        <v>4.5099555E7</v>
      </c>
      <c r="I457" s="58" t="s">
        <v>2365</v>
      </c>
      <c r="J457" s="58" t="s">
        <v>2366</v>
      </c>
      <c r="K457" s="58"/>
      <c r="L457" s="58" t="s">
        <v>2367</v>
      </c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58"/>
      <c r="B458" s="59" t="s">
        <v>2368</v>
      </c>
      <c r="C458" s="60" t="s">
        <v>2360</v>
      </c>
      <c r="D458" s="60" t="s">
        <v>2369</v>
      </c>
      <c r="E458" s="60" t="s">
        <v>2370</v>
      </c>
      <c r="F458" s="60" t="s">
        <v>2371</v>
      </c>
      <c r="G458" s="60" t="s">
        <v>2372</v>
      </c>
      <c r="H458" s="61">
        <v>7042756.6</v>
      </c>
      <c r="I458" s="58" t="s">
        <v>2365</v>
      </c>
      <c r="J458" s="58" t="s">
        <v>2366</v>
      </c>
      <c r="K458" s="58"/>
      <c r="L458" s="58" t="s">
        <v>2373</v>
      </c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58"/>
      <c r="B459" s="59" t="s">
        <v>2374</v>
      </c>
      <c r="C459" s="60" t="s">
        <v>2360</v>
      </c>
      <c r="D459" s="60" t="s">
        <v>2375</v>
      </c>
      <c r="E459" s="60" t="s">
        <v>2376</v>
      </c>
      <c r="F459" s="60" t="s">
        <v>2377</v>
      </c>
      <c r="G459" s="60" t="s">
        <v>2364</v>
      </c>
      <c r="H459" s="61">
        <v>2.317578522E7</v>
      </c>
      <c r="I459" s="58" t="s">
        <v>2365</v>
      </c>
      <c r="J459" s="58" t="s">
        <v>2366</v>
      </c>
      <c r="K459" s="58"/>
      <c r="L459" s="58" t="s">
        <v>2367</v>
      </c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58"/>
      <c r="B460" s="59" t="s">
        <v>2378</v>
      </c>
      <c r="C460" s="60" t="s">
        <v>2360</v>
      </c>
      <c r="D460" s="60" t="s">
        <v>2379</v>
      </c>
      <c r="E460" s="60" t="s">
        <v>2380</v>
      </c>
      <c r="F460" s="60" t="s">
        <v>2381</v>
      </c>
      <c r="G460" s="60" t="s">
        <v>2372</v>
      </c>
      <c r="H460" s="61">
        <v>6321137.84</v>
      </c>
      <c r="I460" s="58" t="s">
        <v>2365</v>
      </c>
      <c r="J460" s="58" t="s">
        <v>2366</v>
      </c>
      <c r="K460" s="58"/>
      <c r="L460" s="58" t="s">
        <v>2373</v>
      </c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58"/>
      <c r="B461" s="59" t="s">
        <v>2382</v>
      </c>
      <c r="C461" s="60" t="s">
        <v>2360</v>
      </c>
      <c r="D461" s="60" t="s">
        <v>2383</v>
      </c>
      <c r="E461" s="60" t="s">
        <v>2384</v>
      </c>
      <c r="F461" s="60" t="s">
        <v>2385</v>
      </c>
      <c r="G461" s="60" t="s">
        <v>2364</v>
      </c>
      <c r="H461" s="61">
        <v>5.0396694825E8</v>
      </c>
      <c r="I461" s="58" t="s">
        <v>2365</v>
      </c>
      <c r="J461" s="58" t="s">
        <v>2366</v>
      </c>
      <c r="K461" s="58"/>
      <c r="L461" s="58" t="s">
        <v>2367</v>
      </c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58"/>
      <c r="B462" s="59" t="s">
        <v>2386</v>
      </c>
      <c r="C462" s="60" t="s">
        <v>2360</v>
      </c>
      <c r="D462" s="60" t="s">
        <v>2387</v>
      </c>
      <c r="E462" s="60" t="s">
        <v>2388</v>
      </c>
      <c r="F462" s="60" t="s">
        <v>2389</v>
      </c>
      <c r="G462" s="60" t="s">
        <v>2372</v>
      </c>
      <c r="H462" s="61">
        <v>7.657787128E7</v>
      </c>
      <c r="I462" s="58" t="s">
        <v>2365</v>
      </c>
      <c r="J462" s="58" t="s">
        <v>2366</v>
      </c>
      <c r="K462" s="58"/>
      <c r="L462" s="58" t="s">
        <v>2373</v>
      </c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58"/>
      <c r="B463" s="59" t="s">
        <v>2390</v>
      </c>
      <c r="C463" s="60" t="s">
        <v>2360</v>
      </c>
      <c r="D463" s="60" t="s">
        <v>2391</v>
      </c>
      <c r="E463" s="60" t="s">
        <v>2392</v>
      </c>
      <c r="F463" s="60" t="s">
        <v>2393</v>
      </c>
      <c r="G463" s="60" t="s">
        <v>2364</v>
      </c>
      <c r="H463" s="61">
        <v>5.244675984E7</v>
      </c>
      <c r="I463" s="58" t="s">
        <v>2365</v>
      </c>
      <c r="J463" s="58" t="s">
        <v>2366</v>
      </c>
      <c r="K463" s="58"/>
      <c r="L463" s="58" t="s">
        <v>2367</v>
      </c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58"/>
      <c r="B464" s="59" t="s">
        <v>2394</v>
      </c>
      <c r="C464" s="60" t="s">
        <v>2360</v>
      </c>
      <c r="D464" s="60" t="s">
        <v>2395</v>
      </c>
      <c r="E464" s="60" t="s">
        <v>2396</v>
      </c>
      <c r="F464" s="60" t="s">
        <v>2397</v>
      </c>
      <c r="G464" s="60" t="s">
        <v>2372</v>
      </c>
      <c r="H464" s="61">
        <v>5546433.2</v>
      </c>
      <c r="I464" s="58" t="s">
        <v>2365</v>
      </c>
      <c r="J464" s="58" t="s">
        <v>2366</v>
      </c>
      <c r="K464" s="58"/>
      <c r="L464" s="58" t="s">
        <v>2373</v>
      </c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58"/>
      <c r="B465" s="59" t="s">
        <v>2398</v>
      </c>
      <c r="C465" s="60" t="s">
        <v>2360</v>
      </c>
      <c r="D465" s="60" t="s">
        <v>2399</v>
      </c>
      <c r="E465" s="60" t="s">
        <v>2400</v>
      </c>
      <c r="F465" s="60" t="s">
        <v>2401</v>
      </c>
      <c r="G465" s="60" t="s">
        <v>2364</v>
      </c>
      <c r="H465" s="61">
        <v>1.2359814096E8</v>
      </c>
      <c r="I465" s="58" t="s">
        <v>2365</v>
      </c>
      <c r="J465" s="58" t="s">
        <v>2366</v>
      </c>
      <c r="K465" s="58"/>
      <c r="L465" s="58" t="s">
        <v>2367</v>
      </c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58"/>
      <c r="B466" s="59" t="s">
        <v>2402</v>
      </c>
      <c r="C466" s="60" t="s">
        <v>2360</v>
      </c>
      <c r="D466" s="60" t="s">
        <v>2403</v>
      </c>
      <c r="E466" s="60" t="s">
        <v>2404</v>
      </c>
      <c r="F466" s="60" t="s">
        <v>2405</v>
      </c>
      <c r="G466" s="60" t="s">
        <v>2372</v>
      </c>
      <c r="H466" s="61">
        <v>1.735815785E7</v>
      </c>
      <c r="I466" s="58" t="s">
        <v>2365</v>
      </c>
      <c r="J466" s="58" t="s">
        <v>2366</v>
      </c>
      <c r="K466" s="58"/>
      <c r="L466" s="58" t="s">
        <v>2373</v>
      </c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58"/>
      <c r="B467" s="59" t="s">
        <v>2406</v>
      </c>
      <c r="C467" s="60" t="s">
        <v>2360</v>
      </c>
      <c r="D467" s="60" t="s">
        <v>2407</v>
      </c>
      <c r="E467" s="60" t="s">
        <v>2408</v>
      </c>
      <c r="F467" s="60" t="s">
        <v>2409</v>
      </c>
      <c r="G467" s="60" t="s">
        <v>2364</v>
      </c>
      <c r="H467" s="61">
        <v>8.5599869999E8</v>
      </c>
      <c r="I467" s="58" t="s">
        <v>2365</v>
      </c>
      <c r="J467" s="58" t="s">
        <v>2366</v>
      </c>
      <c r="K467" s="58"/>
      <c r="L467" s="58" t="s">
        <v>2367</v>
      </c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58"/>
      <c r="B468" s="59" t="s">
        <v>2410</v>
      </c>
      <c r="C468" s="60" t="s">
        <v>2360</v>
      </c>
      <c r="D468" s="60" t="s">
        <v>2411</v>
      </c>
      <c r="E468" s="60" t="s">
        <v>2412</v>
      </c>
      <c r="F468" s="60" t="s">
        <v>2413</v>
      </c>
      <c r="G468" s="60" t="s">
        <v>2372</v>
      </c>
      <c r="H468" s="61">
        <v>1.2420282504E8</v>
      </c>
      <c r="I468" s="58" t="s">
        <v>2365</v>
      </c>
      <c r="J468" s="58" t="s">
        <v>2366</v>
      </c>
      <c r="K468" s="58"/>
      <c r="L468" s="58" t="s">
        <v>2373</v>
      </c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58"/>
      <c r="B469" s="59" t="s">
        <v>2414</v>
      </c>
      <c r="C469" s="60" t="s">
        <v>2360</v>
      </c>
      <c r="D469" s="60" t="s">
        <v>2415</v>
      </c>
      <c r="E469" s="60" t="s">
        <v>2416</v>
      </c>
      <c r="F469" s="60" t="s">
        <v>2417</v>
      </c>
      <c r="G469" s="60" t="s">
        <v>2364</v>
      </c>
      <c r="H469" s="61">
        <v>2.2267760911E8</v>
      </c>
      <c r="I469" s="58" t="s">
        <v>2365</v>
      </c>
      <c r="J469" s="58" t="s">
        <v>2366</v>
      </c>
      <c r="K469" s="58"/>
      <c r="L469" s="58" t="s">
        <v>2367</v>
      </c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58"/>
      <c r="B470" s="59" t="s">
        <v>2418</v>
      </c>
      <c r="C470" s="60" t="s">
        <v>2360</v>
      </c>
      <c r="D470" s="60" t="s">
        <v>2419</v>
      </c>
      <c r="E470" s="60" t="s">
        <v>2420</v>
      </c>
      <c r="F470" s="60" t="s">
        <v>2421</v>
      </c>
      <c r="G470" s="60" t="s">
        <v>2372</v>
      </c>
      <c r="H470" s="61">
        <v>4.73331192E7</v>
      </c>
      <c r="I470" s="58" t="s">
        <v>2365</v>
      </c>
      <c r="J470" s="58" t="s">
        <v>2366</v>
      </c>
      <c r="K470" s="58"/>
      <c r="L470" s="58" t="s">
        <v>2373</v>
      </c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58"/>
      <c r="B471" s="59" t="s">
        <v>2422</v>
      </c>
      <c r="C471" s="60" t="s">
        <v>2360</v>
      </c>
      <c r="D471" s="60" t="s">
        <v>2423</v>
      </c>
      <c r="E471" s="60" t="s">
        <v>2424</v>
      </c>
      <c r="F471" s="60" t="s">
        <v>2425</v>
      </c>
      <c r="G471" s="60" t="s">
        <v>2364</v>
      </c>
      <c r="H471" s="61">
        <v>3.3828546687E8</v>
      </c>
      <c r="I471" s="58" t="s">
        <v>2365</v>
      </c>
      <c r="J471" s="58" t="s">
        <v>2366</v>
      </c>
      <c r="K471" s="58"/>
      <c r="L471" s="58" t="s">
        <v>2367</v>
      </c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58"/>
      <c r="B472" s="59" t="s">
        <v>2426</v>
      </c>
      <c r="C472" s="60" t="s">
        <v>2360</v>
      </c>
      <c r="D472" s="60" t="s">
        <v>2427</v>
      </c>
      <c r="E472" s="60" t="s">
        <v>2428</v>
      </c>
      <c r="F472" s="60" t="s">
        <v>2429</v>
      </c>
      <c r="G472" s="60" t="s">
        <v>2372</v>
      </c>
      <c r="H472" s="61">
        <v>3.431785E7</v>
      </c>
      <c r="I472" s="58" t="s">
        <v>2365</v>
      </c>
      <c r="J472" s="58" t="s">
        <v>2366</v>
      </c>
      <c r="K472" s="58"/>
      <c r="L472" s="58" t="s">
        <v>2373</v>
      </c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58"/>
      <c r="B473" s="59" t="s">
        <v>2430</v>
      </c>
      <c r="C473" s="60" t="s">
        <v>2360</v>
      </c>
      <c r="D473" s="60" t="s">
        <v>2431</v>
      </c>
      <c r="E473" s="60" t="s">
        <v>2432</v>
      </c>
      <c r="F473" s="60" t="s">
        <v>2433</v>
      </c>
      <c r="G473" s="60" t="s">
        <v>2434</v>
      </c>
      <c r="H473" s="61">
        <v>7784758.38</v>
      </c>
      <c r="I473" s="58" t="s">
        <v>2365</v>
      </c>
      <c r="J473" s="58" t="s">
        <v>2366</v>
      </c>
      <c r="K473" s="58"/>
      <c r="L473" s="58" t="s">
        <v>2435</v>
      </c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58"/>
      <c r="B474" s="59" t="s">
        <v>2436</v>
      </c>
      <c r="C474" s="60" t="s">
        <v>2360</v>
      </c>
      <c r="D474" s="60" t="s">
        <v>2437</v>
      </c>
      <c r="E474" s="60" t="s">
        <v>2438</v>
      </c>
      <c r="F474" s="60" t="s">
        <v>2439</v>
      </c>
      <c r="G474" s="60" t="s">
        <v>2364</v>
      </c>
      <c r="H474" s="61">
        <v>2.469122064E7</v>
      </c>
      <c r="I474" s="58" t="s">
        <v>2365</v>
      </c>
      <c r="J474" s="58" t="s">
        <v>2366</v>
      </c>
      <c r="K474" s="58"/>
      <c r="L474" s="58" t="s">
        <v>2367</v>
      </c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58"/>
      <c r="B475" s="59" t="s">
        <v>2440</v>
      </c>
      <c r="C475" s="60" t="s">
        <v>2360</v>
      </c>
      <c r="D475" s="60" t="s">
        <v>2441</v>
      </c>
      <c r="E475" s="60" t="s">
        <v>2442</v>
      </c>
      <c r="F475" s="60" t="s">
        <v>2443</v>
      </c>
      <c r="G475" s="60" t="s">
        <v>2364</v>
      </c>
      <c r="H475" s="61">
        <v>6969246.48</v>
      </c>
      <c r="I475" s="58" t="s">
        <v>2365</v>
      </c>
      <c r="J475" s="58" t="s">
        <v>2366</v>
      </c>
      <c r="K475" s="58"/>
      <c r="L475" s="58" t="s">
        <v>2367</v>
      </c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58"/>
      <c r="B476" s="59" t="s">
        <v>2444</v>
      </c>
      <c r="C476" s="60" t="s">
        <v>2360</v>
      </c>
      <c r="D476" s="60" t="s">
        <v>2445</v>
      </c>
      <c r="E476" s="60" t="s">
        <v>2446</v>
      </c>
      <c r="F476" s="60" t="s">
        <v>2447</v>
      </c>
      <c r="G476" s="60" t="s">
        <v>2372</v>
      </c>
      <c r="H476" s="61">
        <v>841071.0</v>
      </c>
      <c r="I476" s="58" t="s">
        <v>2365</v>
      </c>
      <c r="J476" s="58" t="s">
        <v>2366</v>
      </c>
      <c r="K476" s="58"/>
      <c r="L476" s="58" t="s">
        <v>2373</v>
      </c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58"/>
      <c r="B477" s="59" t="s">
        <v>2448</v>
      </c>
      <c r="C477" s="60" t="s">
        <v>2360</v>
      </c>
      <c r="D477" s="60" t="s">
        <v>2449</v>
      </c>
      <c r="E477" s="60" t="s">
        <v>2450</v>
      </c>
      <c r="F477" s="60" t="s">
        <v>2451</v>
      </c>
      <c r="G477" s="60" t="s">
        <v>2364</v>
      </c>
      <c r="H477" s="61">
        <v>5.828659128E7</v>
      </c>
      <c r="I477" s="58" t="s">
        <v>2365</v>
      </c>
      <c r="J477" s="58" t="s">
        <v>2366</v>
      </c>
      <c r="K477" s="58"/>
      <c r="L477" s="58" t="s">
        <v>2367</v>
      </c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58"/>
      <c r="B478" s="59" t="s">
        <v>2452</v>
      </c>
      <c r="C478" s="60" t="s">
        <v>2360</v>
      </c>
      <c r="D478" s="60" t="s">
        <v>2453</v>
      </c>
      <c r="E478" s="60" t="s">
        <v>2454</v>
      </c>
      <c r="F478" s="60" t="s">
        <v>2455</v>
      </c>
      <c r="G478" s="60" t="s">
        <v>2372</v>
      </c>
      <c r="H478" s="61">
        <v>2.82811243E7</v>
      </c>
      <c r="I478" s="58" t="s">
        <v>2365</v>
      </c>
      <c r="J478" s="58" t="s">
        <v>2366</v>
      </c>
      <c r="K478" s="58"/>
      <c r="L478" s="58" t="s">
        <v>2373</v>
      </c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58"/>
      <c r="B479" s="59" t="s">
        <v>2456</v>
      </c>
      <c r="C479" s="60" t="s">
        <v>2360</v>
      </c>
      <c r="D479" s="60" t="s">
        <v>2457</v>
      </c>
      <c r="E479" s="60" t="s">
        <v>2458</v>
      </c>
      <c r="F479" s="60" t="s">
        <v>2459</v>
      </c>
      <c r="G479" s="60" t="s">
        <v>2364</v>
      </c>
      <c r="H479" s="61">
        <v>1.4977819944E8</v>
      </c>
      <c r="I479" s="58" t="s">
        <v>2365</v>
      </c>
      <c r="J479" s="58" t="s">
        <v>2366</v>
      </c>
      <c r="K479" s="58"/>
      <c r="L479" s="58" t="s">
        <v>2367</v>
      </c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58"/>
      <c r="B480" s="59" t="s">
        <v>2460</v>
      </c>
      <c r="C480" s="60" t="s">
        <v>2360</v>
      </c>
      <c r="D480" s="60" t="s">
        <v>2461</v>
      </c>
      <c r="E480" s="60" t="s">
        <v>2462</v>
      </c>
      <c r="F480" s="60" t="s">
        <v>2463</v>
      </c>
      <c r="G480" s="60" t="s">
        <v>2372</v>
      </c>
      <c r="H480" s="61">
        <v>5656768.8</v>
      </c>
      <c r="I480" s="58" t="s">
        <v>2365</v>
      </c>
      <c r="J480" s="58" t="s">
        <v>2366</v>
      </c>
      <c r="K480" s="58"/>
      <c r="L480" s="58" t="s">
        <v>2373</v>
      </c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58"/>
      <c r="B481" s="59" t="s">
        <v>2464</v>
      </c>
      <c r="C481" s="60" t="s">
        <v>2360</v>
      </c>
      <c r="D481" s="60" t="s">
        <v>2465</v>
      </c>
      <c r="E481" s="60" t="s">
        <v>2466</v>
      </c>
      <c r="F481" s="60" t="s">
        <v>2467</v>
      </c>
      <c r="G481" s="60" t="s">
        <v>2364</v>
      </c>
      <c r="H481" s="61">
        <v>9.4450208931E8</v>
      </c>
      <c r="I481" s="58" t="s">
        <v>2365</v>
      </c>
      <c r="J481" s="58" t="s">
        <v>2366</v>
      </c>
      <c r="K481" s="58"/>
      <c r="L481" s="58" t="s">
        <v>2367</v>
      </c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58"/>
      <c r="B482" s="59" t="s">
        <v>2468</v>
      </c>
      <c r="C482" s="60" t="s">
        <v>2360</v>
      </c>
      <c r="D482" s="60" t="s">
        <v>2469</v>
      </c>
      <c r="E482" s="60" t="s">
        <v>2470</v>
      </c>
      <c r="F482" s="60" t="s">
        <v>2471</v>
      </c>
      <c r="G482" s="60" t="s">
        <v>2372</v>
      </c>
      <c r="H482" s="61">
        <v>1.989285102E8</v>
      </c>
      <c r="I482" s="58" t="s">
        <v>2365</v>
      </c>
      <c r="J482" s="58" t="s">
        <v>2366</v>
      </c>
      <c r="K482" s="58"/>
      <c r="L482" s="58" t="s">
        <v>2373</v>
      </c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58"/>
      <c r="B483" s="59" t="s">
        <v>2472</v>
      </c>
      <c r="C483" s="60" t="s">
        <v>2360</v>
      </c>
      <c r="D483" s="60" t="s">
        <v>2473</v>
      </c>
      <c r="E483" s="60" t="s">
        <v>2474</v>
      </c>
      <c r="F483" s="60" t="s">
        <v>2475</v>
      </c>
      <c r="G483" s="60" t="s">
        <v>2434</v>
      </c>
      <c r="H483" s="61">
        <v>7.759672635E7</v>
      </c>
      <c r="I483" s="58" t="s">
        <v>2365</v>
      </c>
      <c r="J483" s="58" t="s">
        <v>2366</v>
      </c>
      <c r="K483" s="58"/>
      <c r="L483" s="58" t="s">
        <v>2435</v>
      </c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58"/>
      <c r="B484" s="59" t="s">
        <v>2476</v>
      </c>
      <c r="C484" s="60" t="s">
        <v>2360</v>
      </c>
      <c r="D484" s="60" t="s">
        <v>2477</v>
      </c>
      <c r="E484" s="60" t="s">
        <v>2478</v>
      </c>
      <c r="F484" s="60" t="s">
        <v>2479</v>
      </c>
      <c r="G484" s="60" t="s">
        <v>2480</v>
      </c>
      <c r="H484" s="61">
        <v>4506484.0</v>
      </c>
      <c r="I484" s="58" t="s">
        <v>2365</v>
      </c>
      <c r="J484" s="58" t="s">
        <v>2366</v>
      </c>
      <c r="K484" s="58"/>
      <c r="L484" s="58" t="s">
        <v>2481</v>
      </c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58"/>
      <c r="B485" s="59" t="s">
        <v>2482</v>
      </c>
      <c r="C485" s="60" t="s">
        <v>2360</v>
      </c>
      <c r="D485" s="60" t="s">
        <v>2483</v>
      </c>
      <c r="E485" s="60" t="s">
        <v>2484</v>
      </c>
      <c r="F485" s="60" t="s">
        <v>2485</v>
      </c>
      <c r="G485" s="60" t="s">
        <v>2364</v>
      </c>
      <c r="H485" s="61">
        <v>3.5556617072E8</v>
      </c>
      <c r="I485" s="58" t="s">
        <v>2365</v>
      </c>
      <c r="J485" s="58" t="s">
        <v>2366</v>
      </c>
      <c r="K485" s="58"/>
      <c r="L485" s="58" t="s">
        <v>2367</v>
      </c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58"/>
      <c r="B486" s="59" t="s">
        <v>2486</v>
      </c>
      <c r="C486" s="60" t="s">
        <v>2360</v>
      </c>
      <c r="D486" s="60" t="s">
        <v>2487</v>
      </c>
      <c r="E486" s="60" t="s">
        <v>2488</v>
      </c>
      <c r="F486" s="60" t="s">
        <v>2489</v>
      </c>
      <c r="G486" s="60" t="s">
        <v>2372</v>
      </c>
      <c r="H486" s="61">
        <v>9.381581848E7</v>
      </c>
      <c r="I486" s="58" t="s">
        <v>2365</v>
      </c>
      <c r="J486" s="58" t="s">
        <v>2366</v>
      </c>
      <c r="K486" s="58"/>
      <c r="L486" s="58" t="s">
        <v>2373</v>
      </c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58"/>
      <c r="B487" s="59" t="s">
        <v>2490</v>
      </c>
      <c r="C487" s="60" t="s">
        <v>2360</v>
      </c>
      <c r="D487" s="60" t="s">
        <v>2491</v>
      </c>
      <c r="E487" s="60" t="s">
        <v>2492</v>
      </c>
      <c r="F487" s="60" t="s">
        <v>2493</v>
      </c>
      <c r="G487" s="60" t="s">
        <v>2434</v>
      </c>
      <c r="H487" s="61">
        <v>5.51774265E7</v>
      </c>
      <c r="I487" s="58" t="s">
        <v>2365</v>
      </c>
      <c r="J487" s="58" t="s">
        <v>2366</v>
      </c>
      <c r="K487" s="58"/>
      <c r="L487" s="58" t="s">
        <v>2435</v>
      </c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58"/>
      <c r="B488" s="59" t="s">
        <v>2494</v>
      </c>
      <c r="C488" s="60" t="s">
        <v>2360</v>
      </c>
      <c r="D488" s="60" t="s">
        <v>2495</v>
      </c>
      <c r="E488" s="60" t="s">
        <v>2496</v>
      </c>
      <c r="F488" s="60" t="s">
        <v>2497</v>
      </c>
      <c r="G488" s="60" t="s">
        <v>2364</v>
      </c>
      <c r="H488" s="61">
        <v>7.733137668E7</v>
      </c>
      <c r="I488" s="58" t="s">
        <v>2365</v>
      </c>
      <c r="J488" s="58" t="s">
        <v>2366</v>
      </c>
      <c r="K488" s="58"/>
      <c r="L488" s="58" t="s">
        <v>2367</v>
      </c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58"/>
      <c r="B489" s="59" t="s">
        <v>2498</v>
      </c>
      <c r="C489" s="60" t="s">
        <v>2360</v>
      </c>
      <c r="D489" s="60" t="s">
        <v>2499</v>
      </c>
      <c r="E489" s="60" t="s">
        <v>2500</v>
      </c>
      <c r="F489" s="60" t="s">
        <v>2501</v>
      </c>
      <c r="G489" s="60" t="s">
        <v>2372</v>
      </c>
      <c r="H489" s="61">
        <v>6100578.0</v>
      </c>
      <c r="I489" s="58" t="s">
        <v>2365</v>
      </c>
      <c r="J489" s="58" t="s">
        <v>2366</v>
      </c>
      <c r="K489" s="58"/>
      <c r="L489" s="58" t="s">
        <v>2373</v>
      </c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58"/>
      <c r="B490" s="59" t="s">
        <v>2502</v>
      </c>
      <c r="C490" s="60" t="s">
        <v>2360</v>
      </c>
      <c r="D490" s="60" t="s">
        <v>2503</v>
      </c>
      <c r="E490" s="60" t="s">
        <v>2504</v>
      </c>
      <c r="F490" s="60" t="s">
        <v>2505</v>
      </c>
      <c r="G490" s="60" t="s">
        <v>2364</v>
      </c>
      <c r="H490" s="61">
        <v>5.6802192392E8</v>
      </c>
      <c r="I490" s="58" t="s">
        <v>2365</v>
      </c>
      <c r="J490" s="58" t="s">
        <v>2366</v>
      </c>
      <c r="K490" s="58"/>
      <c r="L490" s="58" t="s">
        <v>2367</v>
      </c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58"/>
      <c r="B491" s="59" t="s">
        <v>2506</v>
      </c>
      <c r="C491" s="60" t="s">
        <v>2360</v>
      </c>
      <c r="D491" s="60" t="s">
        <v>2507</v>
      </c>
      <c r="E491" s="60" t="s">
        <v>2508</v>
      </c>
      <c r="F491" s="60" t="s">
        <v>2509</v>
      </c>
      <c r="G491" s="60" t="s">
        <v>2372</v>
      </c>
      <c r="H491" s="61">
        <v>2.0512520285E8</v>
      </c>
      <c r="I491" s="58" t="s">
        <v>2365</v>
      </c>
      <c r="J491" s="58" t="s">
        <v>2366</v>
      </c>
      <c r="K491" s="58"/>
      <c r="L491" s="58" t="s">
        <v>2373</v>
      </c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58"/>
      <c r="B492" s="59" t="s">
        <v>2510</v>
      </c>
      <c r="C492" s="60" t="s">
        <v>2360</v>
      </c>
      <c r="D492" s="60" t="s">
        <v>2511</v>
      </c>
      <c r="E492" s="60" t="s">
        <v>2512</v>
      </c>
      <c r="F492" s="60" t="s">
        <v>2513</v>
      </c>
      <c r="G492" s="60" t="s">
        <v>2364</v>
      </c>
      <c r="H492" s="61">
        <v>2.3445402806E8</v>
      </c>
      <c r="I492" s="58" t="s">
        <v>2365</v>
      </c>
      <c r="J492" s="58" t="s">
        <v>2366</v>
      </c>
      <c r="K492" s="58"/>
      <c r="L492" s="58" t="s">
        <v>2367</v>
      </c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58"/>
      <c r="B493" s="59" t="s">
        <v>2514</v>
      </c>
      <c r="C493" s="60" t="s">
        <v>2360</v>
      </c>
      <c r="D493" s="60" t="s">
        <v>2515</v>
      </c>
      <c r="E493" s="60" t="s">
        <v>2516</v>
      </c>
      <c r="F493" s="60" t="s">
        <v>2517</v>
      </c>
      <c r="G493" s="60" t="s">
        <v>2372</v>
      </c>
      <c r="H493" s="61">
        <v>1.89934544E7</v>
      </c>
      <c r="I493" s="58" t="s">
        <v>2365</v>
      </c>
      <c r="J493" s="58" t="s">
        <v>2366</v>
      </c>
      <c r="K493" s="58"/>
      <c r="L493" s="58" t="s">
        <v>2373</v>
      </c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58"/>
      <c r="B494" s="59" t="s">
        <v>2518</v>
      </c>
      <c r="C494" s="60" t="s">
        <v>2360</v>
      </c>
      <c r="D494" s="60" t="s">
        <v>2519</v>
      </c>
      <c r="E494" s="60" t="s">
        <v>2520</v>
      </c>
      <c r="F494" s="60" t="s">
        <v>2521</v>
      </c>
      <c r="G494" s="60" t="s">
        <v>2364</v>
      </c>
      <c r="H494" s="61">
        <v>1.1028411615E8</v>
      </c>
      <c r="I494" s="58" t="s">
        <v>2365</v>
      </c>
      <c r="J494" s="58" t="s">
        <v>2366</v>
      </c>
      <c r="K494" s="58"/>
      <c r="L494" s="58" t="s">
        <v>2367</v>
      </c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58"/>
      <c r="B495" s="59" t="s">
        <v>2522</v>
      </c>
      <c r="C495" s="60" t="s">
        <v>2360</v>
      </c>
      <c r="D495" s="60" t="s">
        <v>2523</v>
      </c>
      <c r="E495" s="60" t="s">
        <v>2524</v>
      </c>
      <c r="F495" s="60" t="s">
        <v>2525</v>
      </c>
      <c r="G495" s="60" t="s">
        <v>2372</v>
      </c>
      <c r="H495" s="61">
        <v>6.511258512E7</v>
      </c>
      <c r="I495" s="58" t="s">
        <v>2365</v>
      </c>
      <c r="J495" s="58" t="s">
        <v>2366</v>
      </c>
      <c r="K495" s="58"/>
      <c r="L495" s="58" t="s">
        <v>2373</v>
      </c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58"/>
      <c r="B496" s="59" t="s">
        <v>2526</v>
      </c>
      <c r="C496" s="60" t="s">
        <v>2360</v>
      </c>
      <c r="D496" s="60" t="s">
        <v>2527</v>
      </c>
      <c r="E496" s="60" t="s">
        <v>2528</v>
      </c>
      <c r="F496" s="60" t="s">
        <v>2529</v>
      </c>
      <c r="G496" s="60" t="s">
        <v>2364</v>
      </c>
      <c r="H496" s="61">
        <v>2.261067048E8</v>
      </c>
      <c r="I496" s="58" t="s">
        <v>2365</v>
      </c>
      <c r="J496" s="58" t="s">
        <v>2366</v>
      </c>
      <c r="K496" s="58"/>
      <c r="L496" s="58" t="s">
        <v>2367</v>
      </c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58"/>
      <c r="B497" s="59" t="s">
        <v>2530</v>
      </c>
      <c r="C497" s="60" t="s">
        <v>2360</v>
      </c>
      <c r="D497" s="60" t="s">
        <v>2531</v>
      </c>
      <c r="E497" s="60" t="s">
        <v>2532</v>
      </c>
      <c r="F497" s="60" t="s">
        <v>2533</v>
      </c>
      <c r="G497" s="60" t="s">
        <v>2372</v>
      </c>
      <c r="H497" s="61">
        <v>8.54457316E7</v>
      </c>
      <c r="I497" s="58" t="s">
        <v>2365</v>
      </c>
      <c r="J497" s="58" t="s">
        <v>2366</v>
      </c>
      <c r="K497" s="58"/>
      <c r="L497" s="58" t="s">
        <v>2373</v>
      </c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58"/>
      <c r="B498" s="59" t="s">
        <v>2534</v>
      </c>
      <c r="C498" s="60" t="s">
        <v>2360</v>
      </c>
      <c r="D498" s="60" t="s">
        <v>2535</v>
      </c>
      <c r="E498" s="60" t="s">
        <v>2536</v>
      </c>
      <c r="F498" s="60" t="s">
        <v>2537</v>
      </c>
      <c r="G498" s="60" t="s">
        <v>2364</v>
      </c>
      <c r="H498" s="61">
        <v>4.3360289837E8</v>
      </c>
      <c r="I498" s="58" t="s">
        <v>2365</v>
      </c>
      <c r="J498" s="58" t="s">
        <v>2366</v>
      </c>
      <c r="K498" s="58"/>
      <c r="L498" s="58" t="s">
        <v>2367</v>
      </c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58"/>
      <c r="B499" s="59" t="s">
        <v>2538</v>
      </c>
      <c r="C499" s="60" t="s">
        <v>2360</v>
      </c>
      <c r="D499" s="60" t="s">
        <v>2539</v>
      </c>
      <c r="E499" s="60" t="s">
        <v>2540</v>
      </c>
      <c r="F499" s="60" t="s">
        <v>2541</v>
      </c>
      <c r="G499" s="60" t="s">
        <v>2372</v>
      </c>
      <c r="H499" s="61">
        <v>1.3824161271E8</v>
      </c>
      <c r="I499" s="58" t="s">
        <v>2365</v>
      </c>
      <c r="J499" s="58" t="s">
        <v>2366</v>
      </c>
      <c r="K499" s="58"/>
      <c r="L499" s="58" t="s">
        <v>2373</v>
      </c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58"/>
      <c r="B500" s="59" t="s">
        <v>2542</v>
      </c>
      <c r="C500" s="60" t="s">
        <v>2360</v>
      </c>
      <c r="D500" s="60" t="s">
        <v>2543</v>
      </c>
      <c r="E500" s="60" t="s">
        <v>2544</v>
      </c>
      <c r="F500" s="60" t="s">
        <v>2545</v>
      </c>
      <c r="G500" s="60" t="s">
        <v>2364</v>
      </c>
      <c r="H500" s="61">
        <v>1.958210256E7</v>
      </c>
      <c r="I500" s="58" t="s">
        <v>2365</v>
      </c>
      <c r="J500" s="58" t="s">
        <v>2366</v>
      </c>
      <c r="K500" s="58"/>
      <c r="L500" s="58" t="s">
        <v>2367</v>
      </c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58"/>
      <c r="B501" s="59" t="s">
        <v>2546</v>
      </c>
      <c r="C501" s="60" t="s">
        <v>2360</v>
      </c>
      <c r="D501" s="60" t="s">
        <v>2547</v>
      </c>
      <c r="E501" s="60" t="s">
        <v>2548</v>
      </c>
      <c r="F501" s="60" t="s">
        <v>2549</v>
      </c>
      <c r="G501" s="60" t="s">
        <v>2364</v>
      </c>
      <c r="H501" s="61">
        <v>1.07073087888E9</v>
      </c>
      <c r="I501" s="58" t="s">
        <v>2365</v>
      </c>
      <c r="J501" s="58" t="s">
        <v>2366</v>
      </c>
      <c r="K501" s="58"/>
      <c r="L501" s="58" t="s">
        <v>2367</v>
      </c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58"/>
      <c r="B502" s="59" t="s">
        <v>2550</v>
      </c>
      <c r="C502" s="60" t="s">
        <v>2360</v>
      </c>
      <c r="D502" s="60" t="s">
        <v>2551</v>
      </c>
      <c r="E502" s="60" t="s">
        <v>2552</v>
      </c>
      <c r="F502" s="60" t="s">
        <v>2553</v>
      </c>
      <c r="G502" s="60" t="s">
        <v>2372</v>
      </c>
      <c r="H502" s="61">
        <v>3.3791686066E8</v>
      </c>
      <c r="I502" s="58" t="s">
        <v>2365</v>
      </c>
      <c r="J502" s="58" t="s">
        <v>2366</v>
      </c>
      <c r="K502" s="58"/>
      <c r="L502" s="58" t="s">
        <v>2373</v>
      </c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58"/>
      <c r="B503" s="59" t="s">
        <v>2554</v>
      </c>
      <c r="C503" s="60" t="s">
        <v>2360</v>
      </c>
      <c r="D503" s="60" t="s">
        <v>2555</v>
      </c>
      <c r="E503" s="60" t="s">
        <v>2556</v>
      </c>
      <c r="F503" s="60" t="s">
        <v>2557</v>
      </c>
      <c r="G503" s="60" t="s">
        <v>2434</v>
      </c>
      <c r="H503" s="61">
        <v>1.1864662712E8</v>
      </c>
      <c r="I503" s="58" t="s">
        <v>2365</v>
      </c>
      <c r="J503" s="58" t="s">
        <v>2366</v>
      </c>
      <c r="K503" s="58"/>
      <c r="L503" s="58" t="s">
        <v>2435</v>
      </c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58"/>
      <c r="B504" s="59" t="s">
        <v>2558</v>
      </c>
      <c r="C504" s="60" t="s">
        <v>2360</v>
      </c>
      <c r="D504" s="60" t="s">
        <v>2559</v>
      </c>
      <c r="E504" s="60" t="s">
        <v>2560</v>
      </c>
      <c r="F504" s="60" t="s">
        <v>2561</v>
      </c>
      <c r="G504" s="60" t="s">
        <v>2480</v>
      </c>
      <c r="H504" s="61">
        <v>2.73511542E7</v>
      </c>
      <c r="I504" s="58" t="s">
        <v>2365</v>
      </c>
      <c r="J504" s="58" t="s">
        <v>2366</v>
      </c>
      <c r="K504" s="58"/>
      <c r="L504" s="58" t="s">
        <v>2481</v>
      </c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58"/>
      <c r="B505" s="59" t="s">
        <v>2562</v>
      </c>
      <c r="C505" s="60" t="s">
        <v>2360</v>
      </c>
      <c r="D505" s="60" t="s">
        <v>2563</v>
      </c>
      <c r="E505" s="60" t="s">
        <v>2564</v>
      </c>
      <c r="F505" s="60" t="s">
        <v>2565</v>
      </c>
      <c r="G505" s="60" t="s">
        <v>2364</v>
      </c>
      <c r="H505" s="61">
        <v>2.170268743E8</v>
      </c>
      <c r="I505" s="58" t="s">
        <v>2365</v>
      </c>
      <c r="J505" s="58" t="s">
        <v>2366</v>
      </c>
      <c r="K505" s="58"/>
      <c r="L505" s="58" t="s">
        <v>2367</v>
      </c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58"/>
      <c r="B506" s="59" t="s">
        <v>2566</v>
      </c>
      <c r="C506" s="60" t="s">
        <v>2360</v>
      </c>
      <c r="D506" s="60" t="s">
        <v>2567</v>
      </c>
      <c r="E506" s="60" t="s">
        <v>2568</v>
      </c>
      <c r="F506" s="60" t="s">
        <v>2569</v>
      </c>
      <c r="G506" s="60" t="s">
        <v>2372</v>
      </c>
      <c r="H506" s="61">
        <v>2.995773789E7</v>
      </c>
      <c r="I506" s="58" t="s">
        <v>2365</v>
      </c>
      <c r="J506" s="58" t="s">
        <v>2366</v>
      </c>
      <c r="K506" s="58"/>
      <c r="L506" s="58" t="s">
        <v>2373</v>
      </c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58"/>
      <c r="B507" s="59" t="s">
        <v>2570</v>
      </c>
      <c r="C507" s="60" t="s">
        <v>2360</v>
      </c>
      <c r="D507" s="60" t="s">
        <v>2571</v>
      </c>
      <c r="E507" s="60" t="s">
        <v>2572</v>
      </c>
      <c r="F507" s="60" t="s">
        <v>2573</v>
      </c>
      <c r="G507" s="60" t="s">
        <v>2434</v>
      </c>
      <c r="H507" s="61">
        <v>7784480.12</v>
      </c>
      <c r="I507" s="58" t="s">
        <v>2365</v>
      </c>
      <c r="J507" s="58" t="s">
        <v>2366</v>
      </c>
      <c r="K507" s="58"/>
      <c r="L507" s="58" t="s">
        <v>2435</v>
      </c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58"/>
      <c r="B508" s="59" t="s">
        <v>2574</v>
      </c>
      <c r="C508" s="60" t="s">
        <v>2360</v>
      </c>
      <c r="D508" s="60" t="s">
        <v>2575</v>
      </c>
      <c r="E508" s="60" t="s">
        <v>2576</v>
      </c>
      <c r="F508" s="60" t="s">
        <v>2577</v>
      </c>
      <c r="G508" s="60" t="s">
        <v>2364</v>
      </c>
      <c r="H508" s="61">
        <v>7733331.12</v>
      </c>
      <c r="I508" s="58" t="s">
        <v>2365</v>
      </c>
      <c r="J508" s="58" t="s">
        <v>2366</v>
      </c>
      <c r="K508" s="58"/>
      <c r="L508" s="58" t="s">
        <v>2367</v>
      </c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58"/>
      <c r="B509" s="59" t="s">
        <v>2578</v>
      </c>
      <c r="C509" s="60" t="s">
        <v>2360</v>
      </c>
      <c r="D509" s="60" t="s">
        <v>2579</v>
      </c>
      <c r="E509" s="60" t="s">
        <v>2580</v>
      </c>
      <c r="F509" s="60" t="s">
        <v>2581</v>
      </c>
      <c r="G509" s="60" t="s">
        <v>2372</v>
      </c>
      <c r="H509" s="61">
        <v>2253867.0</v>
      </c>
      <c r="I509" s="58" t="s">
        <v>2365</v>
      </c>
      <c r="J509" s="58" t="s">
        <v>2366</v>
      </c>
      <c r="K509" s="58"/>
      <c r="L509" s="58" t="s">
        <v>2373</v>
      </c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58"/>
      <c r="B510" s="59" t="s">
        <v>2582</v>
      </c>
      <c r="C510" s="60" t="s">
        <v>2360</v>
      </c>
      <c r="D510" s="60" t="s">
        <v>2583</v>
      </c>
      <c r="E510" s="60" t="s">
        <v>2584</v>
      </c>
      <c r="F510" s="60" t="s">
        <v>2585</v>
      </c>
      <c r="G510" s="60" t="s">
        <v>2364</v>
      </c>
      <c r="H510" s="61">
        <v>2.5018754685E8</v>
      </c>
      <c r="I510" s="58" t="s">
        <v>2365</v>
      </c>
      <c r="J510" s="58" t="s">
        <v>2366</v>
      </c>
      <c r="K510" s="58"/>
      <c r="L510" s="58" t="s">
        <v>2367</v>
      </c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58"/>
      <c r="B511" s="59" t="s">
        <v>2586</v>
      </c>
      <c r="C511" s="60" t="s">
        <v>2360</v>
      </c>
      <c r="D511" s="60" t="s">
        <v>2587</v>
      </c>
      <c r="E511" s="60" t="s">
        <v>2588</v>
      </c>
      <c r="F511" s="60" t="s">
        <v>2589</v>
      </c>
      <c r="G511" s="60" t="s">
        <v>2372</v>
      </c>
      <c r="H511" s="61">
        <v>9.478408152E7</v>
      </c>
      <c r="I511" s="58" t="s">
        <v>2365</v>
      </c>
      <c r="J511" s="58" t="s">
        <v>2366</v>
      </c>
      <c r="K511" s="58"/>
      <c r="L511" s="58" t="s">
        <v>2373</v>
      </c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58"/>
      <c r="B512" s="59" t="s">
        <v>2590</v>
      </c>
      <c r="C512" s="60" t="s">
        <v>2360</v>
      </c>
      <c r="D512" s="60" t="s">
        <v>2591</v>
      </c>
      <c r="E512" s="60" t="s">
        <v>2592</v>
      </c>
      <c r="F512" s="60" t="s">
        <v>2593</v>
      </c>
      <c r="G512" s="60" t="s">
        <v>2364</v>
      </c>
      <c r="H512" s="61">
        <v>1.5693675364E8</v>
      </c>
      <c r="I512" s="58" t="s">
        <v>2365</v>
      </c>
      <c r="J512" s="58" t="s">
        <v>2366</v>
      </c>
      <c r="K512" s="58"/>
      <c r="L512" s="58" t="s">
        <v>2367</v>
      </c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58"/>
      <c r="B513" s="59" t="s">
        <v>2594</v>
      </c>
      <c r="C513" s="60" t="s">
        <v>2360</v>
      </c>
      <c r="D513" s="60" t="s">
        <v>2595</v>
      </c>
      <c r="E513" s="60" t="s">
        <v>2596</v>
      </c>
      <c r="F513" s="60" t="s">
        <v>2597</v>
      </c>
      <c r="G513" s="60" t="s">
        <v>2372</v>
      </c>
      <c r="H513" s="61">
        <v>2.240229313E7</v>
      </c>
      <c r="I513" s="58" t="s">
        <v>2365</v>
      </c>
      <c r="J513" s="58" t="s">
        <v>2366</v>
      </c>
      <c r="K513" s="58"/>
      <c r="L513" s="58" t="s">
        <v>2373</v>
      </c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58"/>
      <c r="B514" s="59" t="s">
        <v>2598</v>
      </c>
      <c r="C514" s="60" t="s">
        <v>2360</v>
      </c>
      <c r="D514" s="60" t="s">
        <v>2599</v>
      </c>
      <c r="E514" s="60" t="s">
        <v>2600</v>
      </c>
      <c r="F514" s="60" t="s">
        <v>2601</v>
      </c>
      <c r="G514" s="60" t="s">
        <v>2364</v>
      </c>
      <c r="H514" s="61">
        <v>2.664708351E8</v>
      </c>
      <c r="I514" s="58" t="s">
        <v>2365</v>
      </c>
      <c r="J514" s="58" t="s">
        <v>2366</v>
      </c>
      <c r="K514" s="58"/>
      <c r="L514" s="58" t="s">
        <v>2367</v>
      </c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58"/>
      <c r="B515" s="59" t="s">
        <v>2602</v>
      </c>
      <c r="C515" s="60" t="s">
        <v>2360</v>
      </c>
      <c r="D515" s="60" t="s">
        <v>2603</v>
      </c>
      <c r="E515" s="60" t="s">
        <v>2604</v>
      </c>
      <c r="F515" s="60" t="s">
        <v>2605</v>
      </c>
      <c r="G515" s="60" t="s">
        <v>2372</v>
      </c>
      <c r="H515" s="61">
        <v>5.533193616E7</v>
      </c>
      <c r="I515" s="58" t="s">
        <v>2365</v>
      </c>
      <c r="J515" s="58" t="s">
        <v>2366</v>
      </c>
      <c r="K515" s="58"/>
      <c r="L515" s="58" t="s">
        <v>2373</v>
      </c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58"/>
      <c r="B516" s="59" t="s">
        <v>2606</v>
      </c>
      <c r="C516" s="60" t="s">
        <v>2360</v>
      </c>
      <c r="D516" s="60" t="s">
        <v>2607</v>
      </c>
      <c r="E516" s="60" t="s">
        <v>2608</v>
      </c>
      <c r="F516" s="60" t="s">
        <v>2609</v>
      </c>
      <c r="G516" s="60" t="s">
        <v>2364</v>
      </c>
      <c r="H516" s="61">
        <v>5546031.96</v>
      </c>
      <c r="I516" s="58" t="s">
        <v>2365</v>
      </c>
      <c r="J516" s="58" t="s">
        <v>2366</v>
      </c>
      <c r="K516" s="58"/>
      <c r="L516" s="58" t="s">
        <v>2367</v>
      </c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58"/>
      <c r="B517" s="59" t="s">
        <v>2610</v>
      </c>
      <c r="C517" s="60" t="s">
        <v>2360</v>
      </c>
      <c r="D517" s="60" t="s">
        <v>2611</v>
      </c>
      <c r="E517" s="60" t="s">
        <v>2612</v>
      </c>
      <c r="F517" s="60" t="s">
        <v>2613</v>
      </c>
      <c r="G517" s="60" t="s">
        <v>2372</v>
      </c>
      <c r="H517" s="61">
        <v>3.708727554E7</v>
      </c>
      <c r="I517" s="58" t="s">
        <v>2365</v>
      </c>
      <c r="J517" s="58" t="s">
        <v>2366</v>
      </c>
      <c r="K517" s="58"/>
      <c r="L517" s="58" t="s">
        <v>2373</v>
      </c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58"/>
      <c r="B518" s="59" t="s">
        <v>2614</v>
      </c>
      <c r="C518" s="60" t="s">
        <v>2360</v>
      </c>
      <c r="D518" s="60" t="s">
        <v>2615</v>
      </c>
      <c r="E518" s="60" t="s">
        <v>2616</v>
      </c>
      <c r="F518" s="60" t="s">
        <v>2617</v>
      </c>
      <c r="G518" s="60" t="s">
        <v>2364</v>
      </c>
      <c r="H518" s="61">
        <v>8.118394557E7</v>
      </c>
      <c r="I518" s="58" t="s">
        <v>2365</v>
      </c>
      <c r="J518" s="58" t="s">
        <v>2366</v>
      </c>
      <c r="K518" s="58"/>
      <c r="L518" s="58" t="s">
        <v>2367</v>
      </c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58"/>
      <c r="B519" s="59" t="s">
        <v>2618</v>
      </c>
      <c r="C519" s="60" t="s">
        <v>2360</v>
      </c>
      <c r="D519" s="60" t="s">
        <v>2619</v>
      </c>
      <c r="E519" s="60" t="s">
        <v>2620</v>
      </c>
      <c r="F519" s="60" t="s">
        <v>2621</v>
      </c>
      <c r="G519" s="60" t="s">
        <v>2372</v>
      </c>
      <c r="H519" s="61">
        <v>3346000.9</v>
      </c>
      <c r="I519" s="58" t="s">
        <v>2365</v>
      </c>
      <c r="J519" s="58" t="s">
        <v>2366</v>
      </c>
      <c r="K519" s="58"/>
      <c r="L519" s="58" t="s">
        <v>2373</v>
      </c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58"/>
      <c r="B520" s="59" t="s">
        <v>2622</v>
      </c>
      <c r="C520" s="60" t="s">
        <v>2360</v>
      </c>
      <c r="D520" s="60" t="s">
        <v>2623</v>
      </c>
      <c r="E520" s="60" t="s">
        <v>2624</v>
      </c>
      <c r="F520" s="60" t="s">
        <v>2625</v>
      </c>
      <c r="G520" s="60" t="s">
        <v>2364</v>
      </c>
      <c r="H520" s="61">
        <v>1.6434491328E8</v>
      </c>
      <c r="I520" s="58" t="s">
        <v>2365</v>
      </c>
      <c r="J520" s="58" t="s">
        <v>2366</v>
      </c>
      <c r="K520" s="58"/>
      <c r="L520" s="58" t="s">
        <v>2367</v>
      </c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58"/>
      <c r="B521" s="59" t="s">
        <v>2626</v>
      </c>
      <c r="C521" s="60" t="s">
        <v>2360</v>
      </c>
      <c r="D521" s="60" t="s">
        <v>2627</v>
      </c>
      <c r="E521" s="60" t="s">
        <v>2628</v>
      </c>
      <c r="F521" s="60" t="s">
        <v>2629</v>
      </c>
      <c r="G521" s="60" t="s">
        <v>2372</v>
      </c>
      <c r="H521" s="61">
        <v>3.42333872E7</v>
      </c>
      <c r="I521" s="58" t="s">
        <v>2365</v>
      </c>
      <c r="J521" s="58" t="s">
        <v>2366</v>
      </c>
      <c r="K521" s="58"/>
      <c r="L521" s="58" t="s">
        <v>2373</v>
      </c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58"/>
      <c r="B522" s="59" t="s">
        <v>2630</v>
      </c>
      <c r="C522" s="60" t="s">
        <v>2360</v>
      </c>
      <c r="D522" s="60" t="s">
        <v>2631</v>
      </c>
      <c r="E522" s="60" t="s">
        <v>2632</v>
      </c>
      <c r="F522" s="60" t="s">
        <v>2633</v>
      </c>
      <c r="G522" s="60" t="s">
        <v>2364</v>
      </c>
      <c r="H522" s="61">
        <v>1.7496406872E8</v>
      </c>
      <c r="I522" s="58" t="s">
        <v>2365</v>
      </c>
      <c r="J522" s="58" t="s">
        <v>2366</v>
      </c>
      <c r="K522" s="58"/>
      <c r="L522" s="58" t="s">
        <v>2367</v>
      </c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58"/>
      <c r="B523" s="59" t="s">
        <v>2634</v>
      </c>
      <c r="C523" s="60" t="s">
        <v>2360</v>
      </c>
      <c r="D523" s="60" t="s">
        <v>2635</v>
      </c>
      <c r="E523" s="60" t="s">
        <v>2636</v>
      </c>
      <c r="F523" s="60" t="s">
        <v>2637</v>
      </c>
      <c r="G523" s="60" t="s">
        <v>2372</v>
      </c>
      <c r="H523" s="61">
        <v>3.70621064E7</v>
      </c>
      <c r="I523" s="58" t="s">
        <v>2365</v>
      </c>
      <c r="J523" s="58" t="s">
        <v>2366</v>
      </c>
      <c r="K523" s="58"/>
      <c r="L523" s="58" t="s">
        <v>2373</v>
      </c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58"/>
      <c r="B524" s="59" t="s">
        <v>2638</v>
      </c>
      <c r="C524" s="60" t="s">
        <v>2360</v>
      </c>
      <c r="D524" s="60" t="s">
        <v>2639</v>
      </c>
      <c r="E524" s="60" t="s">
        <v>2640</v>
      </c>
      <c r="F524" s="60" t="s">
        <v>2641</v>
      </c>
      <c r="G524" s="60" t="s">
        <v>2364</v>
      </c>
      <c r="H524" s="61">
        <v>1.52478678E7</v>
      </c>
      <c r="I524" s="58" t="s">
        <v>2365</v>
      </c>
      <c r="J524" s="58" t="s">
        <v>2366</v>
      </c>
      <c r="K524" s="58"/>
      <c r="L524" s="58" t="s">
        <v>2367</v>
      </c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58"/>
      <c r="B525" s="59" t="s">
        <v>2642</v>
      </c>
      <c r="C525" s="60" t="s">
        <v>2360</v>
      </c>
      <c r="D525" s="60" t="s">
        <v>2643</v>
      </c>
      <c r="E525" s="60" t="s">
        <v>2644</v>
      </c>
      <c r="F525" s="60" t="s">
        <v>2645</v>
      </c>
      <c r="G525" s="60" t="s">
        <v>2372</v>
      </c>
      <c r="H525" s="61">
        <v>2101189.2</v>
      </c>
      <c r="I525" s="58" t="s">
        <v>2365</v>
      </c>
      <c r="J525" s="58" t="s">
        <v>2366</v>
      </c>
      <c r="K525" s="58"/>
      <c r="L525" s="58" t="s">
        <v>2373</v>
      </c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58"/>
      <c r="B526" s="59" t="s">
        <v>2646</v>
      </c>
      <c r="C526" s="60" t="s">
        <v>2360</v>
      </c>
      <c r="D526" s="60" t="s">
        <v>2647</v>
      </c>
      <c r="E526" s="60" t="s">
        <v>2648</v>
      </c>
      <c r="F526" s="60" t="s">
        <v>2649</v>
      </c>
      <c r="G526" s="60" t="s">
        <v>2364</v>
      </c>
      <c r="H526" s="61">
        <v>2.1449692251E8</v>
      </c>
      <c r="I526" s="58" t="s">
        <v>2365</v>
      </c>
      <c r="J526" s="58" t="s">
        <v>2366</v>
      </c>
      <c r="K526" s="58"/>
      <c r="L526" s="58" t="s">
        <v>2367</v>
      </c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58"/>
      <c r="B527" s="59" t="s">
        <v>2650</v>
      </c>
      <c r="C527" s="60" t="s">
        <v>2360</v>
      </c>
      <c r="D527" s="60" t="s">
        <v>2651</v>
      </c>
      <c r="E527" s="60" t="s">
        <v>2652</v>
      </c>
      <c r="F527" s="60" t="s">
        <v>2653</v>
      </c>
      <c r="G527" s="60" t="s">
        <v>2372</v>
      </c>
      <c r="H527" s="61">
        <v>1.932961808E7</v>
      </c>
      <c r="I527" s="58" t="s">
        <v>2365</v>
      </c>
      <c r="J527" s="58" t="s">
        <v>2366</v>
      </c>
      <c r="K527" s="58"/>
      <c r="L527" s="58" t="s">
        <v>2373</v>
      </c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58"/>
      <c r="B528" s="59" t="s">
        <v>2654</v>
      </c>
      <c r="C528" s="60" t="s">
        <v>2360</v>
      </c>
      <c r="D528" s="60" t="s">
        <v>2655</v>
      </c>
      <c r="E528" s="60" t="s">
        <v>2656</v>
      </c>
      <c r="F528" s="60" t="s">
        <v>2657</v>
      </c>
      <c r="G528" s="60" t="s">
        <v>2364</v>
      </c>
      <c r="H528" s="61">
        <v>2.542520799E7</v>
      </c>
      <c r="I528" s="58" t="s">
        <v>2365</v>
      </c>
      <c r="J528" s="58" t="s">
        <v>2366</v>
      </c>
      <c r="K528" s="58"/>
      <c r="L528" s="58" t="s">
        <v>2367</v>
      </c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58"/>
      <c r="B529" s="59" t="s">
        <v>2658</v>
      </c>
      <c r="C529" s="60" t="s">
        <v>2360</v>
      </c>
      <c r="D529" s="60" t="s">
        <v>2659</v>
      </c>
      <c r="E529" s="60" t="s">
        <v>2660</v>
      </c>
      <c r="F529" s="60" t="s">
        <v>2661</v>
      </c>
      <c r="G529" s="60" t="s">
        <v>2372</v>
      </c>
      <c r="H529" s="61">
        <v>3.50532721E7</v>
      </c>
      <c r="I529" s="58" t="s">
        <v>2365</v>
      </c>
      <c r="J529" s="58" t="s">
        <v>2366</v>
      </c>
      <c r="K529" s="58"/>
      <c r="L529" s="58" t="s">
        <v>2373</v>
      </c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26"/>
      <c r="B530" s="52" t="s">
        <v>2662</v>
      </c>
      <c r="C530" s="53" t="s">
        <v>2360</v>
      </c>
      <c r="D530" s="53" t="s">
        <v>1639</v>
      </c>
      <c r="E530" s="53" t="s">
        <v>2663</v>
      </c>
      <c r="F530" s="53" t="s">
        <v>1639</v>
      </c>
      <c r="G530" s="53" t="s">
        <v>2364</v>
      </c>
      <c r="H530" s="54">
        <v>9.60289869968E9</v>
      </c>
      <c r="I530" s="26" t="s">
        <v>2365</v>
      </c>
      <c r="J530" s="26" t="s">
        <v>2366</v>
      </c>
      <c r="K530" s="26"/>
      <c r="L530" s="26" t="s">
        <v>2367</v>
      </c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52" t="s">
        <v>2662</v>
      </c>
      <c r="C531" s="53" t="s">
        <v>2360</v>
      </c>
      <c r="D531" s="53" t="s">
        <v>1639</v>
      </c>
      <c r="E531" s="53" t="s">
        <v>2664</v>
      </c>
      <c r="F531" s="53" t="s">
        <v>1639</v>
      </c>
      <c r="G531" s="53" t="s">
        <v>2372</v>
      </c>
      <c r="H531" s="54">
        <v>2.96486584808E9</v>
      </c>
      <c r="I531" s="26" t="s">
        <v>2365</v>
      </c>
      <c r="J531" s="26" t="s">
        <v>2366</v>
      </c>
      <c r="K531" s="26"/>
      <c r="L531" s="26" t="s">
        <v>2373</v>
      </c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52" t="s">
        <v>2662</v>
      </c>
      <c r="C532" s="53" t="s">
        <v>2360</v>
      </c>
      <c r="D532" s="53" t="s">
        <v>1639</v>
      </c>
      <c r="E532" s="53" t="s">
        <v>2665</v>
      </c>
      <c r="F532" s="53" t="s">
        <v>1639</v>
      </c>
      <c r="G532" s="53" t="s">
        <v>2434</v>
      </c>
      <c r="H532" s="54">
        <v>1.8226831119E9</v>
      </c>
      <c r="I532" s="26" t="s">
        <v>2365</v>
      </c>
      <c r="J532" s="26" t="s">
        <v>2366</v>
      </c>
      <c r="K532" s="26"/>
      <c r="L532" s="26" t="s">
        <v>2435</v>
      </c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52" t="s">
        <v>2662</v>
      </c>
      <c r="C533" s="53" t="s">
        <v>2360</v>
      </c>
      <c r="D533" s="53" t="s">
        <v>1639</v>
      </c>
      <c r="E533" s="53" t="s">
        <v>2666</v>
      </c>
      <c r="F533" s="53" t="s">
        <v>1639</v>
      </c>
      <c r="G533" s="53" t="s">
        <v>2480</v>
      </c>
      <c r="H533" s="54">
        <v>3.7507300663E8</v>
      </c>
      <c r="I533" s="26" t="s">
        <v>2365</v>
      </c>
      <c r="J533" s="26" t="s">
        <v>2366</v>
      </c>
      <c r="K533" s="26"/>
      <c r="L533" s="26" t="s">
        <v>2481</v>
      </c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58"/>
      <c r="B534" s="59" t="s">
        <v>2667</v>
      </c>
      <c r="C534" s="60" t="s">
        <v>2360</v>
      </c>
      <c r="D534" s="60" t="s">
        <v>2668</v>
      </c>
      <c r="E534" s="60" t="s">
        <v>2669</v>
      </c>
      <c r="F534" s="60" t="s">
        <v>2670</v>
      </c>
      <c r="G534" s="60" t="s">
        <v>2364</v>
      </c>
      <c r="H534" s="61">
        <v>3.965405604E7</v>
      </c>
      <c r="I534" s="58" t="s">
        <v>2365</v>
      </c>
      <c r="J534" s="58" t="s">
        <v>2366</v>
      </c>
      <c r="K534" s="58"/>
      <c r="L534" s="58" t="s">
        <v>2367</v>
      </c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58"/>
      <c r="B535" s="59" t="s">
        <v>2671</v>
      </c>
      <c r="C535" s="60" t="s">
        <v>2360</v>
      </c>
      <c r="D535" s="60" t="s">
        <v>2672</v>
      </c>
      <c r="E535" s="60" t="s">
        <v>2673</v>
      </c>
      <c r="F535" s="60" t="s">
        <v>2674</v>
      </c>
      <c r="G535" s="60" t="s">
        <v>2364</v>
      </c>
      <c r="H535" s="61">
        <v>9.298072446E7</v>
      </c>
      <c r="I535" s="58" t="s">
        <v>2365</v>
      </c>
      <c r="J535" s="58" t="s">
        <v>2366</v>
      </c>
      <c r="K535" s="58"/>
      <c r="L535" s="58" t="s">
        <v>2367</v>
      </c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58"/>
      <c r="B536" s="59" t="s">
        <v>2675</v>
      </c>
      <c r="C536" s="60" t="s">
        <v>2360</v>
      </c>
      <c r="D536" s="60" t="s">
        <v>2676</v>
      </c>
      <c r="E536" s="60" t="s">
        <v>2677</v>
      </c>
      <c r="F536" s="60" t="s">
        <v>2678</v>
      </c>
      <c r="G536" s="60" t="s">
        <v>2372</v>
      </c>
      <c r="H536" s="61">
        <v>3.22723256E7</v>
      </c>
      <c r="I536" s="58" t="s">
        <v>2365</v>
      </c>
      <c r="J536" s="58" t="s">
        <v>2366</v>
      </c>
      <c r="K536" s="58"/>
      <c r="L536" s="58" t="s">
        <v>2373</v>
      </c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58"/>
      <c r="B537" s="59" t="s">
        <v>2679</v>
      </c>
      <c r="C537" s="60" t="s">
        <v>2360</v>
      </c>
      <c r="D537" s="60" t="s">
        <v>2680</v>
      </c>
      <c r="E537" s="60" t="s">
        <v>2681</v>
      </c>
      <c r="F537" s="60" t="s">
        <v>2682</v>
      </c>
      <c r="G537" s="60" t="s">
        <v>2364</v>
      </c>
      <c r="H537" s="61">
        <v>5.6165813614E8</v>
      </c>
      <c r="I537" s="58" t="s">
        <v>2365</v>
      </c>
      <c r="J537" s="58" t="s">
        <v>2366</v>
      </c>
      <c r="K537" s="58"/>
      <c r="L537" s="58" t="s">
        <v>2367</v>
      </c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58"/>
      <c r="B538" s="59" t="s">
        <v>2683</v>
      </c>
      <c r="C538" s="60" t="s">
        <v>2360</v>
      </c>
      <c r="D538" s="60" t="s">
        <v>2684</v>
      </c>
      <c r="E538" s="60" t="s">
        <v>2685</v>
      </c>
      <c r="F538" s="60" t="s">
        <v>2686</v>
      </c>
      <c r="G538" s="60" t="s">
        <v>2372</v>
      </c>
      <c r="H538" s="61">
        <v>2.226194736E8</v>
      </c>
      <c r="I538" s="58" t="s">
        <v>2365</v>
      </c>
      <c r="J538" s="58" t="s">
        <v>2366</v>
      </c>
      <c r="K538" s="58"/>
      <c r="L538" s="58" t="s">
        <v>2373</v>
      </c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58"/>
      <c r="B539" s="59" t="s">
        <v>2687</v>
      </c>
      <c r="C539" s="60" t="s">
        <v>2360</v>
      </c>
      <c r="D539" s="60" t="s">
        <v>2688</v>
      </c>
      <c r="E539" s="60" t="s">
        <v>2689</v>
      </c>
      <c r="F539" s="60" t="s">
        <v>2690</v>
      </c>
      <c r="G539" s="60" t="s">
        <v>2434</v>
      </c>
      <c r="H539" s="61">
        <v>5.38023686E7</v>
      </c>
      <c r="I539" s="58" t="s">
        <v>2365</v>
      </c>
      <c r="J539" s="58" t="s">
        <v>2366</v>
      </c>
      <c r="K539" s="58"/>
      <c r="L539" s="58" t="s">
        <v>2435</v>
      </c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58"/>
      <c r="B540" s="59" t="s">
        <v>2691</v>
      </c>
      <c r="C540" s="60" t="s">
        <v>2360</v>
      </c>
      <c r="D540" s="60" t="s">
        <v>2692</v>
      </c>
      <c r="E540" s="60" t="s">
        <v>2693</v>
      </c>
      <c r="F540" s="60" t="s">
        <v>2694</v>
      </c>
      <c r="G540" s="60" t="s">
        <v>2364</v>
      </c>
      <c r="H540" s="61">
        <v>8.380634364E7</v>
      </c>
      <c r="I540" s="58" t="s">
        <v>2365</v>
      </c>
      <c r="J540" s="58" t="s">
        <v>2366</v>
      </c>
      <c r="K540" s="58"/>
      <c r="L540" s="58" t="s">
        <v>2367</v>
      </c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58"/>
      <c r="B541" s="59" t="s">
        <v>2695</v>
      </c>
      <c r="C541" s="60" t="s">
        <v>2360</v>
      </c>
      <c r="D541" s="60" t="s">
        <v>2696</v>
      </c>
      <c r="E541" s="60" t="s">
        <v>2697</v>
      </c>
      <c r="F541" s="60" t="s">
        <v>2698</v>
      </c>
      <c r="G541" s="60" t="s">
        <v>2372</v>
      </c>
      <c r="H541" s="61">
        <v>2984846.4</v>
      </c>
      <c r="I541" s="58" t="s">
        <v>2365</v>
      </c>
      <c r="J541" s="58" t="s">
        <v>2366</v>
      </c>
      <c r="K541" s="58"/>
      <c r="L541" s="58" t="s">
        <v>2373</v>
      </c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58"/>
      <c r="B542" s="59" t="s">
        <v>2699</v>
      </c>
      <c r="C542" s="60" t="s">
        <v>2360</v>
      </c>
      <c r="D542" s="60" t="s">
        <v>2700</v>
      </c>
      <c r="E542" s="60" t="s">
        <v>2701</v>
      </c>
      <c r="F542" s="60" t="s">
        <v>2702</v>
      </c>
      <c r="G542" s="60" t="s">
        <v>2364</v>
      </c>
      <c r="H542" s="61">
        <v>2.541960408E7</v>
      </c>
      <c r="I542" s="58" t="s">
        <v>2365</v>
      </c>
      <c r="J542" s="58" t="s">
        <v>2366</v>
      </c>
      <c r="K542" s="58"/>
      <c r="L542" s="58" t="s">
        <v>2367</v>
      </c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58"/>
      <c r="B543" s="59" t="s">
        <v>2703</v>
      </c>
      <c r="C543" s="60" t="s">
        <v>2360</v>
      </c>
      <c r="D543" s="60" t="s">
        <v>2704</v>
      </c>
      <c r="E543" s="60" t="s">
        <v>2705</v>
      </c>
      <c r="F543" s="60" t="s">
        <v>2706</v>
      </c>
      <c r="G543" s="60" t="s">
        <v>2372</v>
      </c>
      <c r="H543" s="61">
        <v>7891864.0</v>
      </c>
      <c r="I543" s="58" t="s">
        <v>2365</v>
      </c>
      <c r="J543" s="58" t="s">
        <v>2366</v>
      </c>
      <c r="K543" s="58"/>
      <c r="L543" s="58" t="s">
        <v>2373</v>
      </c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58"/>
      <c r="B544" s="59" t="s">
        <v>2707</v>
      </c>
      <c r="C544" s="60" t="s">
        <v>2360</v>
      </c>
      <c r="D544" s="60" t="s">
        <v>2708</v>
      </c>
      <c r="E544" s="60" t="s">
        <v>2709</v>
      </c>
      <c r="F544" s="60" t="s">
        <v>2710</v>
      </c>
      <c r="G544" s="60" t="s">
        <v>2364</v>
      </c>
      <c r="H544" s="61">
        <v>2.9933367678E8</v>
      </c>
      <c r="I544" s="58" t="s">
        <v>2365</v>
      </c>
      <c r="J544" s="58" t="s">
        <v>2366</v>
      </c>
      <c r="K544" s="58"/>
      <c r="L544" s="58" t="s">
        <v>2367</v>
      </c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58"/>
      <c r="B545" s="59" t="s">
        <v>2711</v>
      </c>
      <c r="C545" s="60" t="s">
        <v>2360</v>
      </c>
      <c r="D545" s="60" t="s">
        <v>2712</v>
      </c>
      <c r="E545" s="60" t="s">
        <v>2713</v>
      </c>
      <c r="F545" s="60" t="s">
        <v>2714</v>
      </c>
      <c r="G545" s="60" t="s">
        <v>2372</v>
      </c>
      <c r="H545" s="61">
        <v>4.805454608E7</v>
      </c>
      <c r="I545" s="58" t="s">
        <v>2365</v>
      </c>
      <c r="J545" s="58" t="s">
        <v>2366</v>
      </c>
      <c r="K545" s="58"/>
      <c r="L545" s="58" t="s">
        <v>2373</v>
      </c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58"/>
      <c r="B546" s="59" t="s">
        <v>2715</v>
      </c>
      <c r="C546" s="60" t="s">
        <v>2360</v>
      </c>
      <c r="D546" s="60" t="s">
        <v>2716</v>
      </c>
      <c r="E546" s="60" t="s">
        <v>2717</v>
      </c>
      <c r="F546" s="60" t="s">
        <v>2718</v>
      </c>
      <c r="G546" s="60" t="s">
        <v>2364</v>
      </c>
      <c r="H546" s="61">
        <v>6768507.6</v>
      </c>
      <c r="I546" s="58" t="s">
        <v>2365</v>
      </c>
      <c r="J546" s="58" t="s">
        <v>2366</v>
      </c>
      <c r="K546" s="58"/>
      <c r="L546" s="58" t="s">
        <v>2367</v>
      </c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58"/>
      <c r="B547" s="59" t="s">
        <v>2719</v>
      </c>
      <c r="C547" s="60" t="s">
        <v>2360</v>
      </c>
      <c r="D547" s="60" t="s">
        <v>2720</v>
      </c>
      <c r="E547" s="60" t="s">
        <v>2721</v>
      </c>
      <c r="F547" s="60" t="s">
        <v>2722</v>
      </c>
      <c r="G547" s="60" t="s">
        <v>2364</v>
      </c>
      <c r="H547" s="61">
        <v>1.27266177E7</v>
      </c>
      <c r="I547" s="58" t="s">
        <v>2365</v>
      </c>
      <c r="J547" s="58" t="s">
        <v>2366</v>
      </c>
      <c r="K547" s="58"/>
      <c r="L547" s="58" t="s">
        <v>2367</v>
      </c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58"/>
      <c r="B548" s="59" t="s">
        <v>2723</v>
      </c>
      <c r="C548" s="60" t="s">
        <v>2360</v>
      </c>
      <c r="D548" s="60" t="s">
        <v>2724</v>
      </c>
      <c r="E548" s="60" t="s">
        <v>2725</v>
      </c>
      <c r="F548" s="60" t="s">
        <v>2726</v>
      </c>
      <c r="G548" s="60" t="s">
        <v>2364</v>
      </c>
      <c r="H548" s="61">
        <v>6.92500842E7</v>
      </c>
      <c r="I548" s="58" t="s">
        <v>2365</v>
      </c>
      <c r="J548" s="58" t="s">
        <v>2366</v>
      </c>
      <c r="K548" s="58"/>
      <c r="L548" s="58" t="s">
        <v>2367</v>
      </c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58"/>
      <c r="B549" s="59" t="s">
        <v>2727</v>
      </c>
      <c r="C549" s="60" t="s">
        <v>2360</v>
      </c>
      <c r="D549" s="60" t="s">
        <v>2728</v>
      </c>
      <c r="E549" s="60" t="s">
        <v>2729</v>
      </c>
      <c r="F549" s="60" t="s">
        <v>2730</v>
      </c>
      <c r="G549" s="60" t="s">
        <v>2372</v>
      </c>
      <c r="H549" s="61">
        <v>1.064123872E7</v>
      </c>
      <c r="I549" s="58" t="s">
        <v>2365</v>
      </c>
      <c r="J549" s="58" t="s">
        <v>2366</v>
      </c>
      <c r="K549" s="58"/>
      <c r="L549" s="58" t="s">
        <v>2373</v>
      </c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58"/>
      <c r="B550" s="59" t="s">
        <v>2731</v>
      </c>
      <c r="C550" s="60" t="s">
        <v>2360</v>
      </c>
      <c r="D550" s="60" t="s">
        <v>2732</v>
      </c>
      <c r="E550" s="60" t="s">
        <v>2733</v>
      </c>
      <c r="F550" s="60" t="s">
        <v>2734</v>
      </c>
      <c r="G550" s="60" t="s">
        <v>2364</v>
      </c>
      <c r="H550" s="61">
        <v>1.00506574242E9</v>
      </c>
      <c r="I550" s="58" t="s">
        <v>2365</v>
      </c>
      <c r="J550" s="58" t="s">
        <v>2366</v>
      </c>
      <c r="K550" s="58"/>
      <c r="L550" s="58" t="s">
        <v>2367</v>
      </c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58"/>
      <c r="B551" s="59" t="s">
        <v>2735</v>
      </c>
      <c r="C551" s="60" t="s">
        <v>2360</v>
      </c>
      <c r="D551" s="60" t="s">
        <v>2736</v>
      </c>
      <c r="E551" s="60" t="s">
        <v>2737</v>
      </c>
      <c r="F551" s="60" t="s">
        <v>2738</v>
      </c>
      <c r="G551" s="60" t="s">
        <v>2372</v>
      </c>
      <c r="H551" s="61">
        <v>1.615584748E8</v>
      </c>
      <c r="I551" s="58" t="s">
        <v>2365</v>
      </c>
      <c r="J551" s="58" t="s">
        <v>2366</v>
      </c>
      <c r="K551" s="58"/>
      <c r="L551" s="58" t="s">
        <v>2373</v>
      </c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58"/>
      <c r="B552" s="59" t="s">
        <v>2739</v>
      </c>
      <c r="C552" s="60" t="s">
        <v>2360</v>
      </c>
      <c r="D552" s="60" t="s">
        <v>2740</v>
      </c>
      <c r="E552" s="60" t="s">
        <v>2741</v>
      </c>
      <c r="F552" s="60" t="s">
        <v>2742</v>
      </c>
      <c r="G552" s="60" t="s">
        <v>2364</v>
      </c>
      <c r="H552" s="61">
        <v>6.721524708E7</v>
      </c>
      <c r="I552" s="58" t="s">
        <v>2365</v>
      </c>
      <c r="J552" s="58" t="s">
        <v>2366</v>
      </c>
      <c r="K552" s="58"/>
      <c r="L552" s="58" t="s">
        <v>2367</v>
      </c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58"/>
      <c r="B553" s="59" t="s">
        <v>2743</v>
      </c>
      <c r="C553" s="60" t="s">
        <v>2360</v>
      </c>
      <c r="D553" s="60" t="s">
        <v>2744</v>
      </c>
      <c r="E553" s="60" t="s">
        <v>2745</v>
      </c>
      <c r="F553" s="60" t="s">
        <v>2746</v>
      </c>
      <c r="G553" s="60" t="s">
        <v>2372</v>
      </c>
      <c r="H553" s="61">
        <v>2962112.64</v>
      </c>
      <c r="I553" s="58" t="s">
        <v>2365</v>
      </c>
      <c r="J553" s="58" t="s">
        <v>2366</v>
      </c>
      <c r="K553" s="58"/>
      <c r="L553" s="58" t="s">
        <v>2373</v>
      </c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58"/>
      <c r="B554" s="59" t="s">
        <v>2747</v>
      </c>
      <c r="C554" s="60" t="s">
        <v>2360</v>
      </c>
      <c r="D554" s="60" t="s">
        <v>2748</v>
      </c>
      <c r="E554" s="60" t="s">
        <v>2749</v>
      </c>
      <c r="F554" s="60" t="s">
        <v>2750</v>
      </c>
      <c r="G554" s="60" t="s">
        <v>2364</v>
      </c>
      <c r="H554" s="61">
        <v>1.490182668E8</v>
      </c>
      <c r="I554" s="58" t="s">
        <v>2365</v>
      </c>
      <c r="J554" s="58" t="s">
        <v>2366</v>
      </c>
      <c r="K554" s="58"/>
      <c r="L554" s="58" t="s">
        <v>2367</v>
      </c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58"/>
      <c r="B555" s="59" t="s">
        <v>2751</v>
      </c>
      <c r="C555" s="60" t="s">
        <v>2360</v>
      </c>
      <c r="D555" s="60" t="s">
        <v>2752</v>
      </c>
      <c r="E555" s="60" t="s">
        <v>2753</v>
      </c>
      <c r="F555" s="60" t="s">
        <v>2754</v>
      </c>
      <c r="G555" s="60" t="s">
        <v>2372</v>
      </c>
      <c r="H555" s="61">
        <v>2.639770616E7</v>
      </c>
      <c r="I555" s="58" t="s">
        <v>2365</v>
      </c>
      <c r="J555" s="58" t="s">
        <v>2366</v>
      </c>
      <c r="K555" s="58"/>
      <c r="L555" s="58" t="s">
        <v>2373</v>
      </c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58"/>
      <c r="B556" s="59" t="s">
        <v>2755</v>
      </c>
      <c r="C556" s="60" t="s">
        <v>2360</v>
      </c>
      <c r="D556" s="60" t="s">
        <v>2756</v>
      </c>
      <c r="E556" s="60" t="s">
        <v>2757</v>
      </c>
      <c r="F556" s="60" t="s">
        <v>2758</v>
      </c>
      <c r="G556" s="60" t="s">
        <v>2434</v>
      </c>
      <c r="H556" s="61">
        <v>1.210358368E7</v>
      </c>
      <c r="I556" s="58" t="s">
        <v>2365</v>
      </c>
      <c r="J556" s="58" t="s">
        <v>2366</v>
      </c>
      <c r="K556" s="58"/>
      <c r="L556" s="58" t="s">
        <v>2435</v>
      </c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58"/>
      <c r="B557" s="59" t="s">
        <v>2759</v>
      </c>
      <c r="C557" s="60" t="s">
        <v>2360</v>
      </c>
      <c r="D557" s="60" t="s">
        <v>2760</v>
      </c>
      <c r="E557" s="60" t="s">
        <v>2761</v>
      </c>
      <c r="F557" s="60" t="s">
        <v>2762</v>
      </c>
      <c r="G557" s="60" t="s">
        <v>2364</v>
      </c>
      <c r="H557" s="61">
        <v>6635928.12</v>
      </c>
      <c r="I557" s="58" t="s">
        <v>2365</v>
      </c>
      <c r="J557" s="58" t="s">
        <v>2366</v>
      </c>
      <c r="K557" s="58"/>
      <c r="L557" s="58" t="s">
        <v>2367</v>
      </c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58"/>
      <c r="B558" s="59" t="s">
        <v>2763</v>
      </c>
      <c r="C558" s="60" t="s">
        <v>2360</v>
      </c>
      <c r="D558" s="60" t="s">
        <v>2764</v>
      </c>
      <c r="E558" s="60" t="s">
        <v>2765</v>
      </c>
      <c r="F558" s="60" t="s">
        <v>2766</v>
      </c>
      <c r="G558" s="60" t="s">
        <v>2364</v>
      </c>
      <c r="H558" s="61">
        <v>8.003606715E7</v>
      </c>
      <c r="I558" s="58" t="s">
        <v>2365</v>
      </c>
      <c r="J558" s="58" t="s">
        <v>2366</v>
      </c>
      <c r="K558" s="58"/>
      <c r="L558" s="58" t="s">
        <v>2367</v>
      </c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58"/>
      <c r="B559" s="59" t="s">
        <v>2767</v>
      </c>
      <c r="C559" s="60" t="s">
        <v>2360</v>
      </c>
      <c r="D559" s="60" t="s">
        <v>2768</v>
      </c>
      <c r="E559" s="60" t="s">
        <v>2769</v>
      </c>
      <c r="F559" s="60" t="s">
        <v>2770</v>
      </c>
      <c r="G559" s="60" t="s">
        <v>2372</v>
      </c>
      <c r="H559" s="61">
        <v>1.13121492E7</v>
      </c>
      <c r="I559" s="58" t="s">
        <v>2365</v>
      </c>
      <c r="J559" s="58" t="s">
        <v>2366</v>
      </c>
      <c r="K559" s="58"/>
      <c r="L559" s="58" t="s">
        <v>2373</v>
      </c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58"/>
      <c r="B560" s="59" t="s">
        <v>2771</v>
      </c>
      <c r="C560" s="60" t="s">
        <v>2360</v>
      </c>
      <c r="D560" s="60" t="s">
        <v>2772</v>
      </c>
      <c r="E560" s="60" t="s">
        <v>2773</v>
      </c>
      <c r="F560" s="60" t="s">
        <v>2774</v>
      </c>
      <c r="G560" s="60" t="s">
        <v>2364</v>
      </c>
      <c r="H560" s="61">
        <v>1.6131210856E8</v>
      </c>
      <c r="I560" s="58" t="s">
        <v>2365</v>
      </c>
      <c r="J560" s="58" t="s">
        <v>2366</v>
      </c>
      <c r="K560" s="58"/>
      <c r="L560" s="58" t="s">
        <v>2367</v>
      </c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58"/>
      <c r="B561" s="59" t="s">
        <v>2775</v>
      </c>
      <c r="C561" s="60" t="s">
        <v>2360</v>
      </c>
      <c r="D561" s="60" t="s">
        <v>2776</v>
      </c>
      <c r="E561" s="60" t="s">
        <v>2777</v>
      </c>
      <c r="F561" s="60" t="s">
        <v>2778</v>
      </c>
      <c r="G561" s="60" t="s">
        <v>2372</v>
      </c>
      <c r="H561" s="61">
        <v>2.204561954E7</v>
      </c>
      <c r="I561" s="58" t="s">
        <v>2365</v>
      </c>
      <c r="J561" s="58" t="s">
        <v>2366</v>
      </c>
      <c r="K561" s="58"/>
      <c r="L561" s="58" t="s">
        <v>2373</v>
      </c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58"/>
      <c r="B562" s="59" t="s">
        <v>2779</v>
      </c>
      <c r="C562" s="60" t="s">
        <v>2360</v>
      </c>
      <c r="D562" s="60" t="s">
        <v>2780</v>
      </c>
      <c r="E562" s="60" t="s">
        <v>2781</v>
      </c>
      <c r="F562" s="60" t="s">
        <v>2782</v>
      </c>
      <c r="G562" s="60" t="s">
        <v>2364</v>
      </c>
      <c r="H562" s="61">
        <v>1.7703344451E8</v>
      </c>
      <c r="I562" s="58" t="s">
        <v>2365</v>
      </c>
      <c r="J562" s="58" t="s">
        <v>2366</v>
      </c>
      <c r="K562" s="58"/>
      <c r="L562" s="58" t="s">
        <v>2367</v>
      </c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58"/>
      <c r="B563" s="59" t="s">
        <v>2783</v>
      </c>
      <c r="C563" s="60" t="s">
        <v>2360</v>
      </c>
      <c r="D563" s="60" t="s">
        <v>2784</v>
      </c>
      <c r="E563" s="60" t="s">
        <v>2785</v>
      </c>
      <c r="F563" s="60" t="s">
        <v>2786</v>
      </c>
      <c r="G563" s="60" t="s">
        <v>2372</v>
      </c>
      <c r="H563" s="61">
        <v>2.487726576E7</v>
      </c>
      <c r="I563" s="58" t="s">
        <v>2365</v>
      </c>
      <c r="J563" s="58" t="s">
        <v>2366</v>
      </c>
      <c r="K563" s="58"/>
      <c r="L563" s="58" t="s">
        <v>2373</v>
      </c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58"/>
      <c r="B564" s="59" t="s">
        <v>2787</v>
      </c>
      <c r="C564" s="60" t="s">
        <v>2360</v>
      </c>
      <c r="D564" s="60" t="s">
        <v>2788</v>
      </c>
      <c r="E564" s="60" t="s">
        <v>2789</v>
      </c>
      <c r="F564" s="60" t="s">
        <v>2790</v>
      </c>
      <c r="G564" s="60" t="s">
        <v>2364</v>
      </c>
      <c r="H564" s="61">
        <v>3843851.76</v>
      </c>
      <c r="I564" s="58" t="s">
        <v>2365</v>
      </c>
      <c r="J564" s="58" t="s">
        <v>2366</v>
      </c>
      <c r="K564" s="58"/>
      <c r="L564" s="58" t="s">
        <v>2367</v>
      </c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58"/>
      <c r="B565" s="59" t="s">
        <v>2791</v>
      </c>
      <c r="C565" s="60" t="s">
        <v>2360</v>
      </c>
      <c r="D565" s="60" t="s">
        <v>2792</v>
      </c>
      <c r="E565" s="60" t="s">
        <v>2793</v>
      </c>
      <c r="F565" s="60" t="s">
        <v>2794</v>
      </c>
      <c r="G565" s="60" t="s">
        <v>2364</v>
      </c>
      <c r="H565" s="61">
        <v>1.430284824E7</v>
      </c>
      <c r="I565" s="58" t="s">
        <v>2365</v>
      </c>
      <c r="J565" s="58" t="s">
        <v>2366</v>
      </c>
      <c r="K565" s="58"/>
      <c r="L565" s="58" t="s">
        <v>2367</v>
      </c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58"/>
      <c r="B566" s="59" t="s">
        <v>2795</v>
      </c>
      <c r="C566" s="60" t="s">
        <v>2360</v>
      </c>
      <c r="D566" s="60" t="s">
        <v>2796</v>
      </c>
      <c r="E566" s="60" t="s">
        <v>2797</v>
      </c>
      <c r="F566" s="60" t="s">
        <v>2798</v>
      </c>
      <c r="G566" s="60" t="s">
        <v>2364</v>
      </c>
      <c r="H566" s="61">
        <v>1.1360470392E8</v>
      </c>
      <c r="I566" s="58" t="s">
        <v>2365</v>
      </c>
      <c r="J566" s="58" t="s">
        <v>2366</v>
      </c>
      <c r="K566" s="58"/>
      <c r="L566" s="58" t="s">
        <v>2367</v>
      </c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58"/>
      <c r="B567" s="59" t="s">
        <v>2799</v>
      </c>
      <c r="C567" s="60" t="s">
        <v>2360</v>
      </c>
      <c r="D567" s="60" t="s">
        <v>2800</v>
      </c>
      <c r="E567" s="60" t="s">
        <v>2801</v>
      </c>
      <c r="F567" s="60" t="s">
        <v>2802</v>
      </c>
      <c r="G567" s="60" t="s">
        <v>2372</v>
      </c>
      <c r="H567" s="61">
        <v>2.31144001E7</v>
      </c>
      <c r="I567" s="58" t="s">
        <v>2365</v>
      </c>
      <c r="J567" s="58" t="s">
        <v>2366</v>
      </c>
      <c r="K567" s="58"/>
      <c r="L567" s="58" t="s">
        <v>2373</v>
      </c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58"/>
      <c r="B568" s="59" t="s">
        <v>2803</v>
      </c>
      <c r="C568" s="60" t="s">
        <v>2360</v>
      </c>
      <c r="D568" s="60" t="s">
        <v>2804</v>
      </c>
      <c r="E568" s="60" t="s">
        <v>2805</v>
      </c>
      <c r="F568" s="60" t="s">
        <v>2806</v>
      </c>
      <c r="G568" s="60" t="s">
        <v>2364</v>
      </c>
      <c r="H568" s="61">
        <v>1.198284984E8</v>
      </c>
      <c r="I568" s="58" t="s">
        <v>2365</v>
      </c>
      <c r="J568" s="58" t="s">
        <v>2366</v>
      </c>
      <c r="K568" s="58"/>
      <c r="L568" s="58" t="s">
        <v>2367</v>
      </c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58"/>
      <c r="B569" s="59" t="s">
        <v>2807</v>
      </c>
      <c r="C569" s="60" t="s">
        <v>2360</v>
      </c>
      <c r="D569" s="60" t="s">
        <v>2808</v>
      </c>
      <c r="E569" s="60" t="s">
        <v>2809</v>
      </c>
      <c r="F569" s="60" t="s">
        <v>2810</v>
      </c>
      <c r="G569" s="60" t="s">
        <v>2372</v>
      </c>
      <c r="H569" s="61">
        <v>9626382.4</v>
      </c>
      <c r="I569" s="58" t="s">
        <v>2365</v>
      </c>
      <c r="J569" s="58" t="s">
        <v>2366</v>
      </c>
      <c r="K569" s="58"/>
      <c r="L569" s="58" t="s">
        <v>2373</v>
      </c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58"/>
      <c r="B570" s="59" t="s">
        <v>2811</v>
      </c>
      <c r="C570" s="60" t="s">
        <v>2360</v>
      </c>
      <c r="D570" s="60" t="s">
        <v>2812</v>
      </c>
      <c r="E570" s="60" t="s">
        <v>2813</v>
      </c>
      <c r="F570" s="60" t="s">
        <v>2814</v>
      </c>
      <c r="G570" s="60" t="s">
        <v>2364</v>
      </c>
      <c r="H570" s="61">
        <v>7.9544748591E8</v>
      </c>
      <c r="I570" s="58" t="s">
        <v>2365</v>
      </c>
      <c r="J570" s="58" t="s">
        <v>2366</v>
      </c>
      <c r="K570" s="58"/>
      <c r="L570" s="58" t="s">
        <v>2367</v>
      </c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58"/>
      <c r="B571" s="59" t="s">
        <v>2815</v>
      </c>
      <c r="C571" s="60" t="s">
        <v>2360</v>
      </c>
      <c r="D571" s="60" t="s">
        <v>2816</v>
      </c>
      <c r="E571" s="60" t="s">
        <v>2817</v>
      </c>
      <c r="F571" s="60" t="s">
        <v>2818</v>
      </c>
      <c r="G571" s="60" t="s">
        <v>2372</v>
      </c>
      <c r="H571" s="61">
        <v>1.8172503624E8</v>
      </c>
      <c r="I571" s="58" t="s">
        <v>2365</v>
      </c>
      <c r="J571" s="58" t="s">
        <v>2366</v>
      </c>
      <c r="K571" s="58"/>
      <c r="L571" s="58" t="s">
        <v>2373</v>
      </c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58"/>
      <c r="B572" s="59" t="s">
        <v>2819</v>
      </c>
      <c r="C572" s="60" t="s">
        <v>2360</v>
      </c>
      <c r="D572" s="60" t="s">
        <v>2820</v>
      </c>
      <c r="E572" s="60" t="s">
        <v>2821</v>
      </c>
      <c r="F572" s="60" t="s">
        <v>2822</v>
      </c>
      <c r="G572" s="60" t="s">
        <v>2434</v>
      </c>
      <c r="H572" s="61">
        <v>4.664790092E7</v>
      </c>
      <c r="I572" s="58" t="s">
        <v>2365</v>
      </c>
      <c r="J572" s="58" t="s">
        <v>2366</v>
      </c>
      <c r="K572" s="58"/>
      <c r="L572" s="58" t="s">
        <v>2435</v>
      </c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58"/>
      <c r="B573" s="59" t="s">
        <v>2823</v>
      </c>
      <c r="C573" s="60" t="s">
        <v>2360</v>
      </c>
      <c r="D573" s="60" t="s">
        <v>2824</v>
      </c>
      <c r="E573" s="60" t="s">
        <v>2825</v>
      </c>
      <c r="F573" s="60" t="s">
        <v>2826</v>
      </c>
      <c r="G573" s="60" t="s">
        <v>2364</v>
      </c>
      <c r="H573" s="61">
        <v>2.1240087912E8</v>
      </c>
      <c r="I573" s="58" t="s">
        <v>2365</v>
      </c>
      <c r="J573" s="58" t="s">
        <v>2366</v>
      </c>
      <c r="K573" s="58"/>
      <c r="L573" s="58" t="s">
        <v>2367</v>
      </c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58"/>
      <c r="B574" s="59" t="s">
        <v>2827</v>
      </c>
      <c r="C574" s="60" t="s">
        <v>2360</v>
      </c>
      <c r="D574" s="60" t="s">
        <v>2828</v>
      </c>
      <c r="E574" s="60" t="s">
        <v>2829</v>
      </c>
      <c r="F574" s="60" t="s">
        <v>2830</v>
      </c>
      <c r="G574" s="60" t="s">
        <v>2372</v>
      </c>
      <c r="H574" s="61">
        <v>6.450184576E7</v>
      </c>
      <c r="I574" s="58" t="s">
        <v>2365</v>
      </c>
      <c r="J574" s="58" t="s">
        <v>2366</v>
      </c>
      <c r="K574" s="58"/>
      <c r="L574" s="58" t="s">
        <v>2373</v>
      </c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58"/>
      <c r="B575" s="59" t="s">
        <v>2831</v>
      </c>
      <c r="C575" s="60" t="s">
        <v>2360</v>
      </c>
      <c r="D575" s="60" t="s">
        <v>2832</v>
      </c>
      <c r="E575" s="60" t="s">
        <v>2833</v>
      </c>
      <c r="F575" s="60" t="s">
        <v>2834</v>
      </c>
      <c r="G575" s="60" t="s">
        <v>2434</v>
      </c>
      <c r="H575" s="61">
        <v>5778575.66</v>
      </c>
      <c r="I575" s="58" t="s">
        <v>2365</v>
      </c>
      <c r="J575" s="58" t="s">
        <v>2366</v>
      </c>
      <c r="K575" s="58"/>
      <c r="L575" s="58" t="s">
        <v>2435</v>
      </c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58"/>
      <c r="B576" s="59" t="s">
        <v>2835</v>
      </c>
      <c r="C576" s="60" t="s">
        <v>2360</v>
      </c>
      <c r="D576" s="60" t="s">
        <v>2836</v>
      </c>
      <c r="E576" s="60" t="s">
        <v>2837</v>
      </c>
      <c r="F576" s="60" t="s">
        <v>2838</v>
      </c>
      <c r="G576" s="60" t="s">
        <v>2364</v>
      </c>
      <c r="H576" s="61">
        <v>2.354390364E7</v>
      </c>
      <c r="I576" s="58" t="s">
        <v>2365</v>
      </c>
      <c r="J576" s="58" t="s">
        <v>2366</v>
      </c>
      <c r="K576" s="58"/>
      <c r="L576" s="58" t="s">
        <v>2367</v>
      </c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58"/>
      <c r="B577" s="59" t="s">
        <v>2839</v>
      </c>
      <c r="C577" s="60" t="s">
        <v>2360</v>
      </c>
      <c r="D577" s="60" t="s">
        <v>2840</v>
      </c>
      <c r="E577" s="60" t="s">
        <v>2841</v>
      </c>
      <c r="F577" s="60" t="s">
        <v>2842</v>
      </c>
      <c r="G577" s="60" t="s">
        <v>2372</v>
      </c>
      <c r="H577" s="61">
        <v>1467334.8</v>
      </c>
      <c r="I577" s="58" t="s">
        <v>2365</v>
      </c>
      <c r="J577" s="58" t="s">
        <v>2366</v>
      </c>
      <c r="K577" s="58"/>
      <c r="L577" s="58" t="s">
        <v>2373</v>
      </c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58"/>
      <c r="B578" s="59" t="s">
        <v>2843</v>
      </c>
      <c r="C578" s="60" t="s">
        <v>2360</v>
      </c>
      <c r="D578" s="60" t="s">
        <v>2844</v>
      </c>
      <c r="E578" s="60" t="s">
        <v>2845</v>
      </c>
      <c r="F578" s="60" t="s">
        <v>2846</v>
      </c>
      <c r="G578" s="60" t="s">
        <v>2364</v>
      </c>
      <c r="H578" s="61">
        <v>7.436801634E7</v>
      </c>
      <c r="I578" s="58" t="s">
        <v>2365</v>
      </c>
      <c r="J578" s="58" t="s">
        <v>2366</v>
      </c>
      <c r="K578" s="58"/>
      <c r="L578" s="58" t="s">
        <v>2367</v>
      </c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58"/>
      <c r="B579" s="59" t="s">
        <v>2847</v>
      </c>
      <c r="C579" s="60" t="s">
        <v>2360</v>
      </c>
      <c r="D579" s="60" t="s">
        <v>2848</v>
      </c>
      <c r="E579" s="60" t="s">
        <v>2849</v>
      </c>
      <c r="F579" s="60" t="s">
        <v>2850</v>
      </c>
      <c r="G579" s="60" t="s">
        <v>2372</v>
      </c>
      <c r="H579" s="61">
        <v>1.32955647E7</v>
      </c>
      <c r="I579" s="58" t="s">
        <v>2365</v>
      </c>
      <c r="J579" s="58" t="s">
        <v>2366</v>
      </c>
      <c r="K579" s="58"/>
      <c r="L579" s="58" t="s">
        <v>2373</v>
      </c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58"/>
      <c r="B580" s="59" t="s">
        <v>2851</v>
      </c>
      <c r="C580" s="60" t="s">
        <v>2360</v>
      </c>
      <c r="D580" s="60" t="s">
        <v>2852</v>
      </c>
      <c r="E580" s="60" t="s">
        <v>2853</v>
      </c>
      <c r="F580" s="60" t="s">
        <v>2854</v>
      </c>
      <c r="G580" s="60" t="s">
        <v>2364</v>
      </c>
      <c r="H580" s="61">
        <v>3.2797538778E8</v>
      </c>
      <c r="I580" s="58" t="s">
        <v>2365</v>
      </c>
      <c r="J580" s="58" t="s">
        <v>2366</v>
      </c>
      <c r="K580" s="58"/>
      <c r="L580" s="58" t="s">
        <v>2367</v>
      </c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58"/>
      <c r="B581" s="59" t="s">
        <v>2855</v>
      </c>
      <c r="C581" s="60" t="s">
        <v>2360</v>
      </c>
      <c r="D581" s="60" t="s">
        <v>2856</v>
      </c>
      <c r="E581" s="60" t="s">
        <v>2857</v>
      </c>
      <c r="F581" s="60" t="s">
        <v>2858</v>
      </c>
      <c r="G581" s="60" t="s">
        <v>2372</v>
      </c>
      <c r="H581" s="61">
        <v>4.894940424E7</v>
      </c>
      <c r="I581" s="58" t="s">
        <v>2365</v>
      </c>
      <c r="J581" s="58" t="s">
        <v>2366</v>
      </c>
      <c r="K581" s="58"/>
      <c r="L581" s="58" t="s">
        <v>2373</v>
      </c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58"/>
      <c r="B582" s="59" t="s">
        <v>2859</v>
      </c>
      <c r="C582" s="60" t="s">
        <v>2360</v>
      </c>
      <c r="D582" s="60" t="s">
        <v>2860</v>
      </c>
      <c r="E582" s="60" t="s">
        <v>2861</v>
      </c>
      <c r="F582" s="60" t="s">
        <v>2862</v>
      </c>
      <c r="G582" s="60" t="s">
        <v>2434</v>
      </c>
      <c r="H582" s="61">
        <v>5604187.86</v>
      </c>
      <c r="I582" s="58" t="s">
        <v>2365</v>
      </c>
      <c r="J582" s="58" t="s">
        <v>2366</v>
      </c>
      <c r="K582" s="58"/>
      <c r="L582" s="58" t="s">
        <v>2435</v>
      </c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58"/>
      <c r="B583" s="59" t="s">
        <v>2863</v>
      </c>
      <c r="C583" s="60" t="s">
        <v>2360</v>
      </c>
      <c r="D583" s="60" t="s">
        <v>2864</v>
      </c>
      <c r="E583" s="60" t="s">
        <v>2865</v>
      </c>
      <c r="F583" s="60" t="s">
        <v>2866</v>
      </c>
      <c r="G583" s="60" t="s">
        <v>2364</v>
      </c>
      <c r="H583" s="61">
        <v>9.837395763E7</v>
      </c>
      <c r="I583" s="58" t="s">
        <v>2365</v>
      </c>
      <c r="J583" s="58" t="s">
        <v>2366</v>
      </c>
      <c r="K583" s="58"/>
      <c r="L583" s="58" t="s">
        <v>2367</v>
      </c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58"/>
      <c r="B584" s="59" t="s">
        <v>2867</v>
      </c>
      <c r="C584" s="60" t="s">
        <v>2360</v>
      </c>
      <c r="D584" s="60" t="s">
        <v>2868</v>
      </c>
      <c r="E584" s="60" t="s">
        <v>2869</v>
      </c>
      <c r="F584" s="60" t="s">
        <v>2870</v>
      </c>
      <c r="G584" s="60" t="s">
        <v>2372</v>
      </c>
      <c r="H584" s="61">
        <v>8156800.16</v>
      </c>
      <c r="I584" s="58" t="s">
        <v>2365</v>
      </c>
      <c r="J584" s="58" t="s">
        <v>2366</v>
      </c>
      <c r="K584" s="58"/>
      <c r="L584" s="58" t="s">
        <v>2373</v>
      </c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58"/>
      <c r="B585" s="59" t="s">
        <v>2871</v>
      </c>
      <c r="C585" s="60" t="s">
        <v>2360</v>
      </c>
      <c r="D585" s="60" t="s">
        <v>2872</v>
      </c>
      <c r="E585" s="60" t="s">
        <v>2873</v>
      </c>
      <c r="F585" s="60" t="s">
        <v>2874</v>
      </c>
      <c r="G585" s="60" t="s">
        <v>2372</v>
      </c>
      <c r="H585" s="61">
        <v>2650825.65</v>
      </c>
      <c r="I585" s="58" t="s">
        <v>2365</v>
      </c>
      <c r="J585" s="58" t="s">
        <v>2366</v>
      </c>
      <c r="K585" s="58"/>
      <c r="L585" s="58" t="s">
        <v>2373</v>
      </c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58"/>
      <c r="B586" s="59" t="s">
        <v>2875</v>
      </c>
      <c r="C586" s="60" t="s">
        <v>2360</v>
      </c>
      <c r="D586" s="60" t="s">
        <v>2876</v>
      </c>
      <c r="E586" s="60" t="s">
        <v>2877</v>
      </c>
      <c r="F586" s="60" t="s">
        <v>2878</v>
      </c>
      <c r="G586" s="60" t="s">
        <v>2364</v>
      </c>
      <c r="H586" s="61">
        <v>3.276051528E7</v>
      </c>
      <c r="I586" s="58" t="s">
        <v>2365</v>
      </c>
      <c r="J586" s="58" t="s">
        <v>2366</v>
      </c>
      <c r="K586" s="58"/>
      <c r="L586" s="58" t="s">
        <v>2367</v>
      </c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58"/>
      <c r="B587" s="59" t="s">
        <v>2879</v>
      </c>
      <c r="C587" s="60" t="s">
        <v>2360</v>
      </c>
      <c r="D587" s="60" t="s">
        <v>2880</v>
      </c>
      <c r="E587" s="60" t="s">
        <v>2881</v>
      </c>
      <c r="F587" s="60" t="s">
        <v>2882</v>
      </c>
      <c r="G587" s="60" t="s">
        <v>2364</v>
      </c>
      <c r="H587" s="61">
        <v>9.921137304E7</v>
      </c>
      <c r="I587" s="58" t="s">
        <v>2365</v>
      </c>
      <c r="J587" s="58" t="s">
        <v>2366</v>
      </c>
      <c r="K587" s="58"/>
      <c r="L587" s="58" t="s">
        <v>2367</v>
      </c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58"/>
      <c r="B588" s="59" t="s">
        <v>2883</v>
      </c>
      <c r="C588" s="60" t="s">
        <v>2360</v>
      </c>
      <c r="D588" s="60" t="s">
        <v>2884</v>
      </c>
      <c r="E588" s="60" t="s">
        <v>2885</v>
      </c>
      <c r="F588" s="60" t="s">
        <v>2886</v>
      </c>
      <c r="G588" s="60" t="s">
        <v>2372</v>
      </c>
      <c r="H588" s="61">
        <v>1.676188976E7</v>
      </c>
      <c r="I588" s="58" t="s">
        <v>2365</v>
      </c>
      <c r="J588" s="58" t="s">
        <v>2366</v>
      </c>
      <c r="K588" s="58"/>
      <c r="L588" s="58" t="s">
        <v>2373</v>
      </c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58"/>
      <c r="B589" s="59" t="s">
        <v>2887</v>
      </c>
      <c r="C589" s="60" t="s">
        <v>2360</v>
      </c>
      <c r="D589" s="60" t="s">
        <v>2888</v>
      </c>
      <c r="E589" s="60" t="s">
        <v>2889</v>
      </c>
      <c r="F589" s="60" t="s">
        <v>2890</v>
      </c>
      <c r="G589" s="60" t="s">
        <v>2364</v>
      </c>
      <c r="H589" s="61">
        <v>5021387.88</v>
      </c>
      <c r="I589" s="58" t="s">
        <v>2365</v>
      </c>
      <c r="J589" s="58" t="s">
        <v>2366</v>
      </c>
      <c r="K589" s="58"/>
      <c r="L589" s="58" t="s">
        <v>2367</v>
      </c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58"/>
      <c r="B590" s="59" t="s">
        <v>2891</v>
      </c>
      <c r="C590" s="60" t="s">
        <v>2360</v>
      </c>
      <c r="D590" s="60" t="s">
        <v>2892</v>
      </c>
      <c r="E590" s="60" t="s">
        <v>2893</v>
      </c>
      <c r="F590" s="60" t="s">
        <v>2894</v>
      </c>
      <c r="G590" s="60" t="s">
        <v>2372</v>
      </c>
      <c r="H590" s="61">
        <v>865718.7</v>
      </c>
      <c r="I590" s="58" t="s">
        <v>2365</v>
      </c>
      <c r="J590" s="58" t="s">
        <v>2366</v>
      </c>
      <c r="K590" s="58"/>
      <c r="L590" s="58" t="s">
        <v>2373</v>
      </c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58"/>
      <c r="B591" s="59" t="s">
        <v>2895</v>
      </c>
      <c r="C591" s="60" t="s">
        <v>2360</v>
      </c>
      <c r="D591" s="60" t="s">
        <v>2896</v>
      </c>
      <c r="E591" s="60" t="s">
        <v>2897</v>
      </c>
      <c r="F591" s="60" t="s">
        <v>2898</v>
      </c>
      <c r="G591" s="60" t="s">
        <v>2364</v>
      </c>
      <c r="H591" s="61">
        <v>1.3734884166E8</v>
      </c>
      <c r="I591" s="58" t="s">
        <v>2365</v>
      </c>
      <c r="J591" s="58" t="s">
        <v>2366</v>
      </c>
      <c r="K591" s="58"/>
      <c r="L591" s="58" t="s">
        <v>2367</v>
      </c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58"/>
      <c r="B592" s="59" t="s">
        <v>2899</v>
      </c>
      <c r="C592" s="60" t="s">
        <v>2360</v>
      </c>
      <c r="D592" s="60" t="s">
        <v>2900</v>
      </c>
      <c r="E592" s="60" t="s">
        <v>2901</v>
      </c>
      <c r="F592" s="60" t="s">
        <v>2902</v>
      </c>
      <c r="G592" s="60" t="s">
        <v>2372</v>
      </c>
      <c r="H592" s="61">
        <v>8656515.45</v>
      </c>
      <c r="I592" s="58" t="s">
        <v>2365</v>
      </c>
      <c r="J592" s="58" t="s">
        <v>2366</v>
      </c>
      <c r="K592" s="58"/>
      <c r="L592" s="58" t="s">
        <v>2373</v>
      </c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58"/>
      <c r="B593" s="59" t="s">
        <v>2903</v>
      </c>
      <c r="C593" s="60" t="s">
        <v>2360</v>
      </c>
      <c r="D593" s="60" t="s">
        <v>2904</v>
      </c>
      <c r="E593" s="60" t="s">
        <v>2905</v>
      </c>
      <c r="F593" s="60" t="s">
        <v>2906</v>
      </c>
      <c r="G593" s="60" t="s">
        <v>2372</v>
      </c>
      <c r="H593" s="61">
        <v>5263318.5</v>
      </c>
      <c r="I593" s="58" t="s">
        <v>2365</v>
      </c>
      <c r="J593" s="58" t="s">
        <v>2366</v>
      </c>
      <c r="K593" s="58"/>
      <c r="L593" s="58" t="s">
        <v>2373</v>
      </c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58"/>
      <c r="B594" s="59" t="s">
        <v>2907</v>
      </c>
      <c r="C594" s="60" t="s">
        <v>2360</v>
      </c>
      <c r="D594" s="60" t="s">
        <v>2908</v>
      </c>
      <c r="E594" s="60" t="s">
        <v>2909</v>
      </c>
      <c r="F594" s="60" t="s">
        <v>2910</v>
      </c>
      <c r="G594" s="60" t="s">
        <v>2364</v>
      </c>
      <c r="H594" s="61">
        <v>1.8722786514E8</v>
      </c>
      <c r="I594" s="58" t="s">
        <v>2365</v>
      </c>
      <c r="J594" s="58" t="s">
        <v>2366</v>
      </c>
      <c r="K594" s="58"/>
      <c r="L594" s="58" t="s">
        <v>2367</v>
      </c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58"/>
      <c r="B595" s="59" t="s">
        <v>2911</v>
      </c>
      <c r="C595" s="60" t="s">
        <v>2360</v>
      </c>
      <c r="D595" s="60" t="s">
        <v>2912</v>
      </c>
      <c r="E595" s="60" t="s">
        <v>2913</v>
      </c>
      <c r="F595" s="60" t="s">
        <v>2914</v>
      </c>
      <c r="G595" s="60" t="s">
        <v>2372</v>
      </c>
      <c r="H595" s="61">
        <v>3.863387472E7</v>
      </c>
      <c r="I595" s="58" t="s">
        <v>2365</v>
      </c>
      <c r="J595" s="58" t="s">
        <v>2366</v>
      </c>
      <c r="K595" s="58"/>
      <c r="L595" s="58" t="s">
        <v>2373</v>
      </c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58"/>
      <c r="B596" s="59" t="s">
        <v>2915</v>
      </c>
      <c r="C596" s="60" t="s">
        <v>2360</v>
      </c>
      <c r="D596" s="60" t="s">
        <v>2916</v>
      </c>
      <c r="E596" s="60" t="s">
        <v>2917</v>
      </c>
      <c r="F596" s="60" t="s">
        <v>2918</v>
      </c>
      <c r="G596" s="60" t="s">
        <v>2364</v>
      </c>
      <c r="H596" s="61">
        <v>9451286.4</v>
      </c>
      <c r="I596" s="58" t="s">
        <v>2365</v>
      </c>
      <c r="J596" s="58" t="s">
        <v>2366</v>
      </c>
      <c r="K596" s="58"/>
      <c r="L596" s="58" t="s">
        <v>2367</v>
      </c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58"/>
      <c r="B597" s="59" t="s">
        <v>2919</v>
      </c>
      <c r="C597" s="60" t="s">
        <v>2360</v>
      </c>
      <c r="D597" s="60" t="s">
        <v>2920</v>
      </c>
      <c r="E597" s="60" t="s">
        <v>2921</v>
      </c>
      <c r="F597" s="60" t="s">
        <v>2922</v>
      </c>
      <c r="G597" s="60" t="s">
        <v>2364</v>
      </c>
      <c r="H597" s="61">
        <v>3.6739437552E8</v>
      </c>
      <c r="I597" s="58" t="s">
        <v>2365</v>
      </c>
      <c r="J597" s="58" t="s">
        <v>2366</v>
      </c>
      <c r="K597" s="58"/>
      <c r="L597" s="58" t="s">
        <v>2367</v>
      </c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58"/>
      <c r="B598" s="59" t="s">
        <v>2923</v>
      </c>
      <c r="C598" s="60" t="s">
        <v>2360</v>
      </c>
      <c r="D598" s="60" t="s">
        <v>2924</v>
      </c>
      <c r="E598" s="60" t="s">
        <v>2925</v>
      </c>
      <c r="F598" s="60" t="s">
        <v>2926</v>
      </c>
      <c r="G598" s="60" t="s">
        <v>2372</v>
      </c>
      <c r="H598" s="61">
        <v>5.95762542E7</v>
      </c>
      <c r="I598" s="58" t="s">
        <v>2365</v>
      </c>
      <c r="J598" s="58" t="s">
        <v>2366</v>
      </c>
      <c r="K598" s="58"/>
      <c r="L598" s="58" t="s">
        <v>2373</v>
      </c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58"/>
      <c r="B599" s="59" t="s">
        <v>2927</v>
      </c>
      <c r="C599" s="60" t="s">
        <v>2360</v>
      </c>
      <c r="D599" s="60" t="s">
        <v>2928</v>
      </c>
      <c r="E599" s="60" t="s">
        <v>2929</v>
      </c>
      <c r="F599" s="60" t="s">
        <v>2930</v>
      </c>
      <c r="G599" s="60" t="s">
        <v>2434</v>
      </c>
      <c r="H599" s="61">
        <v>6227331.54</v>
      </c>
      <c r="I599" s="58" t="s">
        <v>2365</v>
      </c>
      <c r="J599" s="58" t="s">
        <v>2366</v>
      </c>
      <c r="K599" s="58"/>
      <c r="L599" s="58" t="s">
        <v>2435</v>
      </c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58"/>
      <c r="B600" s="59" t="s">
        <v>2931</v>
      </c>
      <c r="C600" s="60" t="s">
        <v>2360</v>
      </c>
      <c r="D600" s="60" t="s">
        <v>2932</v>
      </c>
      <c r="E600" s="60" t="s">
        <v>2933</v>
      </c>
      <c r="F600" s="60" t="s">
        <v>2934</v>
      </c>
      <c r="G600" s="60" t="s">
        <v>2364</v>
      </c>
      <c r="H600" s="61">
        <v>1.5358506053E8</v>
      </c>
      <c r="I600" s="58" t="s">
        <v>2365</v>
      </c>
      <c r="J600" s="58" t="s">
        <v>2366</v>
      </c>
      <c r="K600" s="58"/>
      <c r="L600" s="58" t="s">
        <v>2367</v>
      </c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58"/>
      <c r="B601" s="59" t="s">
        <v>2935</v>
      </c>
      <c r="C601" s="60" t="s">
        <v>2360</v>
      </c>
      <c r="D601" s="60" t="s">
        <v>2936</v>
      </c>
      <c r="E601" s="60" t="s">
        <v>2937</v>
      </c>
      <c r="F601" s="60" t="s">
        <v>2938</v>
      </c>
      <c r="G601" s="60" t="s">
        <v>2372</v>
      </c>
      <c r="H601" s="61">
        <v>2.479181508E7</v>
      </c>
      <c r="I601" s="58" t="s">
        <v>2365</v>
      </c>
      <c r="J601" s="58" t="s">
        <v>2366</v>
      </c>
      <c r="K601" s="58"/>
      <c r="L601" s="58" t="s">
        <v>2373</v>
      </c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58"/>
      <c r="B602" s="59" t="s">
        <v>2939</v>
      </c>
      <c r="C602" s="60" t="s">
        <v>2360</v>
      </c>
      <c r="D602" s="60" t="s">
        <v>2940</v>
      </c>
      <c r="E602" s="60" t="s">
        <v>2941</v>
      </c>
      <c r="F602" s="60" t="s">
        <v>2942</v>
      </c>
      <c r="G602" s="60" t="s">
        <v>2364</v>
      </c>
      <c r="H602" s="61">
        <v>3.9561765594E8</v>
      </c>
      <c r="I602" s="58" t="s">
        <v>2365</v>
      </c>
      <c r="J602" s="58" t="s">
        <v>2366</v>
      </c>
      <c r="K602" s="58"/>
      <c r="L602" s="58" t="s">
        <v>2367</v>
      </c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58"/>
      <c r="B603" s="59" t="s">
        <v>2943</v>
      </c>
      <c r="C603" s="60" t="s">
        <v>2360</v>
      </c>
      <c r="D603" s="60" t="s">
        <v>2944</v>
      </c>
      <c r="E603" s="60" t="s">
        <v>2945</v>
      </c>
      <c r="F603" s="60" t="s">
        <v>2946</v>
      </c>
      <c r="G603" s="60" t="s">
        <v>2372</v>
      </c>
      <c r="H603" s="61">
        <v>8.381409104E7</v>
      </c>
      <c r="I603" s="58" t="s">
        <v>2365</v>
      </c>
      <c r="J603" s="58" t="s">
        <v>2366</v>
      </c>
      <c r="K603" s="58"/>
      <c r="L603" s="58" t="s">
        <v>2373</v>
      </c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58"/>
      <c r="B604" s="59" t="s">
        <v>2947</v>
      </c>
      <c r="C604" s="60" t="s">
        <v>2360</v>
      </c>
      <c r="D604" s="60" t="s">
        <v>2948</v>
      </c>
      <c r="E604" s="60" t="s">
        <v>2949</v>
      </c>
      <c r="F604" s="60" t="s">
        <v>2950</v>
      </c>
      <c r="G604" s="60" t="s">
        <v>2364</v>
      </c>
      <c r="H604" s="61">
        <v>4.66695288E7</v>
      </c>
      <c r="I604" s="58" t="s">
        <v>2365</v>
      </c>
      <c r="J604" s="58" t="s">
        <v>2366</v>
      </c>
      <c r="K604" s="58"/>
      <c r="L604" s="58" t="s">
        <v>2367</v>
      </c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58"/>
      <c r="B605" s="59" t="s">
        <v>2951</v>
      </c>
      <c r="C605" s="60" t="s">
        <v>2360</v>
      </c>
      <c r="D605" s="60" t="s">
        <v>2952</v>
      </c>
      <c r="E605" s="60" t="s">
        <v>2953</v>
      </c>
      <c r="F605" s="60" t="s">
        <v>2954</v>
      </c>
      <c r="G605" s="60" t="s">
        <v>2372</v>
      </c>
      <c r="H605" s="61">
        <v>9253884.18</v>
      </c>
      <c r="I605" s="58" t="s">
        <v>2365</v>
      </c>
      <c r="J605" s="58" t="s">
        <v>2366</v>
      </c>
      <c r="K605" s="58"/>
      <c r="L605" s="58" t="s">
        <v>2373</v>
      </c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58"/>
      <c r="B606" s="59" t="s">
        <v>2955</v>
      </c>
      <c r="C606" s="60" t="s">
        <v>2360</v>
      </c>
      <c r="D606" s="60" t="s">
        <v>2956</v>
      </c>
      <c r="E606" s="60" t="s">
        <v>2957</v>
      </c>
      <c r="F606" s="60" t="s">
        <v>2958</v>
      </c>
      <c r="G606" s="60" t="s">
        <v>2364</v>
      </c>
      <c r="H606" s="61">
        <v>4.698975168E7</v>
      </c>
      <c r="I606" s="58" t="s">
        <v>2365</v>
      </c>
      <c r="J606" s="58" t="s">
        <v>2366</v>
      </c>
      <c r="K606" s="58"/>
      <c r="L606" s="58" t="s">
        <v>2367</v>
      </c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58"/>
      <c r="B607" s="59" t="s">
        <v>2959</v>
      </c>
      <c r="C607" s="60" t="s">
        <v>2360</v>
      </c>
      <c r="D607" s="60" t="s">
        <v>2960</v>
      </c>
      <c r="E607" s="60" t="s">
        <v>2961</v>
      </c>
      <c r="F607" s="60" t="s">
        <v>2962</v>
      </c>
      <c r="G607" s="60" t="s">
        <v>2372</v>
      </c>
      <c r="H607" s="61">
        <v>1.31770584E7</v>
      </c>
      <c r="I607" s="58" t="s">
        <v>2365</v>
      </c>
      <c r="J607" s="58" t="s">
        <v>2366</v>
      </c>
      <c r="K607" s="58"/>
      <c r="L607" s="58" t="s">
        <v>2373</v>
      </c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58"/>
      <c r="B608" s="59" t="s">
        <v>2963</v>
      </c>
      <c r="C608" s="60" t="s">
        <v>2360</v>
      </c>
      <c r="D608" s="60" t="s">
        <v>2964</v>
      </c>
      <c r="E608" s="60" t="s">
        <v>2965</v>
      </c>
      <c r="F608" s="60" t="s">
        <v>2966</v>
      </c>
      <c r="G608" s="60" t="s">
        <v>2364</v>
      </c>
      <c r="H608" s="61">
        <v>1.59049287302E9</v>
      </c>
      <c r="I608" s="58" t="s">
        <v>2365</v>
      </c>
      <c r="J608" s="58" t="s">
        <v>2366</v>
      </c>
      <c r="K608" s="58"/>
      <c r="L608" s="58" t="s">
        <v>2367</v>
      </c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58"/>
      <c r="B609" s="59" t="s">
        <v>2967</v>
      </c>
      <c r="C609" s="60" t="s">
        <v>2360</v>
      </c>
      <c r="D609" s="60" t="s">
        <v>2968</v>
      </c>
      <c r="E609" s="60" t="s">
        <v>2969</v>
      </c>
      <c r="F609" s="60" t="s">
        <v>2970</v>
      </c>
      <c r="G609" s="60" t="s">
        <v>2372</v>
      </c>
      <c r="H609" s="61">
        <v>6.0400687668E8</v>
      </c>
      <c r="I609" s="58" t="s">
        <v>2365</v>
      </c>
      <c r="J609" s="58" t="s">
        <v>2366</v>
      </c>
      <c r="K609" s="58"/>
      <c r="L609" s="58" t="s">
        <v>2373</v>
      </c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58"/>
      <c r="B610" s="59" t="s">
        <v>2971</v>
      </c>
      <c r="C610" s="60" t="s">
        <v>2360</v>
      </c>
      <c r="D610" s="60" t="s">
        <v>2972</v>
      </c>
      <c r="E610" s="60" t="s">
        <v>2973</v>
      </c>
      <c r="F610" s="60" t="s">
        <v>2974</v>
      </c>
      <c r="G610" s="60" t="s">
        <v>2434</v>
      </c>
      <c r="H610" s="61">
        <v>3.7270340575E8</v>
      </c>
      <c r="I610" s="58" t="s">
        <v>2365</v>
      </c>
      <c r="J610" s="58" t="s">
        <v>2366</v>
      </c>
      <c r="K610" s="58"/>
      <c r="L610" s="58" t="s">
        <v>2435</v>
      </c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58"/>
      <c r="B611" s="59" t="s">
        <v>2975</v>
      </c>
      <c r="C611" s="60" t="s">
        <v>2360</v>
      </c>
      <c r="D611" s="60" t="s">
        <v>2976</v>
      </c>
      <c r="E611" s="60" t="s">
        <v>2977</v>
      </c>
      <c r="F611" s="60" t="s">
        <v>2978</v>
      </c>
      <c r="G611" s="60" t="s">
        <v>2364</v>
      </c>
      <c r="H611" s="61">
        <v>2.704027077E8</v>
      </c>
      <c r="I611" s="58" t="s">
        <v>2365</v>
      </c>
      <c r="J611" s="58" t="s">
        <v>2366</v>
      </c>
      <c r="K611" s="58"/>
      <c r="L611" s="58" t="s">
        <v>2367</v>
      </c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58"/>
      <c r="B612" s="59" t="s">
        <v>2979</v>
      </c>
      <c r="C612" s="60" t="s">
        <v>2360</v>
      </c>
      <c r="D612" s="60" t="s">
        <v>2980</v>
      </c>
      <c r="E612" s="60" t="s">
        <v>2981</v>
      </c>
      <c r="F612" s="60" t="s">
        <v>2982</v>
      </c>
      <c r="G612" s="60" t="s">
        <v>2372</v>
      </c>
      <c r="H612" s="61">
        <v>3.71574181E7</v>
      </c>
      <c r="I612" s="58" t="s">
        <v>2365</v>
      </c>
      <c r="J612" s="58" t="s">
        <v>2366</v>
      </c>
      <c r="K612" s="58"/>
      <c r="L612" s="58" t="s">
        <v>2373</v>
      </c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58"/>
      <c r="B613" s="59" t="s">
        <v>2983</v>
      </c>
      <c r="C613" s="60" t="s">
        <v>2360</v>
      </c>
      <c r="D613" s="60" t="s">
        <v>2984</v>
      </c>
      <c r="E613" s="60" t="s">
        <v>2985</v>
      </c>
      <c r="F613" s="60" t="s">
        <v>2986</v>
      </c>
      <c r="G613" s="60" t="s">
        <v>2364</v>
      </c>
      <c r="H613" s="61">
        <v>2.3683179752E8</v>
      </c>
      <c r="I613" s="58" t="s">
        <v>2365</v>
      </c>
      <c r="J613" s="58" t="s">
        <v>2366</v>
      </c>
      <c r="K613" s="58"/>
      <c r="L613" s="58" t="s">
        <v>2367</v>
      </c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58"/>
      <c r="B614" s="59" t="s">
        <v>2987</v>
      </c>
      <c r="C614" s="60" t="s">
        <v>2360</v>
      </c>
      <c r="D614" s="60" t="s">
        <v>2988</v>
      </c>
      <c r="E614" s="60" t="s">
        <v>2989</v>
      </c>
      <c r="F614" s="60" t="s">
        <v>2990</v>
      </c>
      <c r="G614" s="60" t="s">
        <v>2372</v>
      </c>
      <c r="H614" s="61">
        <v>5.659196008E7</v>
      </c>
      <c r="I614" s="58" t="s">
        <v>2365</v>
      </c>
      <c r="J614" s="58" t="s">
        <v>2366</v>
      </c>
      <c r="K614" s="58"/>
      <c r="L614" s="58" t="s">
        <v>2373</v>
      </c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58"/>
      <c r="B615" s="59" t="s">
        <v>2991</v>
      </c>
      <c r="C615" s="60" t="s">
        <v>2360</v>
      </c>
      <c r="D615" s="60" t="s">
        <v>2992</v>
      </c>
      <c r="E615" s="60" t="s">
        <v>2993</v>
      </c>
      <c r="F615" s="60" t="s">
        <v>2994</v>
      </c>
      <c r="G615" s="60" t="s">
        <v>2364</v>
      </c>
      <c r="H615" s="61">
        <v>1.9685919732E8</v>
      </c>
      <c r="I615" s="58" t="s">
        <v>2365</v>
      </c>
      <c r="J615" s="58" t="s">
        <v>2366</v>
      </c>
      <c r="K615" s="58"/>
      <c r="L615" s="58" t="s">
        <v>2367</v>
      </c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58"/>
      <c r="B616" s="59" t="s">
        <v>2995</v>
      </c>
      <c r="C616" s="60" t="s">
        <v>2360</v>
      </c>
      <c r="D616" s="60" t="s">
        <v>2996</v>
      </c>
      <c r="E616" s="60" t="s">
        <v>2997</v>
      </c>
      <c r="F616" s="60" t="s">
        <v>2998</v>
      </c>
      <c r="G616" s="60" t="s">
        <v>2372</v>
      </c>
      <c r="H616" s="61">
        <v>2.789315595E7</v>
      </c>
      <c r="I616" s="58" t="s">
        <v>2365</v>
      </c>
      <c r="J616" s="58" t="s">
        <v>2366</v>
      </c>
      <c r="K616" s="58"/>
      <c r="L616" s="58" t="s">
        <v>2373</v>
      </c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58"/>
      <c r="B617" s="59" t="s">
        <v>2999</v>
      </c>
      <c r="C617" s="60" t="s">
        <v>2360</v>
      </c>
      <c r="D617" s="60" t="s">
        <v>3000</v>
      </c>
      <c r="E617" s="60" t="s">
        <v>3001</v>
      </c>
      <c r="F617" s="60" t="s">
        <v>3002</v>
      </c>
      <c r="G617" s="60" t="s">
        <v>2364</v>
      </c>
      <c r="H617" s="61">
        <v>6.74006226E7</v>
      </c>
      <c r="I617" s="58" t="s">
        <v>2365</v>
      </c>
      <c r="J617" s="58" t="s">
        <v>2366</v>
      </c>
      <c r="K617" s="58"/>
      <c r="L617" s="58" t="s">
        <v>2367</v>
      </c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58"/>
      <c r="B618" s="59" t="s">
        <v>3003</v>
      </c>
      <c r="C618" s="60" t="s">
        <v>2360</v>
      </c>
      <c r="D618" s="60" t="s">
        <v>3004</v>
      </c>
      <c r="E618" s="60" t="s">
        <v>3005</v>
      </c>
      <c r="F618" s="60" t="s">
        <v>3006</v>
      </c>
      <c r="G618" s="60" t="s">
        <v>2372</v>
      </c>
      <c r="H618" s="61">
        <v>691740.0</v>
      </c>
      <c r="I618" s="58" t="s">
        <v>2365</v>
      </c>
      <c r="J618" s="58" t="s">
        <v>2366</v>
      </c>
      <c r="K618" s="58"/>
      <c r="L618" s="58" t="s">
        <v>2373</v>
      </c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58"/>
      <c r="B619" s="59" t="s">
        <v>3007</v>
      </c>
      <c r="C619" s="60" t="s">
        <v>2360</v>
      </c>
      <c r="D619" s="60" t="s">
        <v>3008</v>
      </c>
      <c r="E619" s="60" t="s">
        <v>3009</v>
      </c>
      <c r="F619" s="60" t="s">
        <v>3010</v>
      </c>
      <c r="G619" s="60" t="s">
        <v>2364</v>
      </c>
      <c r="H619" s="61">
        <v>3.2004755016E8</v>
      </c>
      <c r="I619" s="58" t="s">
        <v>2365</v>
      </c>
      <c r="J619" s="58" t="s">
        <v>2366</v>
      </c>
      <c r="K619" s="58"/>
      <c r="L619" s="58" t="s">
        <v>2367</v>
      </c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58"/>
      <c r="B620" s="59" t="s">
        <v>3011</v>
      </c>
      <c r="C620" s="60" t="s">
        <v>2360</v>
      </c>
      <c r="D620" s="60" t="s">
        <v>3012</v>
      </c>
      <c r="E620" s="60" t="s">
        <v>3013</v>
      </c>
      <c r="F620" s="60" t="s">
        <v>3014</v>
      </c>
      <c r="G620" s="60" t="s">
        <v>2372</v>
      </c>
      <c r="H620" s="61">
        <v>1.345067667E8</v>
      </c>
      <c r="I620" s="58" t="s">
        <v>2365</v>
      </c>
      <c r="J620" s="58" t="s">
        <v>2366</v>
      </c>
      <c r="K620" s="58"/>
      <c r="L620" s="58" t="s">
        <v>2373</v>
      </c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58"/>
      <c r="B621" s="59" t="s">
        <v>3015</v>
      </c>
      <c r="C621" s="60" t="s">
        <v>2360</v>
      </c>
      <c r="D621" s="60" t="s">
        <v>3016</v>
      </c>
      <c r="E621" s="60" t="s">
        <v>3017</v>
      </c>
      <c r="F621" s="60" t="s">
        <v>3018</v>
      </c>
      <c r="G621" s="60" t="s">
        <v>2434</v>
      </c>
      <c r="H621" s="61">
        <v>2.886197676E7</v>
      </c>
      <c r="I621" s="58" t="s">
        <v>2365</v>
      </c>
      <c r="J621" s="58" t="s">
        <v>2366</v>
      </c>
      <c r="K621" s="58"/>
      <c r="L621" s="58" t="s">
        <v>2435</v>
      </c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58"/>
      <c r="B622" s="59" t="s">
        <v>3019</v>
      </c>
      <c r="C622" s="60" t="s">
        <v>2360</v>
      </c>
      <c r="D622" s="60" t="s">
        <v>3020</v>
      </c>
      <c r="E622" s="60" t="s">
        <v>3021</v>
      </c>
      <c r="F622" s="60" t="s">
        <v>3022</v>
      </c>
      <c r="G622" s="60" t="s">
        <v>2364</v>
      </c>
      <c r="H622" s="61">
        <v>9.711613572E7</v>
      </c>
      <c r="I622" s="58" t="s">
        <v>2365</v>
      </c>
      <c r="J622" s="58" t="s">
        <v>2366</v>
      </c>
      <c r="K622" s="58"/>
      <c r="L622" s="58" t="s">
        <v>2367</v>
      </c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58"/>
      <c r="B623" s="59" t="s">
        <v>3023</v>
      </c>
      <c r="C623" s="60" t="s">
        <v>2360</v>
      </c>
      <c r="D623" s="60" t="s">
        <v>3024</v>
      </c>
      <c r="E623" s="60" t="s">
        <v>3025</v>
      </c>
      <c r="F623" s="60" t="s">
        <v>3026</v>
      </c>
      <c r="G623" s="60" t="s">
        <v>2372</v>
      </c>
      <c r="H623" s="61">
        <v>3.38550619E7</v>
      </c>
      <c r="I623" s="58" t="s">
        <v>2365</v>
      </c>
      <c r="J623" s="58" t="s">
        <v>2366</v>
      </c>
      <c r="K623" s="58"/>
      <c r="L623" s="58" t="s">
        <v>2373</v>
      </c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58"/>
      <c r="B624" s="59" t="s">
        <v>3027</v>
      </c>
      <c r="C624" s="60" t="s">
        <v>2360</v>
      </c>
      <c r="D624" s="60" t="s">
        <v>3028</v>
      </c>
      <c r="E624" s="60" t="s">
        <v>3029</v>
      </c>
      <c r="F624" s="60" t="s">
        <v>3030</v>
      </c>
      <c r="G624" s="60" t="s">
        <v>2364</v>
      </c>
      <c r="H624" s="61">
        <v>1.858710187E7</v>
      </c>
      <c r="I624" s="58" t="s">
        <v>2365</v>
      </c>
      <c r="J624" s="58" t="s">
        <v>2366</v>
      </c>
      <c r="K624" s="58"/>
      <c r="L624" s="58" t="s">
        <v>2367</v>
      </c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58"/>
      <c r="B625" s="59" t="s">
        <v>3031</v>
      </c>
      <c r="C625" s="60" t="s">
        <v>2360</v>
      </c>
      <c r="D625" s="60" t="s">
        <v>3032</v>
      </c>
      <c r="E625" s="60" t="s">
        <v>3033</v>
      </c>
      <c r="F625" s="60" t="s">
        <v>3034</v>
      </c>
      <c r="G625" s="60" t="s">
        <v>2372</v>
      </c>
      <c r="H625" s="61">
        <v>5546542.45</v>
      </c>
      <c r="I625" s="58" t="s">
        <v>2365</v>
      </c>
      <c r="J625" s="58" t="s">
        <v>2366</v>
      </c>
      <c r="K625" s="58"/>
      <c r="L625" s="58" t="s">
        <v>2373</v>
      </c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58"/>
      <c r="B626" s="59" t="s">
        <v>3035</v>
      </c>
      <c r="C626" s="60" t="s">
        <v>2360</v>
      </c>
      <c r="D626" s="60" t="s">
        <v>3036</v>
      </c>
      <c r="E626" s="60" t="s">
        <v>3037</v>
      </c>
      <c r="F626" s="60" t="s">
        <v>3038</v>
      </c>
      <c r="G626" s="60" t="s">
        <v>2364</v>
      </c>
      <c r="H626" s="61">
        <v>5.065217503E7</v>
      </c>
      <c r="I626" s="58" t="s">
        <v>2365</v>
      </c>
      <c r="J626" s="58" t="s">
        <v>2366</v>
      </c>
      <c r="K626" s="58"/>
      <c r="L626" s="58" t="s">
        <v>2367</v>
      </c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58"/>
      <c r="B627" s="59" t="s">
        <v>3039</v>
      </c>
      <c r="C627" s="60" t="s">
        <v>2360</v>
      </c>
      <c r="D627" s="60" t="s">
        <v>3040</v>
      </c>
      <c r="E627" s="60" t="s">
        <v>3041</v>
      </c>
      <c r="F627" s="60" t="s">
        <v>3042</v>
      </c>
      <c r="G627" s="60" t="s">
        <v>2372</v>
      </c>
      <c r="H627" s="61">
        <v>3990822.0</v>
      </c>
      <c r="I627" s="58" t="s">
        <v>2365</v>
      </c>
      <c r="J627" s="58" t="s">
        <v>2366</v>
      </c>
      <c r="K627" s="58"/>
      <c r="L627" s="58" t="s">
        <v>2373</v>
      </c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58"/>
      <c r="B628" s="59" t="s">
        <v>3043</v>
      </c>
      <c r="C628" s="60" t="s">
        <v>2360</v>
      </c>
      <c r="D628" s="60" t="s">
        <v>3044</v>
      </c>
      <c r="E628" s="60" t="s">
        <v>3045</v>
      </c>
      <c r="F628" s="60" t="s">
        <v>3046</v>
      </c>
      <c r="G628" s="60" t="s">
        <v>2364</v>
      </c>
      <c r="H628" s="61">
        <v>2.5435331338E8</v>
      </c>
      <c r="I628" s="58" t="s">
        <v>2365</v>
      </c>
      <c r="J628" s="58" t="s">
        <v>2366</v>
      </c>
      <c r="K628" s="58"/>
      <c r="L628" s="58" t="s">
        <v>2367</v>
      </c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58"/>
      <c r="B629" s="59" t="s">
        <v>3047</v>
      </c>
      <c r="C629" s="60" t="s">
        <v>2360</v>
      </c>
      <c r="D629" s="60" t="s">
        <v>3048</v>
      </c>
      <c r="E629" s="60" t="s">
        <v>3049</v>
      </c>
      <c r="F629" s="60" t="s">
        <v>3050</v>
      </c>
      <c r="G629" s="60" t="s">
        <v>2372</v>
      </c>
      <c r="H629" s="61">
        <v>2.663302928E7</v>
      </c>
      <c r="I629" s="58" t="s">
        <v>2365</v>
      </c>
      <c r="J629" s="58" t="s">
        <v>2366</v>
      </c>
      <c r="K629" s="58"/>
      <c r="L629" s="58" t="s">
        <v>2373</v>
      </c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58"/>
      <c r="B630" s="59" t="s">
        <v>3051</v>
      </c>
      <c r="C630" s="60" t="s">
        <v>2360</v>
      </c>
      <c r="D630" s="60" t="s">
        <v>3052</v>
      </c>
      <c r="E630" s="60" t="s">
        <v>3053</v>
      </c>
      <c r="F630" s="60" t="s">
        <v>3054</v>
      </c>
      <c r="G630" s="60" t="s">
        <v>2364</v>
      </c>
      <c r="H630" s="61">
        <v>5.0342331234E8</v>
      </c>
      <c r="I630" s="58" t="s">
        <v>2365</v>
      </c>
      <c r="J630" s="58" t="s">
        <v>2366</v>
      </c>
      <c r="K630" s="58"/>
      <c r="L630" s="58" t="s">
        <v>2367</v>
      </c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58"/>
      <c r="B631" s="59" t="s">
        <v>3055</v>
      </c>
      <c r="C631" s="60" t="s">
        <v>2360</v>
      </c>
      <c r="D631" s="60" t="s">
        <v>3056</v>
      </c>
      <c r="E631" s="60" t="s">
        <v>3057</v>
      </c>
      <c r="F631" s="60" t="s">
        <v>3058</v>
      </c>
      <c r="G631" s="60" t="s">
        <v>2372</v>
      </c>
      <c r="H631" s="61">
        <v>1.030323096E8</v>
      </c>
      <c r="I631" s="58" t="s">
        <v>2365</v>
      </c>
      <c r="J631" s="58" t="s">
        <v>2366</v>
      </c>
      <c r="K631" s="58"/>
      <c r="L631" s="58" t="s">
        <v>2373</v>
      </c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58"/>
      <c r="B632" s="59" t="s">
        <v>3059</v>
      </c>
      <c r="C632" s="60" t="s">
        <v>2360</v>
      </c>
      <c r="D632" s="60" t="s">
        <v>3060</v>
      </c>
      <c r="E632" s="60" t="s">
        <v>3061</v>
      </c>
      <c r="F632" s="60" t="s">
        <v>3062</v>
      </c>
      <c r="G632" s="60" t="s">
        <v>2364</v>
      </c>
      <c r="H632" s="61">
        <v>8.89793754E7</v>
      </c>
      <c r="I632" s="58" t="s">
        <v>2365</v>
      </c>
      <c r="J632" s="58" t="s">
        <v>2366</v>
      </c>
      <c r="K632" s="58"/>
      <c r="L632" s="58" t="s">
        <v>2367</v>
      </c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58"/>
      <c r="B633" s="59" t="s">
        <v>3063</v>
      </c>
      <c r="C633" s="60" t="s">
        <v>2360</v>
      </c>
      <c r="D633" s="60" t="s">
        <v>3064</v>
      </c>
      <c r="E633" s="60" t="s">
        <v>3065</v>
      </c>
      <c r="F633" s="60" t="s">
        <v>3066</v>
      </c>
      <c r="G633" s="60" t="s">
        <v>2372</v>
      </c>
      <c r="H633" s="61">
        <v>2.063738073E7</v>
      </c>
      <c r="I633" s="58" t="s">
        <v>2365</v>
      </c>
      <c r="J633" s="58" t="s">
        <v>2366</v>
      </c>
      <c r="K633" s="58"/>
      <c r="L633" s="58" t="s">
        <v>2373</v>
      </c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58"/>
      <c r="B634" s="59" t="s">
        <v>3067</v>
      </c>
      <c r="C634" s="60" t="s">
        <v>2360</v>
      </c>
      <c r="D634" s="60" t="s">
        <v>3068</v>
      </c>
      <c r="E634" s="60" t="s">
        <v>3069</v>
      </c>
      <c r="F634" s="60" t="s">
        <v>3070</v>
      </c>
      <c r="G634" s="60" t="s">
        <v>2364</v>
      </c>
      <c r="H634" s="61">
        <v>2486377.92</v>
      </c>
      <c r="I634" s="58" t="s">
        <v>2365</v>
      </c>
      <c r="J634" s="58" t="s">
        <v>2366</v>
      </c>
      <c r="K634" s="58"/>
      <c r="L634" s="58" t="s">
        <v>2367</v>
      </c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58"/>
      <c r="B635" s="59" t="s">
        <v>3071</v>
      </c>
      <c r="C635" s="60" t="s">
        <v>2360</v>
      </c>
      <c r="D635" s="60" t="s">
        <v>3072</v>
      </c>
      <c r="E635" s="60" t="s">
        <v>3073</v>
      </c>
      <c r="F635" s="60" t="s">
        <v>3074</v>
      </c>
      <c r="G635" s="60" t="s">
        <v>2364</v>
      </c>
      <c r="H635" s="61">
        <v>2.09790882224E9</v>
      </c>
      <c r="I635" s="58" t="s">
        <v>2365</v>
      </c>
      <c r="J635" s="58" t="s">
        <v>2366</v>
      </c>
      <c r="K635" s="58"/>
      <c r="L635" s="58" t="s">
        <v>2367</v>
      </c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58"/>
      <c r="B636" s="59" t="s">
        <v>3075</v>
      </c>
      <c r="C636" s="60" t="s">
        <v>2360</v>
      </c>
      <c r="D636" s="60" t="s">
        <v>3076</v>
      </c>
      <c r="E636" s="60" t="s">
        <v>3077</v>
      </c>
      <c r="F636" s="60" t="s">
        <v>3078</v>
      </c>
      <c r="G636" s="60" t="s">
        <v>2372</v>
      </c>
      <c r="H636" s="61">
        <v>9.2086089663E8</v>
      </c>
      <c r="I636" s="58" t="s">
        <v>2365</v>
      </c>
      <c r="J636" s="58" t="s">
        <v>2366</v>
      </c>
      <c r="K636" s="58"/>
      <c r="L636" s="58" t="s">
        <v>2373</v>
      </c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58"/>
      <c r="B637" s="59" t="s">
        <v>3079</v>
      </c>
      <c r="C637" s="60" t="s">
        <v>2360</v>
      </c>
      <c r="D637" s="60" t="s">
        <v>3080</v>
      </c>
      <c r="E637" s="60" t="s">
        <v>3081</v>
      </c>
      <c r="F637" s="60" t="s">
        <v>3082</v>
      </c>
      <c r="G637" s="60" t="s">
        <v>2434</v>
      </c>
      <c r="H637" s="61">
        <v>2.8836873623E8</v>
      </c>
      <c r="I637" s="58" t="s">
        <v>2365</v>
      </c>
      <c r="J637" s="58" t="s">
        <v>2366</v>
      </c>
      <c r="K637" s="58"/>
      <c r="L637" s="58" t="s">
        <v>2435</v>
      </c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58"/>
      <c r="B638" s="59" t="s">
        <v>3083</v>
      </c>
      <c r="C638" s="60" t="s">
        <v>2360</v>
      </c>
      <c r="D638" s="60" t="s">
        <v>3084</v>
      </c>
      <c r="E638" s="60" t="s">
        <v>3085</v>
      </c>
      <c r="F638" s="60" t="s">
        <v>3086</v>
      </c>
      <c r="G638" s="60" t="s">
        <v>2480</v>
      </c>
      <c r="H638" s="61">
        <v>3.18122114E7</v>
      </c>
      <c r="I638" s="58" t="s">
        <v>2365</v>
      </c>
      <c r="J638" s="58" t="s">
        <v>2366</v>
      </c>
      <c r="K638" s="58"/>
      <c r="L638" s="58" t="s">
        <v>2481</v>
      </c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58"/>
      <c r="B639" s="59" t="s">
        <v>3087</v>
      </c>
      <c r="C639" s="60" t="s">
        <v>2360</v>
      </c>
      <c r="D639" s="60" t="s">
        <v>3088</v>
      </c>
      <c r="E639" s="60" t="s">
        <v>3089</v>
      </c>
      <c r="F639" s="60" t="s">
        <v>3090</v>
      </c>
      <c r="G639" s="60" t="s">
        <v>2364</v>
      </c>
      <c r="H639" s="61">
        <v>1.0554909756E8</v>
      </c>
      <c r="I639" s="58" t="s">
        <v>2365</v>
      </c>
      <c r="J639" s="58" t="s">
        <v>2366</v>
      </c>
      <c r="K639" s="58"/>
      <c r="L639" s="58" t="s">
        <v>2367</v>
      </c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58"/>
      <c r="B640" s="59" t="s">
        <v>3091</v>
      </c>
      <c r="C640" s="60" t="s">
        <v>2360</v>
      </c>
      <c r="D640" s="60" t="s">
        <v>3092</v>
      </c>
      <c r="E640" s="60" t="s">
        <v>3093</v>
      </c>
      <c r="F640" s="60" t="s">
        <v>3094</v>
      </c>
      <c r="G640" s="60" t="s">
        <v>2372</v>
      </c>
      <c r="H640" s="61">
        <v>1.05339938E7</v>
      </c>
      <c r="I640" s="58" t="s">
        <v>2365</v>
      </c>
      <c r="J640" s="58" t="s">
        <v>2366</v>
      </c>
      <c r="K640" s="58"/>
      <c r="L640" s="58" t="s">
        <v>2373</v>
      </c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58"/>
      <c r="B641" s="59" t="s">
        <v>3095</v>
      </c>
      <c r="C641" s="60" t="s">
        <v>2360</v>
      </c>
      <c r="D641" s="60" t="s">
        <v>3096</v>
      </c>
      <c r="E641" s="60" t="s">
        <v>3097</v>
      </c>
      <c r="F641" s="60" t="s">
        <v>3098</v>
      </c>
      <c r="G641" s="60" t="s">
        <v>2364</v>
      </c>
      <c r="H641" s="61">
        <v>2.2788441741E8</v>
      </c>
      <c r="I641" s="58" t="s">
        <v>2365</v>
      </c>
      <c r="J641" s="58" t="s">
        <v>2366</v>
      </c>
      <c r="K641" s="58"/>
      <c r="L641" s="58" t="s">
        <v>2367</v>
      </c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58"/>
      <c r="B642" s="59" t="s">
        <v>3099</v>
      </c>
      <c r="C642" s="60" t="s">
        <v>2360</v>
      </c>
      <c r="D642" s="60" t="s">
        <v>3100</v>
      </c>
      <c r="E642" s="60" t="s">
        <v>3101</v>
      </c>
      <c r="F642" s="60" t="s">
        <v>3102</v>
      </c>
      <c r="G642" s="60" t="s">
        <v>2372</v>
      </c>
      <c r="H642" s="61">
        <v>3.235138608E7</v>
      </c>
      <c r="I642" s="58" t="s">
        <v>2365</v>
      </c>
      <c r="J642" s="58" t="s">
        <v>2366</v>
      </c>
      <c r="K642" s="58"/>
      <c r="L642" s="58" t="s">
        <v>2373</v>
      </c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58"/>
      <c r="B643" s="59" t="s">
        <v>3103</v>
      </c>
      <c r="C643" s="60" t="s">
        <v>2360</v>
      </c>
      <c r="D643" s="60" t="s">
        <v>3104</v>
      </c>
      <c r="E643" s="60" t="s">
        <v>3105</v>
      </c>
      <c r="F643" s="60" t="s">
        <v>3106</v>
      </c>
      <c r="G643" s="60" t="s">
        <v>2364</v>
      </c>
      <c r="H643" s="61">
        <v>9.876249552E7</v>
      </c>
      <c r="I643" s="58" t="s">
        <v>2365</v>
      </c>
      <c r="J643" s="58" t="s">
        <v>2366</v>
      </c>
      <c r="K643" s="58"/>
      <c r="L643" s="58" t="s">
        <v>2367</v>
      </c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58"/>
      <c r="B644" s="59" t="s">
        <v>3107</v>
      </c>
      <c r="C644" s="60" t="s">
        <v>2360</v>
      </c>
      <c r="D644" s="60" t="s">
        <v>3108</v>
      </c>
      <c r="E644" s="60" t="s">
        <v>3109</v>
      </c>
      <c r="F644" s="60" t="s">
        <v>3110</v>
      </c>
      <c r="G644" s="60" t="s">
        <v>2372</v>
      </c>
      <c r="H644" s="61">
        <v>3.341935048E7</v>
      </c>
      <c r="I644" s="58" t="s">
        <v>2365</v>
      </c>
      <c r="J644" s="58" t="s">
        <v>2366</v>
      </c>
      <c r="K644" s="58"/>
      <c r="L644" s="58" t="s">
        <v>2373</v>
      </c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58"/>
      <c r="B645" s="59" t="s">
        <v>3111</v>
      </c>
      <c r="C645" s="60" t="s">
        <v>2360</v>
      </c>
      <c r="D645" s="60" t="s">
        <v>3112</v>
      </c>
      <c r="E645" s="60" t="s">
        <v>3113</v>
      </c>
      <c r="F645" s="60" t="s">
        <v>3114</v>
      </c>
      <c r="G645" s="60" t="s">
        <v>2364</v>
      </c>
      <c r="H645" s="61">
        <v>6.203986035E7</v>
      </c>
      <c r="I645" s="58" t="s">
        <v>2365</v>
      </c>
      <c r="J645" s="58" t="s">
        <v>2366</v>
      </c>
      <c r="K645" s="58"/>
      <c r="L645" s="58" t="s">
        <v>2367</v>
      </c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58"/>
      <c r="B646" s="59" t="s">
        <v>3115</v>
      </c>
      <c r="C646" s="60" t="s">
        <v>2360</v>
      </c>
      <c r="D646" s="60" t="s">
        <v>3116</v>
      </c>
      <c r="E646" s="60" t="s">
        <v>3117</v>
      </c>
      <c r="F646" s="60" t="s">
        <v>3118</v>
      </c>
      <c r="G646" s="60" t="s">
        <v>2372</v>
      </c>
      <c r="H646" s="61">
        <v>1831762.4</v>
      </c>
      <c r="I646" s="58" t="s">
        <v>2365</v>
      </c>
      <c r="J646" s="58" t="s">
        <v>2366</v>
      </c>
      <c r="K646" s="58"/>
      <c r="L646" s="58" t="s">
        <v>2373</v>
      </c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58"/>
      <c r="B647" s="59" t="s">
        <v>3119</v>
      </c>
      <c r="C647" s="60" t="s">
        <v>2360</v>
      </c>
      <c r="D647" s="60" t="s">
        <v>3120</v>
      </c>
      <c r="E647" s="60" t="s">
        <v>3121</v>
      </c>
      <c r="F647" s="60" t="s">
        <v>3122</v>
      </c>
      <c r="G647" s="60" t="s">
        <v>2364</v>
      </c>
      <c r="H647" s="61">
        <v>1424502.6</v>
      </c>
      <c r="I647" s="58" t="s">
        <v>2365</v>
      </c>
      <c r="J647" s="58" t="s">
        <v>2366</v>
      </c>
      <c r="K647" s="58"/>
      <c r="L647" s="58" t="s">
        <v>2367</v>
      </c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58"/>
      <c r="B648" s="59" t="s">
        <v>3123</v>
      </c>
      <c r="C648" s="60" t="s">
        <v>2360</v>
      </c>
      <c r="D648" s="60" t="s">
        <v>3124</v>
      </c>
      <c r="E648" s="60" t="s">
        <v>3125</v>
      </c>
      <c r="F648" s="60" t="s">
        <v>3126</v>
      </c>
      <c r="G648" s="60" t="s">
        <v>2364</v>
      </c>
      <c r="H648" s="61">
        <v>2.117669976E7</v>
      </c>
      <c r="I648" s="58" t="s">
        <v>2365</v>
      </c>
      <c r="J648" s="58" t="s">
        <v>2366</v>
      </c>
      <c r="K648" s="58"/>
      <c r="L648" s="58" t="s">
        <v>2367</v>
      </c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58"/>
      <c r="B649" s="59" t="s">
        <v>3127</v>
      </c>
      <c r="C649" s="60" t="s">
        <v>2360</v>
      </c>
      <c r="D649" s="60" t="s">
        <v>3128</v>
      </c>
      <c r="E649" s="60" t="s">
        <v>3129</v>
      </c>
      <c r="F649" s="60" t="s">
        <v>3130</v>
      </c>
      <c r="G649" s="60" t="s">
        <v>2372</v>
      </c>
      <c r="H649" s="61">
        <v>4213220.0</v>
      </c>
      <c r="I649" s="58" t="s">
        <v>2365</v>
      </c>
      <c r="J649" s="58" t="s">
        <v>2366</v>
      </c>
      <c r="K649" s="58"/>
      <c r="L649" s="58" t="s">
        <v>2373</v>
      </c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58"/>
      <c r="B650" s="59" t="s">
        <v>3131</v>
      </c>
      <c r="C650" s="60" t="s">
        <v>2360</v>
      </c>
      <c r="D650" s="60" t="s">
        <v>3132</v>
      </c>
      <c r="E650" s="60" t="s">
        <v>3133</v>
      </c>
      <c r="F650" s="60" t="s">
        <v>3134</v>
      </c>
      <c r="G650" s="60" t="s">
        <v>2364</v>
      </c>
      <c r="H650" s="61">
        <v>1.2546509235E8</v>
      </c>
      <c r="I650" s="58" t="s">
        <v>2365</v>
      </c>
      <c r="J650" s="58" t="s">
        <v>2366</v>
      </c>
      <c r="K650" s="58"/>
      <c r="L650" s="58" t="s">
        <v>2367</v>
      </c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58"/>
      <c r="B651" s="59" t="s">
        <v>3135</v>
      </c>
      <c r="C651" s="60" t="s">
        <v>2360</v>
      </c>
      <c r="D651" s="60" t="s">
        <v>3136</v>
      </c>
      <c r="E651" s="60" t="s">
        <v>3137</v>
      </c>
      <c r="F651" s="60" t="s">
        <v>3138</v>
      </c>
      <c r="G651" s="60" t="s">
        <v>2372</v>
      </c>
      <c r="H651" s="61">
        <v>3.159780528E7</v>
      </c>
      <c r="I651" s="58" t="s">
        <v>2365</v>
      </c>
      <c r="J651" s="58" t="s">
        <v>2366</v>
      </c>
      <c r="K651" s="58"/>
      <c r="L651" s="58" t="s">
        <v>2373</v>
      </c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58"/>
      <c r="B652" s="59" t="s">
        <v>3139</v>
      </c>
      <c r="C652" s="60" t="s">
        <v>2360</v>
      </c>
      <c r="D652" s="60" t="s">
        <v>3140</v>
      </c>
      <c r="E652" s="60" t="s">
        <v>3141</v>
      </c>
      <c r="F652" s="60" t="s">
        <v>3142</v>
      </c>
      <c r="G652" s="60" t="s">
        <v>2364</v>
      </c>
      <c r="H652" s="61">
        <v>7.7093839565E8</v>
      </c>
      <c r="I652" s="58" t="s">
        <v>2365</v>
      </c>
      <c r="J652" s="58" t="s">
        <v>2366</v>
      </c>
      <c r="K652" s="58"/>
      <c r="L652" s="58" t="s">
        <v>2367</v>
      </c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58"/>
      <c r="B653" s="59" t="s">
        <v>3143</v>
      </c>
      <c r="C653" s="60" t="s">
        <v>2360</v>
      </c>
      <c r="D653" s="60" t="s">
        <v>3144</v>
      </c>
      <c r="E653" s="60" t="s">
        <v>3145</v>
      </c>
      <c r="F653" s="60" t="s">
        <v>3146</v>
      </c>
      <c r="G653" s="60" t="s">
        <v>2372</v>
      </c>
      <c r="H653" s="61">
        <v>1.4705316208E8</v>
      </c>
      <c r="I653" s="58" t="s">
        <v>2365</v>
      </c>
      <c r="J653" s="58" t="s">
        <v>2366</v>
      </c>
      <c r="K653" s="58"/>
      <c r="L653" s="58" t="s">
        <v>2373</v>
      </c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58"/>
      <c r="B654" s="59" t="s">
        <v>3147</v>
      </c>
      <c r="C654" s="60" t="s">
        <v>2360</v>
      </c>
      <c r="D654" s="60" t="s">
        <v>3148</v>
      </c>
      <c r="E654" s="60" t="s">
        <v>3149</v>
      </c>
      <c r="F654" s="60" t="s">
        <v>3150</v>
      </c>
      <c r="G654" s="60" t="s">
        <v>2364</v>
      </c>
      <c r="H654" s="61">
        <v>4.498522656E7</v>
      </c>
      <c r="I654" s="58" t="s">
        <v>2365</v>
      </c>
      <c r="J654" s="58" t="s">
        <v>2366</v>
      </c>
      <c r="K654" s="58"/>
      <c r="L654" s="58" t="s">
        <v>2367</v>
      </c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58"/>
      <c r="B655" s="59" t="s">
        <v>3151</v>
      </c>
      <c r="C655" s="60" t="s">
        <v>2360</v>
      </c>
      <c r="D655" s="60" t="s">
        <v>3152</v>
      </c>
      <c r="E655" s="60" t="s">
        <v>3153</v>
      </c>
      <c r="F655" s="60" t="s">
        <v>3154</v>
      </c>
      <c r="G655" s="60" t="s">
        <v>2364</v>
      </c>
      <c r="H655" s="61">
        <v>4.115796768E7</v>
      </c>
      <c r="I655" s="58" t="s">
        <v>2365</v>
      </c>
      <c r="J655" s="58" t="s">
        <v>2366</v>
      </c>
      <c r="K655" s="58"/>
      <c r="L655" s="58" t="s">
        <v>2367</v>
      </c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58"/>
      <c r="B656" s="59" t="s">
        <v>3155</v>
      </c>
      <c r="C656" s="60" t="s">
        <v>2360</v>
      </c>
      <c r="D656" s="60" t="s">
        <v>3156</v>
      </c>
      <c r="E656" s="60" t="s">
        <v>3157</v>
      </c>
      <c r="F656" s="60" t="s">
        <v>3158</v>
      </c>
      <c r="G656" s="60" t="s">
        <v>2364</v>
      </c>
      <c r="H656" s="61">
        <v>3.635513308E7</v>
      </c>
      <c r="I656" s="58" t="s">
        <v>2365</v>
      </c>
      <c r="J656" s="58" t="s">
        <v>2366</v>
      </c>
      <c r="K656" s="58"/>
      <c r="L656" s="58" t="s">
        <v>2367</v>
      </c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58"/>
      <c r="B657" s="59" t="s">
        <v>3159</v>
      </c>
      <c r="C657" s="60" t="s">
        <v>2360</v>
      </c>
      <c r="D657" s="60" t="s">
        <v>3160</v>
      </c>
      <c r="E657" s="60" t="s">
        <v>3161</v>
      </c>
      <c r="F657" s="60" t="s">
        <v>3162</v>
      </c>
      <c r="G657" s="60" t="s">
        <v>2372</v>
      </c>
      <c r="H657" s="61">
        <v>5416354.88</v>
      </c>
      <c r="I657" s="58" t="s">
        <v>2365</v>
      </c>
      <c r="J657" s="58" t="s">
        <v>2366</v>
      </c>
      <c r="K657" s="58"/>
      <c r="L657" s="58" t="s">
        <v>2373</v>
      </c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58"/>
      <c r="B658" s="59" t="s">
        <v>3163</v>
      </c>
      <c r="C658" s="60" t="s">
        <v>2360</v>
      </c>
      <c r="D658" s="60" t="s">
        <v>3164</v>
      </c>
      <c r="E658" s="60" t="s">
        <v>3165</v>
      </c>
      <c r="F658" s="60" t="s">
        <v>3166</v>
      </c>
      <c r="G658" s="60" t="s">
        <v>2364</v>
      </c>
      <c r="H658" s="61">
        <v>4.200873417E8</v>
      </c>
      <c r="I658" s="58" t="s">
        <v>2365</v>
      </c>
      <c r="J658" s="58" t="s">
        <v>2366</v>
      </c>
      <c r="K658" s="58"/>
      <c r="L658" s="58" t="s">
        <v>2367</v>
      </c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58"/>
      <c r="B659" s="59" t="s">
        <v>3167</v>
      </c>
      <c r="C659" s="60" t="s">
        <v>2360</v>
      </c>
      <c r="D659" s="60" t="s">
        <v>3168</v>
      </c>
      <c r="E659" s="60" t="s">
        <v>3169</v>
      </c>
      <c r="F659" s="60" t="s">
        <v>3170</v>
      </c>
      <c r="G659" s="60" t="s">
        <v>2372</v>
      </c>
      <c r="H659" s="61">
        <v>5.078915296E7</v>
      </c>
      <c r="I659" s="58" t="s">
        <v>2365</v>
      </c>
      <c r="J659" s="58" t="s">
        <v>2366</v>
      </c>
      <c r="K659" s="58"/>
      <c r="L659" s="58" t="s">
        <v>2373</v>
      </c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58"/>
      <c r="B660" s="59" t="s">
        <v>3171</v>
      </c>
      <c r="C660" s="60" t="s">
        <v>2360</v>
      </c>
      <c r="D660" s="60" t="s">
        <v>3172</v>
      </c>
      <c r="E660" s="60" t="s">
        <v>3173</v>
      </c>
      <c r="F660" s="60" t="s">
        <v>3174</v>
      </c>
      <c r="G660" s="60" t="s">
        <v>2364</v>
      </c>
      <c r="H660" s="61">
        <v>2.10531894E7</v>
      </c>
      <c r="I660" s="58" t="s">
        <v>2365</v>
      </c>
      <c r="J660" s="58" t="s">
        <v>2366</v>
      </c>
      <c r="K660" s="58"/>
      <c r="L660" s="58" t="s">
        <v>2367</v>
      </c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58"/>
      <c r="B661" s="59" t="s">
        <v>3175</v>
      </c>
      <c r="C661" s="60" t="s">
        <v>2360</v>
      </c>
      <c r="D661" s="60" t="s">
        <v>3176</v>
      </c>
      <c r="E661" s="60" t="s">
        <v>3177</v>
      </c>
      <c r="F661" s="60" t="s">
        <v>3178</v>
      </c>
      <c r="G661" s="60" t="s">
        <v>2364</v>
      </c>
      <c r="H661" s="61">
        <v>9.19494114E7</v>
      </c>
      <c r="I661" s="58" t="s">
        <v>2365</v>
      </c>
      <c r="J661" s="58" t="s">
        <v>2366</v>
      </c>
      <c r="K661" s="58"/>
      <c r="L661" s="58" t="s">
        <v>2367</v>
      </c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58"/>
      <c r="B662" s="59" t="s">
        <v>3179</v>
      </c>
      <c r="C662" s="60" t="s">
        <v>2360</v>
      </c>
      <c r="D662" s="60" t="s">
        <v>3180</v>
      </c>
      <c r="E662" s="60" t="s">
        <v>3181</v>
      </c>
      <c r="F662" s="60" t="s">
        <v>3182</v>
      </c>
      <c r="G662" s="60" t="s">
        <v>2372</v>
      </c>
      <c r="H662" s="61">
        <v>9323461.73</v>
      </c>
      <c r="I662" s="58" t="s">
        <v>2365</v>
      </c>
      <c r="J662" s="58" t="s">
        <v>2366</v>
      </c>
      <c r="K662" s="58"/>
      <c r="L662" s="58" t="s">
        <v>2373</v>
      </c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58"/>
      <c r="B663" s="59" t="s">
        <v>3183</v>
      </c>
      <c r="C663" s="60" t="s">
        <v>2360</v>
      </c>
      <c r="D663" s="60" t="s">
        <v>3184</v>
      </c>
      <c r="E663" s="60" t="s">
        <v>3185</v>
      </c>
      <c r="F663" s="60" t="s">
        <v>3186</v>
      </c>
      <c r="G663" s="60" t="s">
        <v>2364</v>
      </c>
      <c r="H663" s="61">
        <v>1.361449752E7</v>
      </c>
      <c r="I663" s="58" t="s">
        <v>2365</v>
      </c>
      <c r="J663" s="58" t="s">
        <v>2366</v>
      </c>
      <c r="K663" s="58"/>
      <c r="L663" s="58" t="s">
        <v>2367</v>
      </c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58"/>
      <c r="B664" s="59" t="s">
        <v>3187</v>
      </c>
      <c r="C664" s="60" t="s">
        <v>2360</v>
      </c>
      <c r="D664" s="60" t="s">
        <v>3188</v>
      </c>
      <c r="E664" s="60" t="s">
        <v>3189</v>
      </c>
      <c r="F664" s="60" t="s">
        <v>3190</v>
      </c>
      <c r="G664" s="60" t="s">
        <v>2364</v>
      </c>
      <c r="H664" s="61">
        <v>6.2074880684E8</v>
      </c>
      <c r="I664" s="58" t="s">
        <v>2365</v>
      </c>
      <c r="J664" s="58" t="s">
        <v>2366</v>
      </c>
      <c r="K664" s="58"/>
      <c r="L664" s="58" t="s">
        <v>2367</v>
      </c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58"/>
      <c r="B665" s="59" t="s">
        <v>3191</v>
      </c>
      <c r="C665" s="60" t="s">
        <v>2360</v>
      </c>
      <c r="D665" s="60" t="s">
        <v>3192</v>
      </c>
      <c r="E665" s="60" t="s">
        <v>3193</v>
      </c>
      <c r="F665" s="60" t="s">
        <v>3194</v>
      </c>
      <c r="G665" s="60" t="s">
        <v>2372</v>
      </c>
      <c r="H665" s="61">
        <v>1.1877475776E8</v>
      </c>
      <c r="I665" s="58" t="s">
        <v>2365</v>
      </c>
      <c r="J665" s="58" t="s">
        <v>2366</v>
      </c>
      <c r="K665" s="58"/>
      <c r="L665" s="58" t="s">
        <v>2373</v>
      </c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58"/>
      <c r="B666" s="59" t="s">
        <v>3195</v>
      </c>
      <c r="C666" s="60" t="s">
        <v>2360</v>
      </c>
      <c r="D666" s="60" t="s">
        <v>3196</v>
      </c>
      <c r="E666" s="60" t="s">
        <v>3197</v>
      </c>
      <c r="F666" s="60" t="s">
        <v>3198</v>
      </c>
      <c r="G666" s="60" t="s">
        <v>2364</v>
      </c>
      <c r="H666" s="61">
        <v>3.322545432E7</v>
      </c>
      <c r="I666" s="58" t="s">
        <v>2365</v>
      </c>
      <c r="J666" s="58" t="s">
        <v>2366</v>
      </c>
      <c r="K666" s="58"/>
      <c r="L666" s="58" t="s">
        <v>2367</v>
      </c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58"/>
      <c r="B667" s="59" t="s">
        <v>3199</v>
      </c>
      <c r="C667" s="60" t="s">
        <v>2360</v>
      </c>
      <c r="D667" s="60" t="s">
        <v>3200</v>
      </c>
      <c r="E667" s="60" t="s">
        <v>3201</v>
      </c>
      <c r="F667" s="60" t="s">
        <v>3202</v>
      </c>
      <c r="G667" s="60" t="s">
        <v>2364</v>
      </c>
      <c r="H667" s="61">
        <v>2.040519154E7</v>
      </c>
      <c r="I667" s="58" t="s">
        <v>2365</v>
      </c>
      <c r="J667" s="58" t="s">
        <v>2366</v>
      </c>
      <c r="K667" s="58"/>
      <c r="L667" s="58" t="s">
        <v>2367</v>
      </c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58"/>
      <c r="B668" s="59" t="s">
        <v>3203</v>
      </c>
      <c r="C668" s="60" t="s">
        <v>2360</v>
      </c>
      <c r="D668" s="60" t="s">
        <v>3204</v>
      </c>
      <c r="E668" s="60" t="s">
        <v>3205</v>
      </c>
      <c r="F668" s="60" t="s">
        <v>3206</v>
      </c>
      <c r="G668" s="60" t="s">
        <v>2372</v>
      </c>
      <c r="H668" s="61">
        <v>5860605.72</v>
      </c>
      <c r="I668" s="58" t="s">
        <v>2365</v>
      </c>
      <c r="J668" s="58" t="s">
        <v>2366</v>
      </c>
      <c r="K668" s="58"/>
      <c r="L668" s="58" t="s">
        <v>2373</v>
      </c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58"/>
      <c r="B669" s="59" t="s">
        <v>3207</v>
      </c>
      <c r="C669" s="60" t="s">
        <v>2360</v>
      </c>
      <c r="D669" s="60" t="s">
        <v>3208</v>
      </c>
      <c r="E669" s="60" t="s">
        <v>3209</v>
      </c>
      <c r="F669" s="60" t="s">
        <v>3210</v>
      </c>
      <c r="G669" s="60" t="s">
        <v>2364</v>
      </c>
      <c r="H669" s="61">
        <v>3.2796475472E8</v>
      </c>
      <c r="I669" s="58" t="s">
        <v>2365</v>
      </c>
      <c r="J669" s="58" t="s">
        <v>2366</v>
      </c>
      <c r="K669" s="58"/>
      <c r="L669" s="58" t="s">
        <v>2367</v>
      </c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58"/>
      <c r="B670" s="59" t="s">
        <v>3211</v>
      </c>
      <c r="C670" s="60" t="s">
        <v>2360</v>
      </c>
      <c r="D670" s="60" t="s">
        <v>3212</v>
      </c>
      <c r="E670" s="60" t="s">
        <v>3213</v>
      </c>
      <c r="F670" s="60" t="s">
        <v>3214</v>
      </c>
      <c r="G670" s="60" t="s">
        <v>2372</v>
      </c>
      <c r="H670" s="61">
        <v>6.898216272E7</v>
      </c>
      <c r="I670" s="58" t="s">
        <v>2365</v>
      </c>
      <c r="J670" s="58" t="s">
        <v>2366</v>
      </c>
      <c r="K670" s="58"/>
      <c r="L670" s="58" t="s">
        <v>2373</v>
      </c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58"/>
      <c r="B671" s="59" t="s">
        <v>3215</v>
      </c>
      <c r="C671" s="60" t="s">
        <v>2360</v>
      </c>
      <c r="D671" s="60" t="s">
        <v>3216</v>
      </c>
      <c r="E671" s="60" t="s">
        <v>3217</v>
      </c>
      <c r="F671" s="60" t="s">
        <v>3218</v>
      </c>
      <c r="G671" s="60" t="s">
        <v>2364</v>
      </c>
      <c r="H671" s="61">
        <v>4.9745686266E8</v>
      </c>
      <c r="I671" s="58" t="s">
        <v>2365</v>
      </c>
      <c r="J671" s="58" t="s">
        <v>2366</v>
      </c>
      <c r="K671" s="58"/>
      <c r="L671" s="58" t="s">
        <v>2367</v>
      </c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58"/>
      <c r="B672" s="59" t="s">
        <v>3219</v>
      </c>
      <c r="C672" s="60" t="s">
        <v>2360</v>
      </c>
      <c r="D672" s="60" t="s">
        <v>3220</v>
      </c>
      <c r="E672" s="60" t="s">
        <v>3221</v>
      </c>
      <c r="F672" s="60" t="s">
        <v>3222</v>
      </c>
      <c r="G672" s="60" t="s">
        <v>2372</v>
      </c>
      <c r="H672" s="61">
        <v>1.3272648581E8</v>
      </c>
      <c r="I672" s="58" t="s">
        <v>2365</v>
      </c>
      <c r="J672" s="58" t="s">
        <v>2366</v>
      </c>
      <c r="K672" s="58"/>
      <c r="L672" s="58" t="s">
        <v>2373</v>
      </c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58"/>
      <c r="B673" s="59" t="s">
        <v>3223</v>
      </c>
      <c r="C673" s="60" t="s">
        <v>2360</v>
      </c>
      <c r="D673" s="60" t="s">
        <v>3224</v>
      </c>
      <c r="E673" s="60" t="s">
        <v>3225</v>
      </c>
      <c r="F673" s="60" t="s">
        <v>3226</v>
      </c>
      <c r="G673" s="60" t="s">
        <v>2434</v>
      </c>
      <c r="H673" s="61">
        <v>5.147019384E7</v>
      </c>
      <c r="I673" s="58" t="s">
        <v>2365</v>
      </c>
      <c r="J673" s="58" t="s">
        <v>2366</v>
      </c>
      <c r="K673" s="58"/>
      <c r="L673" s="58" t="s">
        <v>2435</v>
      </c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58"/>
      <c r="B674" s="59" t="s">
        <v>3227</v>
      </c>
      <c r="C674" s="60" t="s">
        <v>2360</v>
      </c>
      <c r="D674" s="60" t="s">
        <v>3228</v>
      </c>
      <c r="E674" s="60" t="s">
        <v>3229</v>
      </c>
      <c r="F674" s="60" t="s">
        <v>3230</v>
      </c>
      <c r="G674" s="60" t="s">
        <v>2364</v>
      </c>
      <c r="H674" s="61">
        <v>1.1160016928E8</v>
      </c>
      <c r="I674" s="58" t="s">
        <v>2365</v>
      </c>
      <c r="J674" s="58" t="s">
        <v>2366</v>
      </c>
      <c r="K674" s="58"/>
      <c r="L674" s="58" t="s">
        <v>2367</v>
      </c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58"/>
      <c r="B675" s="59" t="s">
        <v>3231</v>
      </c>
      <c r="C675" s="60" t="s">
        <v>2360</v>
      </c>
      <c r="D675" s="60" t="s">
        <v>3232</v>
      </c>
      <c r="E675" s="60" t="s">
        <v>3233</v>
      </c>
      <c r="F675" s="60" t="s">
        <v>3234</v>
      </c>
      <c r="G675" s="60" t="s">
        <v>2372</v>
      </c>
      <c r="H675" s="61">
        <v>3.312967068E7</v>
      </c>
      <c r="I675" s="58" t="s">
        <v>2365</v>
      </c>
      <c r="J675" s="58" t="s">
        <v>2366</v>
      </c>
      <c r="K675" s="58"/>
      <c r="L675" s="58" t="s">
        <v>2373</v>
      </c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58"/>
      <c r="B676" s="59" t="s">
        <v>3235</v>
      </c>
      <c r="C676" s="60" t="s">
        <v>2360</v>
      </c>
      <c r="D676" s="60" t="s">
        <v>3236</v>
      </c>
      <c r="E676" s="60" t="s">
        <v>3237</v>
      </c>
      <c r="F676" s="60" t="s">
        <v>3238</v>
      </c>
      <c r="G676" s="60" t="s">
        <v>2364</v>
      </c>
      <c r="H676" s="61">
        <v>1.0568717913E8</v>
      </c>
      <c r="I676" s="58" t="s">
        <v>2365</v>
      </c>
      <c r="J676" s="58" t="s">
        <v>2366</v>
      </c>
      <c r="K676" s="58"/>
      <c r="L676" s="58" t="s">
        <v>2367</v>
      </c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58"/>
      <c r="B677" s="59" t="s">
        <v>3239</v>
      </c>
      <c r="C677" s="60" t="s">
        <v>2360</v>
      </c>
      <c r="D677" s="60" t="s">
        <v>3240</v>
      </c>
      <c r="E677" s="60" t="s">
        <v>3241</v>
      </c>
      <c r="F677" s="60" t="s">
        <v>3242</v>
      </c>
      <c r="G677" s="60" t="s">
        <v>2372</v>
      </c>
      <c r="H677" s="61">
        <v>1.971635512E7</v>
      </c>
      <c r="I677" s="58" t="s">
        <v>2365</v>
      </c>
      <c r="J677" s="58" t="s">
        <v>2366</v>
      </c>
      <c r="K677" s="58"/>
      <c r="L677" s="58" t="s">
        <v>2373</v>
      </c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58"/>
      <c r="B678" s="59" t="s">
        <v>3243</v>
      </c>
      <c r="C678" s="60" t="s">
        <v>2360</v>
      </c>
      <c r="D678" s="60" t="s">
        <v>3244</v>
      </c>
      <c r="E678" s="60" t="s">
        <v>3245</v>
      </c>
      <c r="F678" s="60" t="s">
        <v>3246</v>
      </c>
      <c r="G678" s="60" t="s">
        <v>2434</v>
      </c>
      <c r="H678" s="61">
        <v>1.916342322E7</v>
      </c>
      <c r="I678" s="58" t="s">
        <v>2365</v>
      </c>
      <c r="J678" s="58" t="s">
        <v>2366</v>
      </c>
      <c r="K678" s="58"/>
      <c r="L678" s="58" t="s">
        <v>2435</v>
      </c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58"/>
      <c r="B679" s="59" t="s">
        <v>3247</v>
      </c>
      <c r="C679" s="60" t="s">
        <v>2360</v>
      </c>
      <c r="D679" s="60" t="s">
        <v>3248</v>
      </c>
      <c r="E679" s="60" t="s">
        <v>3249</v>
      </c>
      <c r="F679" s="60" t="s">
        <v>3250</v>
      </c>
      <c r="G679" s="60" t="s">
        <v>2364</v>
      </c>
      <c r="H679" s="61">
        <v>4173206.32</v>
      </c>
      <c r="I679" s="58" t="s">
        <v>2365</v>
      </c>
      <c r="J679" s="58" t="s">
        <v>2366</v>
      </c>
      <c r="K679" s="58"/>
      <c r="L679" s="58" t="s">
        <v>2367</v>
      </c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58"/>
      <c r="B680" s="59" t="s">
        <v>3251</v>
      </c>
      <c r="C680" s="60" t="s">
        <v>2360</v>
      </c>
      <c r="D680" s="60" t="s">
        <v>3252</v>
      </c>
      <c r="E680" s="60" t="s">
        <v>3253</v>
      </c>
      <c r="F680" s="60" t="s">
        <v>3254</v>
      </c>
      <c r="G680" s="60" t="s">
        <v>2364</v>
      </c>
      <c r="H680" s="61">
        <v>1.4497506075E8</v>
      </c>
      <c r="I680" s="58" t="s">
        <v>2365</v>
      </c>
      <c r="J680" s="58" t="s">
        <v>2366</v>
      </c>
      <c r="K680" s="58"/>
      <c r="L680" s="58" t="s">
        <v>2367</v>
      </c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58"/>
      <c r="B681" s="59" t="s">
        <v>3255</v>
      </c>
      <c r="C681" s="60" t="s">
        <v>2360</v>
      </c>
      <c r="D681" s="60" t="s">
        <v>3256</v>
      </c>
      <c r="E681" s="60" t="s">
        <v>3257</v>
      </c>
      <c r="F681" s="60" t="s">
        <v>3258</v>
      </c>
      <c r="G681" s="60" t="s">
        <v>2372</v>
      </c>
      <c r="H681" s="61">
        <v>2.73677136E7</v>
      </c>
      <c r="I681" s="58" t="s">
        <v>2365</v>
      </c>
      <c r="J681" s="58" t="s">
        <v>2366</v>
      </c>
      <c r="K681" s="58"/>
      <c r="L681" s="58" t="s">
        <v>2373</v>
      </c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58"/>
      <c r="B682" s="59" t="s">
        <v>3259</v>
      </c>
      <c r="C682" s="60" t="s">
        <v>2360</v>
      </c>
      <c r="D682" s="60" t="s">
        <v>3260</v>
      </c>
      <c r="E682" s="60" t="s">
        <v>3261</v>
      </c>
      <c r="F682" s="60" t="s">
        <v>3262</v>
      </c>
      <c r="G682" s="60" t="s">
        <v>2364</v>
      </c>
      <c r="H682" s="61">
        <v>3.858397204E7</v>
      </c>
      <c r="I682" s="58" t="s">
        <v>2365</v>
      </c>
      <c r="J682" s="58" t="s">
        <v>2366</v>
      </c>
      <c r="K682" s="58"/>
      <c r="L682" s="58" t="s">
        <v>2367</v>
      </c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58"/>
      <c r="B683" s="59" t="s">
        <v>3263</v>
      </c>
      <c r="C683" s="60" t="s">
        <v>2360</v>
      </c>
      <c r="D683" s="60" t="s">
        <v>3264</v>
      </c>
      <c r="E683" s="60" t="s">
        <v>3265</v>
      </c>
      <c r="F683" s="60" t="s">
        <v>3266</v>
      </c>
      <c r="G683" s="60" t="s">
        <v>2372</v>
      </c>
      <c r="H683" s="61">
        <v>1.009118523E7</v>
      </c>
      <c r="I683" s="58" t="s">
        <v>2365</v>
      </c>
      <c r="J683" s="58" t="s">
        <v>2366</v>
      </c>
      <c r="K683" s="58"/>
      <c r="L683" s="58" t="s">
        <v>2373</v>
      </c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58"/>
      <c r="B684" s="59" t="s">
        <v>3267</v>
      </c>
      <c r="C684" s="60" t="s">
        <v>2360</v>
      </c>
      <c r="D684" s="60" t="s">
        <v>3268</v>
      </c>
      <c r="E684" s="60" t="s">
        <v>3269</v>
      </c>
      <c r="F684" s="60" t="s">
        <v>3270</v>
      </c>
      <c r="G684" s="60" t="s">
        <v>2364</v>
      </c>
      <c r="H684" s="61">
        <v>9.959742585E7</v>
      </c>
      <c r="I684" s="58" t="s">
        <v>2365</v>
      </c>
      <c r="J684" s="58" t="s">
        <v>2366</v>
      </c>
      <c r="K684" s="58"/>
      <c r="L684" s="58" t="s">
        <v>2367</v>
      </c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58"/>
      <c r="B685" s="59" t="s">
        <v>3271</v>
      </c>
      <c r="C685" s="60" t="s">
        <v>2360</v>
      </c>
      <c r="D685" s="60" t="s">
        <v>3272</v>
      </c>
      <c r="E685" s="60" t="s">
        <v>3273</v>
      </c>
      <c r="F685" s="60" t="s">
        <v>3274</v>
      </c>
      <c r="G685" s="60" t="s">
        <v>2372</v>
      </c>
      <c r="H685" s="61">
        <v>1.41402911E7</v>
      </c>
      <c r="I685" s="58" t="s">
        <v>2365</v>
      </c>
      <c r="J685" s="58" t="s">
        <v>2366</v>
      </c>
      <c r="K685" s="58"/>
      <c r="L685" s="58" t="s">
        <v>2373</v>
      </c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58"/>
      <c r="B686" s="59" t="s">
        <v>3275</v>
      </c>
      <c r="C686" s="60" t="s">
        <v>2360</v>
      </c>
      <c r="D686" s="60" t="s">
        <v>3276</v>
      </c>
      <c r="E686" s="60" t="s">
        <v>3277</v>
      </c>
      <c r="F686" s="60" t="s">
        <v>3278</v>
      </c>
      <c r="G686" s="60" t="s">
        <v>2364</v>
      </c>
      <c r="H686" s="61">
        <v>4.732365809E8</v>
      </c>
      <c r="I686" s="58" t="s">
        <v>2365</v>
      </c>
      <c r="J686" s="58" t="s">
        <v>2366</v>
      </c>
      <c r="K686" s="58"/>
      <c r="L686" s="58" t="s">
        <v>2367</v>
      </c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58"/>
      <c r="B687" s="59" t="s">
        <v>3279</v>
      </c>
      <c r="C687" s="60" t="s">
        <v>2360</v>
      </c>
      <c r="D687" s="60" t="s">
        <v>3280</v>
      </c>
      <c r="E687" s="60" t="s">
        <v>3281</v>
      </c>
      <c r="F687" s="60" t="s">
        <v>3282</v>
      </c>
      <c r="G687" s="60" t="s">
        <v>2372</v>
      </c>
      <c r="H687" s="61">
        <v>1.0658432808E8</v>
      </c>
      <c r="I687" s="58" t="s">
        <v>2365</v>
      </c>
      <c r="J687" s="58" t="s">
        <v>2366</v>
      </c>
      <c r="K687" s="58"/>
      <c r="L687" s="58" t="s">
        <v>2373</v>
      </c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58"/>
      <c r="B688" s="59" t="s">
        <v>3283</v>
      </c>
      <c r="C688" s="60" t="s">
        <v>2360</v>
      </c>
      <c r="D688" s="60" t="s">
        <v>3284</v>
      </c>
      <c r="E688" s="60" t="s">
        <v>3285</v>
      </c>
      <c r="F688" s="60" t="s">
        <v>3286</v>
      </c>
      <c r="G688" s="60" t="s">
        <v>2364</v>
      </c>
      <c r="H688" s="61">
        <v>4.1781273788E8</v>
      </c>
      <c r="I688" s="58" t="s">
        <v>2365</v>
      </c>
      <c r="J688" s="58" t="s">
        <v>2366</v>
      </c>
      <c r="K688" s="58"/>
      <c r="L688" s="58" t="s">
        <v>2367</v>
      </c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58"/>
      <c r="B689" s="59" t="s">
        <v>3287</v>
      </c>
      <c r="C689" s="60" t="s">
        <v>2360</v>
      </c>
      <c r="D689" s="60" t="s">
        <v>3288</v>
      </c>
      <c r="E689" s="60" t="s">
        <v>3289</v>
      </c>
      <c r="F689" s="60" t="s">
        <v>3290</v>
      </c>
      <c r="G689" s="60" t="s">
        <v>2372</v>
      </c>
      <c r="H689" s="61">
        <v>7.842592424E7</v>
      </c>
      <c r="I689" s="58" t="s">
        <v>2365</v>
      </c>
      <c r="J689" s="58" t="s">
        <v>2366</v>
      </c>
      <c r="K689" s="58"/>
      <c r="L689" s="58" t="s">
        <v>2373</v>
      </c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58"/>
      <c r="B690" s="59" t="s">
        <v>3291</v>
      </c>
      <c r="C690" s="60" t="s">
        <v>2360</v>
      </c>
      <c r="D690" s="60" t="s">
        <v>3292</v>
      </c>
      <c r="E690" s="60" t="s">
        <v>3293</v>
      </c>
      <c r="F690" s="60" t="s">
        <v>3294</v>
      </c>
      <c r="G690" s="60" t="s">
        <v>2434</v>
      </c>
      <c r="H690" s="61">
        <v>1.210150526E7</v>
      </c>
      <c r="I690" s="58" t="s">
        <v>2365</v>
      </c>
      <c r="J690" s="58" t="s">
        <v>2366</v>
      </c>
      <c r="K690" s="58"/>
      <c r="L690" s="58" t="s">
        <v>2435</v>
      </c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58"/>
      <c r="B691" s="59" t="s">
        <v>3295</v>
      </c>
      <c r="C691" s="60" t="s">
        <v>2360</v>
      </c>
      <c r="D691" s="60" t="s">
        <v>3296</v>
      </c>
      <c r="E691" s="60" t="s">
        <v>3297</v>
      </c>
      <c r="F691" s="60" t="s">
        <v>3298</v>
      </c>
      <c r="G691" s="60" t="s">
        <v>2364</v>
      </c>
      <c r="H691" s="61">
        <v>2.260917516E7</v>
      </c>
      <c r="I691" s="58" t="s">
        <v>2365</v>
      </c>
      <c r="J691" s="58" t="s">
        <v>2366</v>
      </c>
      <c r="K691" s="58"/>
      <c r="L691" s="58" t="s">
        <v>2367</v>
      </c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58"/>
      <c r="B692" s="59" t="s">
        <v>3299</v>
      </c>
      <c r="C692" s="60" t="s">
        <v>2360</v>
      </c>
      <c r="D692" s="60" t="s">
        <v>3300</v>
      </c>
      <c r="E692" s="60" t="s">
        <v>3301</v>
      </c>
      <c r="F692" s="60" t="s">
        <v>3302</v>
      </c>
      <c r="G692" s="60" t="s">
        <v>2364</v>
      </c>
      <c r="H692" s="61">
        <v>2108908.8</v>
      </c>
      <c r="I692" s="58" t="s">
        <v>2365</v>
      </c>
      <c r="J692" s="58" t="s">
        <v>2366</v>
      </c>
      <c r="K692" s="58"/>
      <c r="L692" s="58" t="s">
        <v>2367</v>
      </c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58"/>
      <c r="B693" s="59" t="s">
        <v>3303</v>
      </c>
      <c r="C693" s="60" t="s">
        <v>2360</v>
      </c>
      <c r="D693" s="60" t="s">
        <v>3304</v>
      </c>
      <c r="E693" s="60" t="s">
        <v>3305</v>
      </c>
      <c r="F693" s="60" t="s">
        <v>3306</v>
      </c>
      <c r="G693" s="60" t="s">
        <v>2364</v>
      </c>
      <c r="H693" s="61">
        <v>3.4408893129E8</v>
      </c>
      <c r="I693" s="58" t="s">
        <v>2365</v>
      </c>
      <c r="J693" s="58" t="s">
        <v>2366</v>
      </c>
      <c r="K693" s="58"/>
      <c r="L693" s="58" t="s">
        <v>2367</v>
      </c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58"/>
      <c r="B694" s="59" t="s">
        <v>3307</v>
      </c>
      <c r="C694" s="60" t="s">
        <v>2360</v>
      </c>
      <c r="D694" s="60" t="s">
        <v>3308</v>
      </c>
      <c r="E694" s="60" t="s">
        <v>3309</v>
      </c>
      <c r="F694" s="60" t="s">
        <v>3310</v>
      </c>
      <c r="G694" s="60" t="s">
        <v>2372</v>
      </c>
      <c r="H694" s="61">
        <v>3.753568592E7</v>
      </c>
      <c r="I694" s="58" t="s">
        <v>2365</v>
      </c>
      <c r="J694" s="58" t="s">
        <v>2366</v>
      </c>
      <c r="K694" s="58"/>
      <c r="L694" s="58" t="s">
        <v>2373</v>
      </c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58"/>
      <c r="B695" s="59" t="s">
        <v>3311</v>
      </c>
      <c r="C695" s="60" t="s">
        <v>2360</v>
      </c>
      <c r="D695" s="60" t="s">
        <v>3312</v>
      </c>
      <c r="E695" s="60" t="s">
        <v>3313</v>
      </c>
      <c r="F695" s="60" t="s">
        <v>3314</v>
      </c>
      <c r="G695" s="60" t="s">
        <v>2434</v>
      </c>
      <c r="H695" s="61">
        <v>3603751.68</v>
      </c>
      <c r="I695" s="58" t="s">
        <v>2365</v>
      </c>
      <c r="J695" s="58" t="s">
        <v>2366</v>
      </c>
      <c r="K695" s="58"/>
      <c r="L695" s="58" t="s">
        <v>2435</v>
      </c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58"/>
      <c r="B696" s="59" t="s">
        <v>3315</v>
      </c>
      <c r="C696" s="60" t="s">
        <v>3316</v>
      </c>
      <c r="D696" s="60" t="s">
        <v>3317</v>
      </c>
      <c r="E696" s="60" t="s">
        <v>3318</v>
      </c>
      <c r="F696" s="60" t="s">
        <v>3319</v>
      </c>
      <c r="G696" s="60" t="s">
        <v>3320</v>
      </c>
      <c r="H696" s="61">
        <v>2.1870803961E8</v>
      </c>
      <c r="I696" s="58" t="s">
        <v>2365</v>
      </c>
      <c r="J696" s="58" t="s">
        <v>2366</v>
      </c>
      <c r="K696" s="58"/>
      <c r="L696" s="58" t="s">
        <v>3321</v>
      </c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58"/>
      <c r="B697" s="59" t="s">
        <v>3322</v>
      </c>
      <c r="C697" s="60" t="s">
        <v>3323</v>
      </c>
      <c r="D697" s="60" t="s">
        <v>3324</v>
      </c>
      <c r="E697" s="60" t="s">
        <v>3325</v>
      </c>
      <c r="F697" s="60" t="s">
        <v>3326</v>
      </c>
      <c r="G697" s="60" t="s">
        <v>3327</v>
      </c>
      <c r="H697" s="61">
        <v>2.1467222136E8</v>
      </c>
      <c r="I697" s="58" t="s">
        <v>2365</v>
      </c>
      <c r="J697" s="58" t="s">
        <v>2366</v>
      </c>
      <c r="K697" s="58"/>
      <c r="L697" s="58" t="s">
        <v>2367</v>
      </c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58"/>
      <c r="B698" s="59" t="s">
        <v>3328</v>
      </c>
      <c r="C698" s="60" t="s">
        <v>3323</v>
      </c>
      <c r="D698" s="60" t="s">
        <v>3329</v>
      </c>
      <c r="E698" s="60" t="s">
        <v>3330</v>
      </c>
      <c r="F698" s="60" t="s">
        <v>3331</v>
      </c>
      <c r="G698" s="60" t="s">
        <v>3332</v>
      </c>
      <c r="H698" s="61">
        <v>8.52488551E7</v>
      </c>
      <c r="I698" s="58" t="s">
        <v>2365</v>
      </c>
      <c r="J698" s="58" t="s">
        <v>2366</v>
      </c>
      <c r="K698" s="58"/>
      <c r="L698" s="58" t="s">
        <v>2373</v>
      </c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58"/>
      <c r="B699" s="59" t="s">
        <v>3333</v>
      </c>
      <c r="C699" s="60" t="s">
        <v>3323</v>
      </c>
      <c r="D699" s="60" t="s">
        <v>3334</v>
      </c>
      <c r="E699" s="60" t="s">
        <v>3335</v>
      </c>
      <c r="F699" s="60" t="s">
        <v>3336</v>
      </c>
      <c r="G699" s="60" t="s">
        <v>3337</v>
      </c>
      <c r="H699" s="61">
        <v>1.806758412E7</v>
      </c>
      <c r="I699" s="58" t="s">
        <v>2365</v>
      </c>
      <c r="J699" s="58" t="s">
        <v>2366</v>
      </c>
      <c r="K699" s="58"/>
      <c r="L699" s="58" t="s">
        <v>2435</v>
      </c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58"/>
      <c r="B700" s="59" t="s">
        <v>3338</v>
      </c>
      <c r="C700" s="60" t="s">
        <v>3339</v>
      </c>
      <c r="D700" s="60" t="s">
        <v>3340</v>
      </c>
      <c r="E700" s="60" t="s">
        <v>3341</v>
      </c>
      <c r="F700" s="60" t="s">
        <v>3342</v>
      </c>
      <c r="G700" s="60" t="s">
        <v>3343</v>
      </c>
      <c r="H700" s="61">
        <v>1.833693075E8</v>
      </c>
      <c r="I700" s="58" t="s">
        <v>2365</v>
      </c>
      <c r="J700" s="58" t="s">
        <v>3344</v>
      </c>
      <c r="K700" s="58"/>
      <c r="L700" s="58" t="s">
        <v>2481</v>
      </c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58"/>
      <c r="B701" s="59" t="s">
        <v>3345</v>
      </c>
      <c r="C701" s="60" t="s">
        <v>3346</v>
      </c>
      <c r="D701" s="60" t="s">
        <v>3347</v>
      </c>
      <c r="E701" s="60" t="s">
        <v>3348</v>
      </c>
      <c r="F701" s="60" t="s">
        <v>3349</v>
      </c>
      <c r="G701" s="60" t="s">
        <v>3350</v>
      </c>
      <c r="H701" s="61">
        <v>1.105472085E7</v>
      </c>
      <c r="I701" s="58" t="s">
        <v>2365</v>
      </c>
      <c r="J701" s="58" t="s">
        <v>3351</v>
      </c>
      <c r="K701" s="58"/>
      <c r="L701" s="58" t="s">
        <v>3352</v>
      </c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58"/>
      <c r="B702" s="59" t="s">
        <v>3353</v>
      </c>
      <c r="C702" s="60" t="s">
        <v>3346</v>
      </c>
      <c r="D702" s="60" t="s">
        <v>3354</v>
      </c>
      <c r="E702" s="60" t="s">
        <v>3355</v>
      </c>
      <c r="F702" s="60" t="s">
        <v>3356</v>
      </c>
      <c r="G702" s="60" t="s">
        <v>3357</v>
      </c>
      <c r="H702" s="61">
        <v>9.589894439E7</v>
      </c>
      <c r="I702" s="58" t="s">
        <v>2365</v>
      </c>
      <c r="J702" s="58" t="s">
        <v>3351</v>
      </c>
      <c r="K702" s="58"/>
      <c r="L702" s="58" t="s">
        <v>3358</v>
      </c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58"/>
      <c r="B703" s="59" t="s">
        <v>3359</v>
      </c>
      <c r="C703" s="60" t="s">
        <v>3346</v>
      </c>
      <c r="D703" s="60" t="s">
        <v>3360</v>
      </c>
      <c r="E703" s="60" t="s">
        <v>3361</v>
      </c>
      <c r="F703" s="60" t="s">
        <v>3362</v>
      </c>
      <c r="G703" s="60" t="s">
        <v>3363</v>
      </c>
      <c r="H703" s="61">
        <v>7.035303275E7</v>
      </c>
      <c r="I703" s="58" t="s">
        <v>2365</v>
      </c>
      <c r="J703" s="58" t="s">
        <v>3351</v>
      </c>
      <c r="K703" s="58"/>
      <c r="L703" s="58" t="s">
        <v>3364</v>
      </c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58"/>
      <c r="B704" s="59" t="s">
        <v>3365</v>
      </c>
      <c r="C704" s="60" t="s">
        <v>3346</v>
      </c>
      <c r="D704" s="60" t="s">
        <v>3366</v>
      </c>
      <c r="E704" s="60" t="s">
        <v>3367</v>
      </c>
      <c r="F704" s="60" t="s">
        <v>3368</v>
      </c>
      <c r="G704" s="60" t="s">
        <v>3350</v>
      </c>
      <c r="H704" s="61">
        <v>8247197.0</v>
      </c>
      <c r="I704" s="58" t="s">
        <v>2365</v>
      </c>
      <c r="J704" s="58" t="s">
        <v>3351</v>
      </c>
      <c r="K704" s="58"/>
      <c r="L704" s="58" t="s">
        <v>3352</v>
      </c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58"/>
      <c r="B705" s="59" t="s">
        <v>3369</v>
      </c>
      <c r="C705" s="60" t="s">
        <v>3346</v>
      </c>
      <c r="D705" s="60" t="s">
        <v>3370</v>
      </c>
      <c r="E705" s="60" t="s">
        <v>3371</v>
      </c>
      <c r="F705" s="60" t="s">
        <v>3372</v>
      </c>
      <c r="G705" s="60" t="s">
        <v>3357</v>
      </c>
      <c r="H705" s="61">
        <v>1.984357683E7</v>
      </c>
      <c r="I705" s="58" t="s">
        <v>2365</v>
      </c>
      <c r="J705" s="58" t="s">
        <v>3351</v>
      </c>
      <c r="K705" s="58"/>
      <c r="L705" s="58" t="s">
        <v>3358</v>
      </c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58"/>
      <c r="B706" s="59" t="s">
        <v>3373</v>
      </c>
      <c r="C706" s="60" t="s">
        <v>3346</v>
      </c>
      <c r="D706" s="60" t="s">
        <v>3374</v>
      </c>
      <c r="E706" s="60" t="s">
        <v>3375</v>
      </c>
      <c r="F706" s="60" t="s">
        <v>3376</v>
      </c>
      <c r="G706" s="60" t="s">
        <v>3357</v>
      </c>
      <c r="H706" s="61">
        <v>9.211234593E7</v>
      </c>
      <c r="I706" s="58" t="s">
        <v>2365</v>
      </c>
      <c r="J706" s="58" t="s">
        <v>3351</v>
      </c>
      <c r="K706" s="58"/>
      <c r="L706" s="58" t="s">
        <v>3358</v>
      </c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58"/>
      <c r="B707" s="59" t="s">
        <v>3377</v>
      </c>
      <c r="C707" s="60" t="s">
        <v>3346</v>
      </c>
      <c r="D707" s="60" t="s">
        <v>3378</v>
      </c>
      <c r="E707" s="60" t="s">
        <v>3379</v>
      </c>
      <c r="F707" s="60" t="s">
        <v>3380</v>
      </c>
      <c r="G707" s="60" t="s">
        <v>3357</v>
      </c>
      <c r="H707" s="61">
        <v>1181767.5</v>
      </c>
      <c r="I707" s="58" t="s">
        <v>2365</v>
      </c>
      <c r="J707" s="58" t="s">
        <v>3351</v>
      </c>
      <c r="K707" s="58"/>
      <c r="L707" s="58" t="s">
        <v>3358</v>
      </c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58"/>
      <c r="B708" s="59" t="s">
        <v>3381</v>
      </c>
      <c r="C708" s="60" t="s">
        <v>3346</v>
      </c>
      <c r="D708" s="60" t="s">
        <v>3382</v>
      </c>
      <c r="E708" s="60" t="s">
        <v>3383</v>
      </c>
      <c r="F708" s="60" t="s">
        <v>3384</v>
      </c>
      <c r="G708" s="60" t="s">
        <v>3350</v>
      </c>
      <c r="H708" s="61">
        <v>5.938141066E7</v>
      </c>
      <c r="I708" s="58" t="s">
        <v>2365</v>
      </c>
      <c r="J708" s="58" t="s">
        <v>3351</v>
      </c>
      <c r="K708" s="58"/>
      <c r="L708" s="58" t="s">
        <v>3352</v>
      </c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58"/>
      <c r="B709" s="59" t="s">
        <v>3385</v>
      </c>
      <c r="C709" s="60" t="s">
        <v>3346</v>
      </c>
      <c r="D709" s="60" t="s">
        <v>3386</v>
      </c>
      <c r="E709" s="60" t="s">
        <v>3387</v>
      </c>
      <c r="F709" s="60" t="s">
        <v>3388</v>
      </c>
      <c r="G709" s="60" t="s">
        <v>3357</v>
      </c>
      <c r="H709" s="61">
        <v>2.1922841325E8</v>
      </c>
      <c r="I709" s="58" t="s">
        <v>2365</v>
      </c>
      <c r="J709" s="58" t="s">
        <v>3351</v>
      </c>
      <c r="K709" s="58"/>
      <c r="L709" s="58" t="s">
        <v>3358</v>
      </c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58"/>
      <c r="B710" s="59" t="s">
        <v>3389</v>
      </c>
      <c r="C710" s="60" t="s">
        <v>3346</v>
      </c>
      <c r="D710" s="60" t="s">
        <v>3390</v>
      </c>
      <c r="E710" s="60" t="s">
        <v>3391</v>
      </c>
      <c r="F710" s="60" t="s">
        <v>3392</v>
      </c>
      <c r="G710" s="60" t="s">
        <v>3363</v>
      </c>
      <c r="H710" s="61">
        <v>4.1119159E7</v>
      </c>
      <c r="I710" s="58" t="s">
        <v>2365</v>
      </c>
      <c r="J710" s="58" t="s">
        <v>3351</v>
      </c>
      <c r="K710" s="58"/>
      <c r="L710" s="58" t="s">
        <v>3364</v>
      </c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58"/>
      <c r="B711" s="59" t="s">
        <v>3393</v>
      </c>
      <c r="C711" s="60" t="s">
        <v>3346</v>
      </c>
      <c r="D711" s="60" t="s">
        <v>3394</v>
      </c>
      <c r="E711" s="60" t="s">
        <v>3395</v>
      </c>
      <c r="F711" s="60" t="s">
        <v>3396</v>
      </c>
      <c r="G711" s="60" t="s">
        <v>3357</v>
      </c>
      <c r="H711" s="61">
        <v>6.628155536E7</v>
      </c>
      <c r="I711" s="58" t="s">
        <v>2365</v>
      </c>
      <c r="J711" s="58" t="s">
        <v>3351</v>
      </c>
      <c r="K711" s="58"/>
      <c r="L711" s="58" t="s">
        <v>3358</v>
      </c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58"/>
      <c r="B712" s="59" t="s">
        <v>3397</v>
      </c>
      <c r="C712" s="60" t="s">
        <v>3346</v>
      </c>
      <c r="D712" s="60" t="s">
        <v>3398</v>
      </c>
      <c r="E712" s="60" t="s">
        <v>3399</v>
      </c>
      <c r="F712" s="60" t="s">
        <v>3400</v>
      </c>
      <c r="G712" s="60" t="s">
        <v>3357</v>
      </c>
      <c r="H712" s="61">
        <v>2.584817685E7</v>
      </c>
      <c r="I712" s="58" t="s">
        <v>2365</v>
      </c>
      <c r="J712" s="58" t="s">
        <v>3351</v>
      </c>
      <c r="K712" s="58"/>
      <c r="L712" s="58" t="s">
        <v>3358</v>
      </c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58"/>
      <c r="B713" s="59" t="s">
        <v>3401</v>
      </c>
      <c r="C713" s="60" t="s">
        <v>3346</v>
      </c>
      <c r="D713" s="60" t="s">
        <v>3402</v>
      </c>
      <c r="E713" s="60" t="s">
        <v>3403</v>
      </c>
      <c r="F713" s="60" t="s">
        <v>3404</v>
      </c>
      <c r="G713" s="60" t="s">
        <v>3357</v>
      </c>
      <c r="H713" s="61">
        <v>1.5201323313E8</v>
      </c>
      <c r="I713" s="58" t="s">
        <v>2365</v>
      </c>
      <c r="J713" s="58" t="s">
        <v>3351</v>
      </c>
      <c r="K713" s="58"/>
      <c r="L713" s="58" t="s">
        <v>3358</v>
      </c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58"/>
      <c r="B714" s="59" t="s">
        <v>3405</v>
      </c>
      <c r="C714" s="60" t="s">
        <v>3346</v>
      </c>
      <c r="D714" s="60" t="s">
        <v>3406</v>
      </c>
      <c r="E714" s="60" t="s">
        <v>3407</v>
      </c>
      <c r="F714" s="60" t="s">
        <v>3408</v>
      </c>
      <c r="G714" s="60" t="s">
        <v>3357</v>
      </c>
      <c r="H714" s="61">
        <v>2.33247862E8</v>
      </c>
      <c r="I714" s="58" t="s">
        <v>2365</v>
      </c>
      <c r="J714" s="58" t="s">
        <v>3351</v>
      </c>
      <c r="K714" s="58"/>
      <c r="L714" s="58" t="s">
        <v>3358</v>
      </c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58"/>
      <c r="B715" s="59" t="s">
        <v>3409</v>
      </c>
      <c r="C715" s="60" t="s">
        <v>3346</v>
      </c>
      <c r="D715" s="60" t="s">
        <v>3410</v>
      </c>
      <c r="E715" s="60" t="s">
        <v>3411</v>
      </c>
      <c r="F715" s="60" t="s">
        <v>3412</v>
      </c>
      <c r="G715" s="60" t="s">
        <v>3363</v>
      </c>
      <c r="H715" s="61">
        <v>3.522722775E7</v>
      </c>
      <c r="I715" s="58" t="s">
        <v>2365</v>
      </c>
      <c r="J715" s="58" t="s">
        <v>3351</v>
      </c>
      <c r="K715" s="58"/>
      <c r="L715" s="58" t="s">
        <v>3364</v>
      </c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58"/>
      <c r="B716" s="59" t="s">
        <v>3413</v>
      </c>
      <c r="C716" s="60" t="s">
        <v>3346</v>
      </c>
      <c r="D716" s="60" t="s">
        <v>3414</v>
      </c>
      <c r="E716" s="60" t="s">
        <v>3415</v>
      </c>
      <c r="F716" s="60" t="s">
        <v>3416</v>
      </c>
      <c r="G716" s="60" t="s">
        <v>3350</v>
      </c>
      <c r="H716" s="61">
        <v>3799712.1</v>
      </c>
      <c r="I716" s="58" t="s">
        <v>2365</v>
      </c>
      <c r="J716" s="58" t="s">
        <v>3351</v>
      </c>
      <c r="K716" s="58"/>
      <c r="L716" s="58" t="s">
        <v>3352</v>
      </c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58"/>
      <c r="B717" s="59" t="s">
        <v>3417</v>
      </c>
      <c r="C717" s="60" t="s">
        <v>3346</v>
      </c>
      <c r="D717" s="60" t="s">
        <v>3418</v>
      </c>
      <c r="E717" s="60" t="s">
        <v>3419</v>
      </c>
      <c r="F717" s="60" t="s">
        <v>3420</v>
      </c>
      <c r="G717" s="60" t="s">
        <v>3357</v>
      </c>
      <c r="H717" s="61">
        <v>3.883017069E7</v>
      </c>
      <c r="I717" s="58" t="s">
        <v>2365</v>
      </c>
      <c r="J717" s="58" t="s">
        <v>3351</v>
      </c>
      <c r="K717" s="58"/>
      <c r="L717" s="58" t="s">
        <v>3358</v>
      </c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58"/>
      <c r="B718" s="59" t="s">
        <v>3421</v>
      </c>
      <c r="C718" s="60" t="s">
        <v>3346</v>
      </c>
      <c r="D718" s="60" t="s">
        <v>3422</v>
      </c>
      <c r="E718" s="60" t="s">
        <v>3423</v>
      </c>
      <c r="F718" s="60" t="s">
        <v>3424</v>
      </c>
      <c r="G718" s="60" t="s">
        <v>3363</v>
      </c>
      <c r="H718" s="61">
        <v>9582515.8</v>
      </c>
      <c r="I718" s="58" t="s">
        <v>2365</v>
      </c>
      <c r="J718" s="58" t="s">
        <v>3351</v>
      </c>
      <c r="K718" s="58"/>
      <c r="L718" s="58" t="s">
        <v>3364</v>
      </c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58"/>
      <c r="B719" s="59" t="s">
        <v>3425</v>
      </c>
      <c r="C719" s="60" t="s">
        <v>3346</v>
      </c>
      <c r="D719" s="60" t="s">
        <v>3426</v>
      </c>
      <c r="E719" s="60" t="s">
        <v>3427</v>
      </c>
      <c r="F719" s="60" t="s">
        <v>3428</v>
      </c>
      <c r="G719" s="60" t="s">
        <v>3350</v>
      </c>
      <c r="H719" s="61">
        <v>2.07440047E7</v>
      </c>
      <c r="I719" s="58" t="s">
        <v>2365</v>
      </c>
      <c r="J719" s="58" t="s">
        <v>3351</v>
      </c>
      <c r="K719" s="58"/>
      <c r="L719" s="58" t="s">
        <v>3352</v>
      </c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58"/>
      <c r="B720" s="59" t="s">
        <v>3429</v>
      </c>
      <c r="C720" s="60" t="s">
        <v>3346</v>
      </c>
      <c r="D720" s="60" t="s">
        <v>3430</v>
      </c>
      <c r="E720" s="60" t="s">
        <v>3431</v>
      </c>
      <c r="F720" s="60" t="s">
        <v>3432</v>
      </c>
      <c r="G720" s="60" t="s">
        <v>3357</v>
      </c>
      <c r="H720" s="61">
        <v>2.2957562331E8</v>
      </c>
      <c r="I720" s="58" t="s">
        <v>2365</v>
      </c>
      <c r="J720" s="58" t="s">
        <v>3351</v>
      </c>
      <c r="K720" s="58"/>
      <c r="L720" s="58" t="s">
        <v>3358</v>
      </c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58"/>
      <c r="B721" s="59" t="s">
        <v>3433</v>
      </c>
      <c r="C721" s="60" t="s">
        <v>3346</v>
      </c>
      <c r="D721" s="60" t="s">
        <v>3434</v>
      </c>
      <c r="E721" s="60" t="s">
        <v>3435</v>
      </c>
      <c r="F721" s="60" t="s">
        <v>3436</v>
      </c>
      <c r="G721" s="60" t="s">
        <v>3363</v>
      </c>
      <c r="H721" s="61">
        <v>3.5548799E7</v>
      </c>
      <c r="I721" s="58" t="s">
        <v>2365</v>
      </c>
      <c r="J721" s="58" t="s">
        <v>3351</v>
      </c>
      <c r="K721" s="58"/>
      <c r="L721" s="58" t="s">
        <v>3364</v>
      </c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58"/>
      <c r="B722" s="59" t="s">
        <v>3437</v>
      </c>
      <c r="C722" s="60" t="s">
        <v>3346</v>
      </c>
      <c r="D722" s="60" t="s">
        <v>3438</v>
      </c>
      <c r="E722" s="60" t="s">
        <v>3439</v>
      </c>
      <c r="F722" s="60" t="s">
        <v>3440</v>
      </c>
      <c r="G722" s="60" t="s">
        <v>3357</v>
      </c>
      <c r="H722" s="61">
        <v>1.39805325E7</v>
      </c>
      <c r="I722" s="58" t="s">
        <v>2365</v>
      </c>
      <c r="J722" s="58" t="s">
        <v>3351</v>
      </c>
      <c r="K722" s="58"/>
      <c r="L722" s="58" t="s">
        <v>3358</v>
      </c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58"/>
      <c r="B723" s="59" t="s">
        <v>3441</v>
      </c>
      <c r="C723" s="60" t="s">
        <v>3346</v>
      </c>
      <c r="D723" s="60" t="s">
        <v>3442</v>
      </c>
      <c r="E723" s="60" t="s">
        <v>3443</v>
      </c>
      <c r="F723" s="60" t="s">
        <v>3444</v>
      </c>
      <c r="G723" s="60" t="s">
        <v>3357</v>
      </c>
      <c r="H723" s="61">
        <v>1.3844539484E8</v>
      </c>
      <c r="I723" s="58" t="s">
        <v>2365</v>
      </c>
      <c r="J723" s="58" t="s">
        <v>3351</v>
      </c>
      <c r="K723" s="58"/>
      <c r="L723" s="58" t="s">
        <v>3358</v>
      </c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58"/>
      <c r="B724" s="59" t="s">
        <v>3445</v>
      </c>
      <c r="C724" s="60" t="s">
        <v>3346</v>
      </c>
      <c r="D724" s="60" t="s">
        <v>3446</v>
      </c>
      <c r="E724" s="60" t="s">
        <v>3447</v>
      </c>
      <c r="F724" s="60" t="s">
        <v>3448</v>
      </c>
      <c r="G724" s="60" t="s">
        <v>3357</v>
      </c>
      <c r="H724" s="61">
        <v>7.635488817E7</v>
      </c>
      <c r="I724" s="58" t="s">
        <v>2365</v>
      </c>
      <c r="J724" s="58" t="s">
        <v>3351</v>
      </c>
      <c r="K724" s="58"/>
      <c r="L724" s="58" t="s">
        <v>3358</v>
      </c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58"/>
      <c r="B725" s="59" t="s">
        <v>3449</v>
      </c>
      <c r="C725" s="60" t="s">
        <v>3346</v>
      </c>
      <c r="D725" s="60" t="s">
        <v>3450</v>
      </c>
      <c r="E725" s="60" t="s">
        <v>3451</v>
      </c>
      <c r="F725" s="60" t="s">
        <v>3452</v>
      </c>
      <c r="G725" s="60" t="s">
        <v>3363</v>
      </c>
      <c r="H725" s="61">
        <v>5309768.75</v>
      </c>
      <c r="I725" s="58" t="s">
        <v>2365</v>
      </c>
      <c r="J725" s="58" t="s">
        <v>3351</v>
      </c>
      <c r="K725" s="58"/>
      <c r="L725" s="58" t="s">
        <v>3364</v>
      </c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58"/>
      <c r="B726" s="59" t="s">
        <v>3453</v>
      </c>
      <c r="C726" s="60" t="s">
        <v>3346</v>
      </c>
      <c r="D726" s="60" t="s">
        <v>3454</v>
      </c>
      <c r="E726" s="60" t="s">
        <v>3455</v>
      </c>
      <c r="F726" s="60" t="s">
        <v>3456</v>
      </c>
      <c r="G726" s="60" t="s">
        <v>3357</v>
      </c>
      <c r="H726" s="61">
        <v>3.504671402E7</v>
      </c>
      <c r="I726" s="58" t="s">
        <v>2365</v>
      </c>
      <c r="J726" s="58" t="s">
        <v>3351</v>
      </c>
      <c r="K726" s="58"/>
      <c r="L726" s="58" t="s">
        <v>3358</v>
      </c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58"/>
      <c r="B727" s="59" t="s">
        <v>3457</v>
      </c>
      <c r="C727" s="60" t="s">
        <v>3346</v>
      </c>
      <c r="D727" s="60" t="s">
        <v>3458</v>
      </c>
      <c r="E727" s="60" t="s">
        <v>3459</v>
      </c>
      <c r="F727" s="60" t="s">
        <v>3460</v>
      </c>
      <c r="G727" s="60" t="s">
        <v>3357</v>
      </c>
      <c r="H727" s="61">
        <v>1356087.15</v>
      </c>
      <c r="I727" s="58" t="s">
        <v>2365</v>
      </c>
      <c r="J727" s="58" t="s">
        <v>3351</v>
      </c>
      <c r="K727" s="58"/>
      <c r="L727" s="58" t="s">
        <v>3358</v>
      </c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58"/>
      <c r="B728" s="59" t="s">
        <v>3461</v>
      </c>
      <c r="C728" s="60" t="s">
        <v>3346</v>
      </c>
      <c r="D728" s="60" t="s">
        <v>3462</v>
      </c>
      <c r="E728" s="60" t="s">
        <v>3463</v>
      </c>
      <c r="F728" s="60" t="s">
        <v>3464</v>
      </c>
      <c r="G728" s="60" t="s">
        <v>3357</v>
      </c>
      <c r="H728" s="61">
        <v>7408588.44</v>
      </c>
      <c r="I728" s="58" t="s">
        <v>2365</v>
      </c>
      <c r="J728" s="58" t="s">
        <v>3351</v>
      </c>
      <c r="K728" s="58"/>
      <c r="L728" s="58" t="s">
        <v>3358</v>
      </c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58"/>
      <c r="B729" s="59" t="s">
        <v>3465</v>
      </c>
      <c r="C729" s="60" t="s">
        <v>3346</v>
      </c>
      <c r="D729" s="60" t="s">
        <v>3466</v>
      </c>
      <c r="E729" s="60" t="s">
        <v>3467</v>
      </c>
      <c r="F729" s="60" t="s">
        <v>3468</v>
      </c>
      <c r="G729" s="60" t="s">
        <v>3357</v>
      </c>
      <c r="H729" s="61">
        <v>4.909246317E7</v>
      </c>
      <c r="I729" s="58" t="s">
        <v>2365</v>
      </c>
      <c r="J729" s="58" t="s">
        <v>3351</v>
      </c>
      <c r="K729" s="58"/>
      <c r="L729" s="58" t="s">
        <v>3358</v>
      </c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58"/>
      <c r="B730" s="59" t="s">
        <v>3469</v>
      </c>
      <c r="C730" s="60" t="s">
        <v>3346</v>
      </c>
      <c r="D730" s="60" t="s">
        <v>3470</v>
      </c>
      <c r="E730" s="60" t="s">
        <v>3471</v>
      </c>
      <c r="F730" s="60" t="s">
        <v>3472</v>
      </c>
      <c r="G730" s="60" t="s">
        <v>3357</v>
      </c>
      <c r="H730" s="61">
        <v>8.159458338E7</v>
      </c>
      <c r="I730" s="58" t="s">
        <v>2365</v>
      </c>
      <c r="J730" s="58" t="s">
        <v>3351</v>
      </c>
      <c r="K730" s="58"/>
      <c r="L730" s="58" t="s">
        <v>3358</v>
      </c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58"/>
      <c r="B731" s="59" t="s">
        <v>3473</v>
      </c>
      <c r="C731" s="60" t="s">
        <v>3346</v>
      </c>
      <c r="D731" s="60" t="s">
        <v>3474</v>
      </c>
      <c r="E731" s="60" t="s">
        <v>3475</v>
      </c>
      <c r="F731" s="60" t="s">
        <v>3476</v>
      </c>
      <c r="G731" s="60" t="s">
        <v>3357</v>
      </c>
      <c r="H731" s="61">
        <v>2.9184672991E8</v>
      </c>
      <c r="I731" s="58" t="s">
        <v>2365</v>
      </c>
      <c r="J731" s="58" t="s">
        <v>3351</v>
      </c>
      <c r="K731" s="58"/>
      <c r="L731" s="58" t="s">
        <v>3358</v>
      </c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58"/>
      <c r="B732" s="59" t="s">
        <v>3477</v>
      </c>
      <c r="C732" s="60" t="s">
        <v>3346</v>
      </c>
      <c r="D732" s="60" t="s">
        <v>3478</v>
      </c>
      <c r="E732" s="60" t="s">
        <v>3479</v>
      </c>
      <c r="F732" s="60" t="s">
        <v>3480</v>
      </c>
      <c r="G732" s="60" t="s">
        <v>3363</v>
      </c>
      <c r="H732" s="61">
        <v>1.291203279E8</v>
      </c>
      <c r="I732" s="58" t="s">
        <v>2365</v>
      </c>
      <c r="J732" s="58" t="s">
        <v>3351</v>
      </c>
      <c r="K732" s="58"/>
      <c r="L732" s="58" t="s">
        <v>3364</v>
      </c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58"/>
      <c r="B733" s="59" t="s">
        <v>3481</v>
      </c>
      <c r="C733" s="60" t="s">
        <v>3346</v>
      </c>
      <c r="D733" s="60" t="s">
        <v>3482</v>
      </c>
      <c r="E733" s="60" t="s">
        <v>3483</v>
      </c>
      <c r="F733" s="60" t="s">
        <v>3484</v>
      </c>
      <c r="G733" s="60" t="s">
        <v>3357</v>
      </c>
      <c r="H733" s="61">
        <v>1.695360555E7</v>
      </c>
      <c r="I733" s="58" t="s">
        <v>2365</v>
      </c>
      <c r="J733" s="58" t="s">
        <v>3351</v>
      </c>
      <c r="K733" s="58"/>
      <c r="L733" s="58" t="s">
        <v>3358</v>
      </c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58"/>
      <c r="B734" s="59" t="s">
        <v>3485</v>
      </c>
      <c r="C734" s="60" t="s">
        <v>3346</v>
      </c>
      <c r="D734" s="60" t="s">
        <v>3486</v>
      </c>
      <c r="E734" s="60" t="s">
        <v>3487</v>
      </c>
      <c r="F734" s="60" t="s">
        <v>3488</v>
      </c>
      <c r="G734" s="60" t="s">
        <v>3357</v>
      </c>
      <c r="H734" s="61">
        <v>2.64965391E7</v>
      </c>
      <c r="I734" s="58" t="s">
        <v>2365</v>
      </c>
      <c r="J734" s="58" t="s">
        <v>3351</v>
      </c>
      <c r="K734" s="58"/>
      <c r="L734" s="58" t="s">
        <v>3358</v>
      </c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58"/>
      <c r="B735" s="59" t="s">
        <v>3489</v>
      </c>
      <c r="C735" s="60" t="s">
        <v>3346</v>
      </c>
      <c r="D735" s="60" t="s">
        <v>3490</v>
      </c>
      <c r="E735" s="60" t="s">
        <v>3491</v>
      </c>
      <c r="F735" s="60" t="s">
        <v>3492</v>
      </c>
      <c r="G735" s="60" t="s">
        <v>3350</v>
      </c>
      <c r="H735" s="61">
        <v>8.3722416E7</v>
      </c>
      <c r="I735" s="58" t="s">
        <v>2365</v>
      </c>
      <c r="J735" s="58" t="s">
        <v>3351</v>
      </c>
      <c r="K735" s="58"/>
      <c r="L735" s="58" t="s">
        <v>3352</v>
      </c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58"/>
      <c r="B736" s="59" t="s">
        <v>3493</v>
      </c>
      <c r="C736" s="60" t="s">
        <v>3346</v>
      </c>
      <c r="D736" s="60" t="s">
        <v>3494</v>
      </c>
      <c r="E736" s="60" t="s">
        <v>3495</v>
      </c>
      <c r="F736" s="60" t="s">
        <v>3496</v>
      </c>
      <c r="G736" s="60" t="s">
        <v>3357</v>
      </c>
      <c r="H736" s="61">
        <v>5.5106251694E8</v>
      </c>
      <c r="I736" s="58" t="s">
        <v>2365</v>
      </c>
      <c r="J736" s="58" t="s">
        <v>3351</v>
      </c>
      <c r="K736" s="58"/>
      <c r="L736" s="58" t="s">
        <v>3358</v>
      </c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58"/>
      <c r="B737" s="59" t="s">
        <v>3497</v>
      </c>
      <c r="C737" s="60" t="s">
        <v>3346</v>
      </c>
      <c r="D737" s="60" t="s">
        <v>3498</v>
      </c>
      <c r="E737" s="60" t="s">
        <v>3499</v>
      </c>
      <c r="F737" s="60" t="s">
        <v>3500</v>
      </c>
      <c r="G737" s="60" t="s">
        <v>3363</v>
      </c>
      <c r="H737" s="61">
        <v>7.50954061E7</v>
      </c>
      <c r="I737" s="58" t="s">
        <v>2365</v>
      </c>
      <c r="J737" s="58" t="s">
        <v>3351</v>
      </c>
      <c r="K737" s="58"/>
      <c r="L737" s="58" t="s">
        <v>3364</v>
      </c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58"/>
      <c r="B738" s="59" t="s">
        <v>3501</v>
      </c>
      <c r="C738" s="60" t="s">
        <v>3346</v>
      </c>
      <c r="D738" s="60" t="s">
        <v>3502</v>
      </c>
      <c r="E738" s="60" t="s">
        <v>3503</v>
      </c>
      <c r="F738" s="60" t="s">
        <v>3504</v>
      </c>
      <c r="G738" s="60" t="s">
        <v>3350</v>
      </c>
      <c r="H738" s="61">
        <v>5.084603256E7</v>
      </c>
      <c r="I738" s="58" t="s">
        <v>2365</v>
      </c>
      <c r="J738" s="58" t="s">
        <v>3351</v>
      </c>
      <c r="K738" s="58"/>
      <c r="L738" s="58" t="s">
        <v>3352</v>
      </c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58"/>
      <c r="B739" s="59" t="s">
        <v>3505</v>
      </c>
      <c r="C739" s="60" t="s">
        <v>3346</v>
      </c>
      <c r="D739" s="60" t="s">
        <v>3506</v>
      </c>
      <c r="E739" s="60" t="s">
        <v>3507</v>
      </c>
      <c r="F739" s="60" t="s">
        <v>3508</v>
      </c>
      <c r="G739" s="60" t="s">
        <v>3357</v>
      </c>
      <c r="H739" s="61">
        <v>3.3383588142E8</v>
      </c>
      <c r="I739" s="58" t="s">
        <v>2365</v>
      </c>
      <c r="J739" s="58" t="s">
        <v>3351</v>
      </c>
      <c r="K739" s="58"/>
      <c r="L739" s="58" t="s">
        <v>3358</v>
      </c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58"/>
      <c r="B740" s="59" t="s">
        <v>3509</v>
      </c>
      <c r="C740" s="60" t="s">
        <v>3346</v>
      </c>
      <c r="D740" s="60" t="s">
        <v>3510</v>
      </c>
      <c r="E740" s="60" t="s">
        <v>3511</v>
      </c>
      <c r="F740" s="60" t="s">
        <v>3512</v>
      </c>
      <c r="G740" s="60" t="s">
        <v>3363</v>
      </c>
      <c r="H740" s="61">
        <v>3.28230966E8</v>
      </c>
      <c r="I740" s="58" t="s">
        <v>2365</v>
      </c>
      <c r="J740" s="58" t="s">
        <v>3351</v>
      </c>
      <c r="K740" s="58"/>
      <c r="L740" s="58" t="s">
        <v>3364</v>
      </c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58"/>
      <c r="B741" s="59" t="s">
        <v>3513</v>
      </c>
      <c r="C741" s="60" t="s">
        <v>3346</v>
      </c>
      <c r="D741" s="60" t="s">
        <v>3514</v>
      </c>
      <c r="E741" s="60" t="s">
        <v>3515</v>
      </c>
      <c r="F741" s="60" t="s">
        <v>3516</v>
      </c>
      <c r="G741" s="60" t="s">
        <v>3357</v>
      </c>
      <c r="H741" s="61">
        <v>7.808473305E7</v>
      </c>
      <c r="I741" s="58" t="s">
        <v>2365</v>
      </c>
      <c r="J741" s="58" t="s">
        <v>3351</v>
      </c>
      <c r="K741" s="58"/>
      <c r="L741" s="58" t="s">
        <v>3358</v>
      </c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58"/>
      <c r="B742" s="59" t="s">
        <v>3517</v>
      </c>
      <c r="C742" s="60" t="s">
        <v>3346</v>
      </c>
      <c r="D742" s="60" t="s">
        <v>3518</v>
      </c>
      <c r="E742" s="60" t="s">
        <v>3519</v>
      </c>
      <c r="F742" s="60" t="s">
        <v>3520</v>
      </c>
      <c r="G742" s="60" t="s">
        <v>3357</v>
      </c>
      <c r="H742" s="61">
        <v>3.618876921E7</v>
      </c>
      <c r="I742" s="58" t="s">
        <v>2365</v>
      </c>
      <c r="J742" s="58" t="s">
        <v>3351</v>
      </c>
      <c r="K742" s="58"/>
      <c r="L742" s="58" t="s">
        <v>3358</v>
      </c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58"/>
      <c r="B743" s="59" t="s">
        <v>3521</v>
      </c>
      <c r="C743" s="60" t="s">
        <v>3346</v>
      </c>
      <c r="D743" s="60" t="s">
        <v>3522</v>
      </c>
      <c r="E743" s="60" t="s">
        <v>3523</v>
      </c>
      <c r="F743" s="60" t="s">
        <v>3524</v>
      </c>
      <c r="G743" s="60" t="s">
        <v>3350</v>
      </c>
      <c r="H743" s="61">
        <v>1.76033521E7</v>
      </c>
      <c r="I743" s="58" t="s">
        <v>2365</v>
      </c>
      <c r="J743" s="58" t="s">
        <v>3351</v>
      </c>
      <c r="K743" s="58"/>
      <c r="L743" s="58" t="s">
        <v>3352</v>
      </c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58"/>
      <c r="B744" s="59" t="s">
        <v>3525</v>
      </c>
      <c r="C744" s="60" t="s">
        <v>3346</v>
      </c>
      <c r="D744" s="60" t="s">
        <v>3526</v>
      </c>
      <c r="E744" s="60" t="s">
        <v>3527</v>
      </c>
      <c r="F744" s="60" t="s">
        <v>3528</v>
      </c>
      <c r="G744" s="60" t="s">
        <v>3357</v>
      </c>
      <c r="H744" s="61">
        <v>1.4418095226E8</v>
      </c>
      <c r="I744" s="58" t="s">
        <v>2365</v>
      </c>
      <c r="J744" s="58" t="s">
        <v>3351</v>
      </c>
      <c r="K744" s="58"/>
      <c r="L744" s="58" t="s">
        <v>3358</v>
      </c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58"/>
      <c r="B745" s="59" t="s">
        <v>3529</v>
      </c>
      <c r="C745" s="60" t="s">
        <v>3346</v>
      </c>
      <c r="D745" s="60" t="s">
        <v>3530</v>
      </c>
      <c r="E745" s="60" t="s">
        <v>3531</v>
      </c>
      <c r="F745" s="60" t="s">
        <v>3532</v>
      </c>
      <c r="G745" s="60" t="s">
        <v>3363</v>
      </c>
      <c r="H745" s="61">
        <v>2.48474798E7</v>
      </c>
      <c r="I745" s="58" t="s">
        <v>2365</v>
      </c>
      <c r="J745" s="58" t="s">
        <v>3351</v>
      </c>
      <c r="K745" s="58"/>
      <c r="L745" s="58" t="s">
        <v>3364</v>
      </c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58"/>
      <c r="B746" s="59" t="s">
        <v>3533</v>
      </c>
      <c r="C746" s="60" t="s">
        <v>3346</v>
      </c>
      <c r="D746" s="60" t="s">
        <v>3534</v>
      </c>
      <c r="E746" s="60" t="s">
        <v>3535</v>
      </c>
      <c r="F746" s="60" t="s">
        <v>3536</v>
      </c>
      <c r="G746" s="60" t="s">
        <v>3357</v>
      </c>
      <c r="H746" s="61">
        <v>4347998.1</v>
      </c>
      <c r="I746" s="58" t="s">
        <v>2365</v>
      </c>
      <c r="J746" s="58" t="s">
        <v>3351</v>
      </c>
      <c r="K746" s="58"/>
      <c r="L746" s="58" t="s">
        <v>3358</v>
      </c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58"/>
      <c r="B747" s="59" t="s">
        <v>3537</v>
      </c>
      <c r="C747" s="60" t="s">
        <v>3346</v>
      </c>
      <c r="D747" s="60" t="s">
        <v>3538</v>
      </c>
      <c r="E747" s="60" t="s">
        <v>3539</v>
      </c>
      <c r="F747" s="60" t="s">
        <v>3540</v>
      </c>
      <c r="G747" s="60" t="s">
        <v>3350</v>
      </c>
      <c r="H747" s="61">
        <v>5058447.6</v>
      </c>
      <c r="I747" s="58" t="s">
        <v>2365</v>
      </c>
      <c r="J747" s="58" t="s">
        <v>3351</v>
      </c>
      <c r="K747" s="58"/>
      <c r="L747" s="58" t="s">
        <v>3352</v>
      </c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58"/>
      <c r="B748" s="59" t="s">
        <v>3541</v>
      </c>
      <c r="C748" s="60" t="s">
        <v>3346</v>
      </c>
      <c r="D748" s="60" t="s">
        <v>3542</v>
      </c>
      <c r="E748" s="60" t="s">
        <v>3543</v>
      </c>
      <c r="F748" s="60" t="s">
        <v>3544</v>
      </c>
      <c r="G748" s="60" t="s">
        <v>3357</v>
      </c>
      <c r="H748" s="61">
        <v>5.388875541E7</v>
      </c>
      <c r="I748" s="58" t="s">
        <v>2365</v>
      </c>
      <c r="J748" s="58" t="s">
        <v>3351</v>
      </c>
      <c r="K748" s="58"/>
      <c r="L748" s="58" t="s">
        <v>3358</v>
      </c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58"/>
      <c r="B749" s="59" t="s">
        <v>3545</v>
      </c>
      <c r="C749" s="60" t="s">
        <v>3346</v>
      </c>
      <c r="D749" s="60" t="s">
        <v>3546</v>
      </c>
      <c r="E749" s="60" t="s">
        <v>3547</v>
      </c>
      <c r="F749" s="60" t="s">
        <v>3548</v>
      </c>
      <c r="G749" s="60" t="s">
        <v>3363</v>
      </c>
      <c r="H749" s="61">
        <v>1.525324515E7</v>
      </c>
      <c r="I749" s="58" t="s">
        <v>2365</v>
      </c>
      <c r="J749" s="58" t="s">
        <v>3351</v>
      </c>
      <c r="K749" s="58"/>
      <c r="L749" s="58" t="s">
        <v>3364</v>
      </c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58"/>
      <c r="B750" s="59" t="s">
        <v>3549</v>
      </c>
      <c r="C750" s="60" t="s">
        <v>3346</v>
      </c>
      <c r="D750" s="60" t="s">
        <v>3550</v>
      </c>
      <c r="E750" s="60" t="s">
        <v>3551</v>
      </c>
      <c r="F750" s="60" t="s">
        <v>3552</v>
      </c>
      <c r="G750" s="60" t="s">
        <v>3357</v>
      </c>
      <c r="H750" s="61">
        <v>7.371199188E7</v>
      </c>
      <c r="I750" s="58" t="s">
        <v>2365</v>
      </c>
      <c r="J750" s="58" t="s">
        <v>3351</v>
      </c>
      <c r="K750" s="58"/>
      <c r="L750" s="58" t="s">
        <v>3358</v>
      </c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58"/>
      <c r="B751" s="59" t="s">
        <v>3553</v>
      </c>
      <c r="C751" s="60" t="s">
        <v>3346</v>
      </c>
      <c r="D751" s="60" t="s">
        <v>3554</v>
      </c>
      <c r="E751" s="60" t="s">
        <v>3555</v>
      </c>
      <c r="F751" s="60" t="s">
        <v>3556</v>
      </c>
      <c r="G751" s="60" t="s">
        <v>3363</v>
      </c>
      <c r="H751" s="61">
        <v>6036590.7</v>
      </c>
      <c r="I751" s="58" t="s">
        <v>2365</v>
      </c>
      <c r="J751" s="58" t="s">
        <v>3351</v>
      </c>
      <c r="K751" s="58"/>
      <c r="L751" s="58" t="s">
        <v>3364</v>
      </c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58"/>
      <c r="B752" s="59" t="s">
        <v>3557</v>
      </c>
      <c r="C752" s="60" t="s">
        <v>3346</v>
      </c>
      <c r="D752" s="60" t="s">
        <v>3558</v>
      </c>
      <c r="E752" s="60" t="s">
        <v>3559</v>
      </c>
      <c r="F752" s="60" t="s">
        <v>3560</v>
      </c>
      <c r="G752" s="60" t="s">
        <v>3357</v>
      </c>
      <c r="H752" s="61">
        <v>1.702218458E7</v>
      </c>
      <c r="I752" s="58" t="s">
        <v>2365</v>
      </c>
      <c r="J752" s="58" t="s">
        <v>3351</v>
      </c>
      <c r="K752" s="58"/>
      <c r="L752" s="58" t="s">
        <v>3358</v>
      </c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58"/>
      <c r="B753" s="59" t="s">
        <v>3561</v>
      </c>
      <c r="C753" s="60" t="s">
        <v>3346</v>
      </c>
      <c r="D753" s="60" t="s">
        <v>3562</v>
      </c>
      <c r="E753" s="60" t="s">
        <v>3563</v>
      </c>
      <c r="F753" s="60" t="s">
        <v>3564</v>
      </c>
      <c r="G753" s="60" t="s">
        <v>3350</v>
      </c>
      <c r="H753" s="61">
        <v>2.020367248E7</v>
      </c>
      <c r="I753" s="58" t="s">
        <v>2365</v>
      </c>
      <c r="J753" s="58" t="s">
        <v>3351</v>
      </c>
      <c r="K753" s="58"/>
      <c r="L753" s="58" t="s">
        <v>3352</v>
      </c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58"/>
      <c r="B754" s="59" t="s">
        <v>3565</v>
      </c>
      <c r="C754" s="60" t="s">
        <v>3346</v>
      </c>
      <c r="D754" s="60" t="s">
        <v>3566</v>
      </c>
      <c r="E754" s="60" t="s">
        <v>3567</v>
      </c>
      <c r="F754" s="60" t="s">
        <v>3568</v>
      </c>
      <c r="G754" s="60" t="s">
        <v>3357</v>
      </c>
      <c r="H754" s="61">
        <v>6.816564018E7</v>
      </c>
      <c r="I754" s="58" t="s">
        <v>2365</v>
      </c>
      <c r="J754" s="58" t="s">
        <v>3351</v>
      </c>
      <c r="K754" s="58"/>
      <c r="L754" s="58" t="s">
        <v>3358</v>
      </c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58"/>
      <c r="B755" s="59" t="s">
        <v>3569</v>
      </c>
      <c r="C755" s="60" t="s">
        <v>3346</v>
      </c>
      <c r="D755" s="60" t="s">
        <v>3570</v>
      </c>
      <c r="E755" s="60" t="s">
        <v>3571</v>
      </c>
      <c r="F755" s="60" t="s">
        <v>3572</v>
      </c>
      <c r="G755" s="60" t="s">
        <v>3357</v>
      </c>
      <c r="H755" s="61">
        <v>1.0446730845E8</v>
      </c>
      <c r="I755" s="58" t="s">
        <v>2365</v>
      </c>
      <c r="J755" s="58" t="s">
        <v>3351</v>
      </c>
      <c r="K755" s="58"/>
      <c r="L755" s="58" t="s">
        <v>3358</v>
      </c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58"/>
      <c r="B756" s="59" t="s">
        <v>3573</v>
      </c>
      <c r="C756" s="60" t="s">
        <v>3346</v>
      </c>
      <c r="D756" s="60" t="s">
        <v>3574</v>
      </c>
      <c r="E756" s="60" t="s">
        <v>3575</v>
      </c>
      <c r="F756" s="60" t="s">
        <v>3576</v>
      </c>
      <c r="G756" s="60" t="s">
        <v>3363</v>
      </c>
      <c r="H756" s="61">
        <v>1.139167065E7</v>
      </c>
      <c r="I756" s="58" t="s">
        <v>2365</v>
      </c>
      <c r="J756" s="58" t="s">
        <v>3351</v>
      </c>
      <c r="K756" s="58"/>
      <c r="L756" s="58" t="s">
        <v>3364</v>
      </c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58"/>
      <c r="B757" s="59" t="s">
        <v>3577</v>
      </c>
      <c r="C757" s="60" t="s">
        <v>3346</v>
      </c>
      <c r="D757" s="60" t="s">
        <v>3578</v>
      </c>
      <c r="E757" s="60" t="s">
        <v>3579</v>
      </c>
      <c r="F757" s="60" t="s">
        <v>3580</v>
      </c>
      <c r="G757" s="60" t="s">
        <v>3357</v>
      </c>
      <c r="H757" s="61">
        <v>1.353215528E8</v>
      </c>
      <c r="I757" s="58" t="s">
        <v>2365</v>
      </c>
      <c r="J757" s="58" t="s">
        <v>3351</v>
      </c>
      <c r="K757" s="58"/>
      <c r="L757" s="58" t="s">
        <v>3358</v>
      </c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58"/>
      <c r="B758" s="59" t="s">
        <v>3581</v>
      </c>
      <c r="C758" s="60" t="s">
        <v>3346</v>
      </c>
      <c r="D758" s="60" t="s">
        <v>3582</v>
      </c>
      <c r="E758" s="60" t="s">
        <v>3583</v>
      </c>
      <c r="F758" s="60" t="s">
        <v>3584</v>
      </c>
      <c r="G758" s="60" t="s">
        <v>3363</v>
      </c>
      <c r="H758" s="61">
        <v>2.011449135E7</v>
      </c>
      <c r="I758" s="58" t="s">
        <v>2365</v>
      </c>
      <c r="J758" s="58" t="s">
        <v>3351</v>
      </c>
      <c r="K758" s="58"/>
      <c r="L758" s="58" t="s">
        <v>3364</v>
      </c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58"/>
      <c r="B759" s="59" t="s">
        <v>3585</v>
      </c>
      <c r="C759" s="60" t="s">
        <v>3346</v>
      </c>
      <c r="D759" s="60" t="s">
        <v>3586</v>
      </c>
      <c r="E759" s="60" t="s">
        <v>3587</v>
      </c>
      <c r="F759" s="60" t="s">
        <v>3588</v>
      </c>
      <c r="G759" s="60" t="s">
        <v>3357</v>
      </c>
      <c r="H759" s="61">
        <v>3.21942087E7</v>
      </c>
      <c r="I759" s="58" t="s">
        <v>2365</v>
      </c>
      <c r="J759" s="58" t="s">
        <v>3351</v>
      </c>
      <c r="K759" s="58"/>
      <c r="L759" s="58" t="s">
        <v>3358</v>
      </c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58"/>
      <c r="B760" s="59" t="s">
        <v>3589</v>
      </c>
      <c r="C760" s="60" t="s">
        <v>3346</v>
      </c>
      <c r="D760" s="60" t="s">
        <v>3590</v>
      </c>
      <c r="E760" s="60" t="s">
        <v>3591</v>
      </c>
      <c r="F760" s="60" t="s">
        <v>3592</v>
      </c>
      <c r="G760" s="60" t="s">
        <v>3357</v>
      </c>
      <c r="H760" s="61">
        <v>5.214481718E7</v>
      </c>
      <c r="I760" s="58" t="s">
        <v>2365</v>
      </c>
      <c r="J760" s="58" t="s">
        <v>3351</v>
      </c>
      <c r="K760" s="58"/>
      <c r="L760" s="58" t="s">
        <v>3358</v>
      </c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58"/>
      <c r="B761" s="59" t="s">
        <v>3593</v>
      </c>
      <c r="C761" s="60" t="s">
        <v>3346</v>
      </c>
      <c r="D761" s="60" t="s">
        <v>3594</v>
      </c>
      <c r="E761" s="60" t="s">
        <v>3595</v>
      </c>
      <c r="F761" s="60" t="s">
        <v>3596</v>
      </c>
      <c r="G761" s="60" t="s">
        <v>3350</v>
      </c>
      <c r="H761" s="61">
        <v>2.85220278E7</v>
      </c>
      <c r="I761" s="58" t="s">
        <v>2365</v>
      </c>
      <c r="J761" s="58" t="s">
        <v>3351</v>
      </c>
      <c r="K761" s="58"/>
      <c r="L761" s="58" t="s">
        <v>3352</v>
      </c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58"/>
      <c r="B762" s="59" t="s">
        <v>3597</v>
      </c>
      <c r="C762" s="60" t="s">
        <v>3346</v>
      </c>
      <c r="D762" s="60" t="s">
        <v>3598</v>
      </c>
      <c r="E762" s="60" t="s">
        <v>3599</v>
      </c>
      <c r="F762" s="60" t="s">
        <v>3600</v>
      </c>
      <c r="G762" s="60" t="s">
        <v>3357</v>
      </c>
      <c r="H762" s="61">
        <v>1.5189376929E8</v>
      </c>
      <c r="I762" s="58" t="s">
        <v>2365</v>
      </c>
      <c r="J762" s="58" t="s">
        <v>3351</v>
      </c>
      <c r="K762" s="58"/>
      <c r="L762" s="58" t="s">
        <v>3358</v>
      </c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58"/>
      <c r="B763" s="59" t="s">
        <v>3601</v>
      </c>
      <c r="C763" s="60" t="s">
        <v>3346</v>
      </c>
      <c r="D763" s="60" t="s">
        <v>3602</v>
      </c>
      <c r="E763" s="60" t="s">
        <v>3603</v>
      </c>
      <c r="F763" s="60" t="s">
        <v>3604</v>
      </c>
      <c r="G763" s="60" t="s">
        <v>3357</v>
      </c>
      <c r="H763" s="61">
        <v>1.5640003154E8</v>
      </c>
      <c r="I763" s="58" t="s">
        <v>2365</v>
      </c>
      <c r="J763" s="58" t="s">
        <v>3351</v>
      </c>
      <c r="K763" s="58"/>
      <c r="L763" s="58" t="s">
        <v>3358</v>
      </c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58"/>
      <c r="B764" s="59" t="s">
        <v>3605</v>
      </c>
      <c r="C764" s="60" t="s">
        <v>3346</v>
      </c>
      <c r="D764" s="60" t="s">
        <v>3606</v>
      </c>
      <c r="E764" s="60" t="s">
        <v>3607</v>
      </c>
      <c r="F764" s="60" t="s">
        <v>3608</v>
      </c>
      <c r="G764" s="60" t="s">
        <v>3357</v>
      </c>
      <c r="H764" s="61">
        <v>2.0306586847E8</v>
      </c>
      <c r="I764" s="58" t="s">
        <v>2365</v>
      </c>
      <c r="J764" s="58" t="s">
        <v>3351</v>
      </c>
      <c r="K764" s="58"/>
      <c r="L764" s="58" t="s">
        <v>3358</v>
      </c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58"/>
      <c r="B765" s="59" t="s">
        <v>3609</v>
      </c>
      <c r="C765" s="60" t="s">
        <v>3346</v>
      </c>
      <c r="D765" s="60" t="s">
        <v>3610</v>
      </c>
      <c r="E765" s="60" t="s">
        <v>3611</v>
      </c>
      <c r="F765" s="60" t="s">
        <v>3612</v>
      </c>
      <c r="G765" s="60" t="s">
        <v>3357</v>
      </c>
      <c r="H765" s="61">
        <v>2.2603735825E8</v>
      </c>
      <c r="I765" s="58" t="s">
        <v>2365</v>
      </c>
      <c r="J765" s="58" t="s">
        <v>3351</v>
      </c>
      <c r="K765" s="58"/>
      <c r="L765" s="58" t="s">
        <v>3358</v>
      </c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58"/>
      <c r="B766" s="59" t="s">
        <v>3613</v>
      </c>
      <c r="C766" s="60" t="s">
        <v>3346</v>
      </c>
      <c r="D766" s="60" t="s">
        <v>3614</v>
      </c>
      <c r="E766" s="60" t="s">
        <v>3615</v>
      </c>
      <c r="F766" s="60" t="s">
        <v>3616</v>
      </c>
      <c r="G766" s="60" t="s">
        <v>3363</v>
      </c>
      <c r="H766" s="61">
        <v>1.51770028E7</v>
      </c>
      <c r="I766" s="58" t="s">
        <v>2365</v>
      </c>
      <c r="J766" s="58" t="s">
        <v>3351</v>
      </c>
      <c r="K766" s="58"/>
      <c r="L766" s="58" t="s">
        <v>3364</v>
      </c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58"/>
      <c r="B767" s="59" t="s">
        <v>3617</v>
      </c>
      <c r="C767" s="60" t="s">
        <v>3346</v>
      </c>
      <c r="D767" s="60" t="s">
        <v>3618</v>
      </c>
      <c r="E767" s="60" t="s">
        <v>3619</v>
      </c>
      <c r="F767" s="60" t="s">
        <v>3620</v>
      </c>
      <c r="G767" s="60" t="s">
        <v>3357</v>
      </c>
      <c r="H767" s="61">
        <v>9.708634023E7</v>
      </c>
      <c r="I767" s="58" t="s">
        <v>2365</v>
      </c>
      <c r="J767" s="58" t="s">
        <v>3351</v>
      </c>
      <c r="K767" s="58"/>
      <c r="L767" s="58" t="s">
        <v>3358</v>
      </c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58"/>
      <c r="B768" s="59" t="s">
        <v>3621</v>
      </c>
      <c r="C768" s="60" t="s">
        <v>3346</v>
      </c>
      <c r="D768" s="60" t="s">
        <v>3622</v>
      </c>
      <c r="E768" s="60" t="s">
        <v>3623</v>
      </c>
      <c r="F768" s="60" t="s">
        <v>3624</v>
      </c>
      <c r="G768" s="60" t="s">
        <v>3350</v>
      </c>
      <c r="H768" s="61">
        <v>7881166.9</v>
      </c>
      <c r="I768" s="58" t="s">
        <v>2365</v>
      </c>
      <c r="J768" s="58" t="s">
        <v>3351</v>
      </c>
      <c r="K768" s="58"/>
      <c r="L768" s="58" t="s">
        <v>3352</v>
      </c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58"/>
      <c r="B769" s="59" t="s">
        <v>3625</v>
      </c>
      <c r="C769" s="60" t="s">
        <v>3346</v>
      </c>
      <c r="D769" s="60" t="s">
        <v>3626</v>
      </c>
      <c r="E769" s="60" t="s">
        <v>3627</v>
      </c>
      <c r="F769" s="60" t="s">
        <v>3628</v>
      </c>
      <c r="G769" s="60" t="s">
        <v>3357</v>
      </c>
      <c r="H769" s="61">
        <v>1.3566053633E8</v>
      </c>
      <c r="I769" s="58" t="s">
        <v>2365</v>
      </c>
      <c r="J769" s="58" t="s">
        <v>3351</v>
      </c>
      <c r="K769" s="58"/>
      <c r="L769" s="58" t="s">
        <v>3358</v>
      </c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58"/>
      <c r="B770" s="59" t="s">
        <v>3629</v>
      </c>
      <c r="C770" s="60" t="s">
        <v>3346</v>
      </c>
      <c r="D770" s="60" t="s">
        <v>3630</v>
      </c>
      <c r="E770" s="60" t="s">
        <v>3631</v>
      </c>
      <c r="F770" s="60" t="s">
        <v>3632</v>
      </c>
      <c r="G770" s="60" t="s">
        <v>3363</v>
      </c>
      <c r="H770" s="61">
        <v>4525409.57</v>
      </c>
      <c r="I770" s="58" t="s">
        <v>2365</v>
      </c>
      <c r="J770" s="58" t="s">
        <v>3351</v>
      </c>
      <c r="K770" s="58"/>
      <c r="L770" s="58" t="s">
        <v>3364</v>
      </c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55"/>
      <c r="B771" s="56" t="s">
        <v>2662</v>
      </c>
      <c r="C771" s="56" t="s">
        <v>3346</v>
      </c>
      <c r="D771" s="56" t="s">
        <v>941</v>
      </c>
      <c r="E771" s="56" t="s">
        <v>3633</v>
      </c>
      <c r="F771" s="56" t="s">
        <v>941</v>
      </c>
      <c r="G771" s="56" t="s">
        <v>3350</v>
      </c>
      <c r="H771" s="57">
        <v>6.7532380734E8</v>
      </c>
      <c r="I771" s="55" t="s">
        <v>2365</v>
      </c>
      <c r="J771" s="55" t="s">
        <v>3351</v>
      </c>
      <c r="K771" s="55" t="s">
        <v>2093</v>
      </c>
      <c r="L771" s="55" t="s">
        <v>3352</v>
      </c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>
      <c r="A772" s="55"/>
      <c r="B772" s="56" t="s">
        <v>2662</v>
      </c>
      <c r="C772" s="56" t="s">
        <v>3346</v>
      </c>
      <c r="D772" s="56" t="s">
        <v>941</v>
      </c>
      <c r="E772" s="56" t="s">
        <v>3634</v>
      </c>
      <c r="F772" s="56" t="s">
        <v>941</v>
      </c>
      <c r="G772" s="56" t="s">
        <v>3357</v>
      </c>
      <c r="H772" s="57">
        <v>6.51244359561E9</v>
      </c>
      <c r="I772" s="55" t="s">
        <v>2365</v>
      </c>
      <c r="J772" s="55" t="s">
        <v>3351</v>
      </c>
      <c r="K772" s="55" t="s">
        <v>2093</v>
      </c>
      <c r="L772" s="55" t="s">
        <v>3358</v>
      </c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>
      <c r="A773" s="55"/>
      <c r="B773" s="56" t="s">
        <v>2662</v>
      </c>
      <c r="C773" s="56" t="s">
        <v>3346</v>
      </c>
      <c r="D773" s="56" t="s">
        <v>941</v>
      </c>
      <c r="E773" s="56" t="s">
        <v>3635</v>
      </c>
      <c r="F773" s="56" t="s">
        <v>941</v>
      </c>
      <c r="G773" s="56" t="s">
        <v>3363</v>
      </c>
      <c r="H773" s="57">
        <v>1.52348073659E9</v>
      </c>
      <c r="I773" s="55" t="s">
        <v>2365</v>
      </c>
      <c r="J773" s="55" t="s">
        <v>3351</v>
      </c>
      <c r="K773" s="55" t="s">
        <v>2093</v>
      </c>
      <c r="L773" s="55" t="s">
        <v>3364</v>
      </c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>
      <c r="A774" s="58"/>
      <c r="B774" s="59" t="s">
        <v>3636</v>
      </c>
      <c r="C774" s="60" t="s">
        <v>3637</v>
      </c>
      <c r="D774" s="60" t="s">
        <v>3638</v>
      </c>
      <c r="E774" s="60" t="s">
        <v>3639</v>
      </c>
      <c r="F774" s="60" t="s">
        <v>3640</v>
      </c>
      <c r="G774" s="60" t="s">
        <v>3641</v>
      </c>
      <c r="H774" s="61">
        <v>1.40056165E8</v>
      </c>
      <c r="I774" s="58" t="s">
        <v>2365</v>
      </c>
      <c r="J774" s="58" t="s">
        <v>3344</v>
      </c>
      <c r="K774" s="58"/>
      <c r="L774" s="58" t="s">
        <v>3642</v>
      </c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58"/>
      <c r="B775" s="59" t="s">
        <v>3643</v>
      </c>
      <c r="C775" s="60" t="s">
        <v>3637</v>
      </c>
      <c r="D775" s="60" t="s">
        <v>3644</v>
      </c>
      <c r="E775" s="60" t="s">
        <v>3645</v>
      </c>
      <c r="F775" s="60" t="s">
        <v>3646</v>
      </c>
      <c r="G775" s="60" t="s">
        <v>3647</v>
      </c>
      <c r="H775" s="61">
        <v>3.4084359825E8</v>
      </c>
      <c r="I775" s="58" t="s">
        <v>2365</v>
      </c>
      <c r="J775" s="58" t="s">
        <v>3344</v>
      </c>
      <c r="K775" s="58"/>
      <c r="L775" s="58" t="s">
        <v>2373</v>
      </c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58"/>
      <c r="B776" s="59" t="s">
        <v>3648</v>
      </c>
      <c r="C776" s="60" t="s">
        <v>3637</v>
      </c>
      <c r="D776" s="60" t="s">
        <v>3649</v>
      </c>
      <c r="E776" s="60" t="s">
        <v>3650</v>
      </c>
      <c r="F776" s="60" t="s">
        <v>3651</v>
      </c>
      <c r="G776" s="60" t="s">
        <v>3652</v>
      </c>
      <c r="H776" s="61">
        <v>4.8510589248E8</v>
      </c>
      <c r="I776" s="58" t="s">
        <v>2365</v>
      </c>
      <c r="J776" s="58" t="s">
        <v>3344</v>
      </c>
      <c r="K776" s="58"/>
      <c r="L776" s="58" t="s">
        <v>2435</v>
      </c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58"/>
      <c r="B777" s="59" t="s">
        <v>3653</v>
      </c>
      <c r="C777" s="60" t="s">
        <v>3637</v>
      </c>
      <c r="D777" s="60" t="s">
        <v>3654</v>
      </c>
      <c r="E777" s="60" t="s">
        <v>3655</v>
      </c>
      <c r="F777" s="60" t="s">
        <v>3656</v>
      </c>
      <c r="G777" s="60" t="s">
        <v>3657</v>
      </c>
      <c r="H777" s="61">
        <v>1.642150196E7</v>
      </c>
      <c r="I777" s="58" t="s">
        <v>2365</v>
      </c>
      <c r="J777" s="58" t="s">
        <v>3344</v>
      </c>
      <c r="K777" s="58"/>
      <c r="L777" s="58" t="s">
        <v>3321</v>
      </c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58"/>
      <c r="B778" s="59" t="s">
        <v>3658</v>
      </c>
      <c r="C778" s="60" t="s">
        <v>3637</v>
      </c>
      <c r="D778" s="60" t="s">
        <v>3659</v>
      </c>
      <c r="E778" s="60" t="s">
        <v>3660</v>
      </c>
      <c r="F778" s="60" t="s">
        <v>3661</v>
      </c>
      <c r="G778" s="60" t="s">
        <v>3641</v>
      </c>
      <c r="H778" s="61">
        <v>1.754981328E7</v>
      </c>
      <c r="I778" s="58" t="s">
        <v>2365</v>
      </c>
      <c r="J778" s="58" t="s">
        <v>3344</v>
      </c>
      <c r="K778" s="58"/>
      <c r="L778" s="58" t="s">
        <v>3642</v>
      </c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58"/>
      <c r="B779" s="59" t="s">
        <v>3662</v>
      </c>
      <c r="C779" s="60" t="s">
        <v>3637</v>
      </c>
      <c r="D779" s="60" t="s">
        <v>3663</v>
      </c>
      <c r="E779" s="60" t="s">
        <v>3664</v>
      </c>
      <c r="F779" s="60" t="s">
        <v>3665</v>
      </c>
      <c r="G779" s="60" t="s">
        <v>3647</v>
      </c>
      <c r="H779" s="61">
        <v>3.835447044E7</v>
      </c>
      <c r="I779" s="58" t="s">
        <v>2365</v>
      </c>
      <c r="J779" s="58" t="s">
        <v>3344</v>
      </c>
      <c r="K779" s="58"/>
      <c r="L779" s="58" t="s">
        <v>2373</v>
      </c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58"/>
      <c r="B780" s="59" t="s">
        <v>3666</v>
      </c>
      <c r="C780" s="60" t="s">
        <v>3637</v>
      </c>
      <c r="D780" s="60" t="s">
        <v>3667</v>
      </c>
      <c r="E780" s="60" t="s">
        <v>3668</v>
      </c>
      <c r="F780" s="60" t="s">
        <v>3669</v>
      </c>
      <c r="G780" s="60" t="s">
        <v>3652</v>
      </c>
      <c r="H780" s="61">
        <v>4.85171104E7</v>
      </c>
      <c r="I780" s="58" t="s">
        <v>2365</v>
      </c>
      <c r="J780" s="58" t="s">
        <v>3344</v>
      </c>
      <c r="K780" s="58"/>
      <c r="L780" s="58" t="s">
        <v>2435</v>
      </c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58"/>
      <c r="B781" s="59" t="s">
        <v>3670</v>
      </c>
      <c r="C781" s="60" t="s">
        <v>3671</v>
      </c>
      <c r="D781" s="60" t="s">
        <v>3672</v>
      </c>
      <c r="E781" s="60" t="s">
        <v>3673</v>
      </c>
      <c r="F781" s="60" t="s">
        <v>3674</v>
      </c>
      <c r="G781" s="60" t="s">
        <v>3675</v>
      </c>
      <c r="H781" s="61">
        <v>5808654.8</v>
      </c>
      <c r="I781" s="58" t="s">
        <v>2365</v>
      </c>
      <c r="J781" s="58" t="s">
        <v>3676</v>
      </c>
      <c r="K781" s="58"/>
      <c r="L781" s="58" t="s">
        <v>3642</v>
      </c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58"/>
      <c r="B782" s="59" t="s">
        <v>3677</v>
      </c>
      <c r="C782" s="60" t="s">
        <v>3671</v>
      </c>
      <c r="D782" s="60" t="s">
        <v>3678</v>
      </c>
      <c r="E782" s="60" t="s">
        <v>3679</v>
      </c>
      <c r="F782" s="60" t="s">
        <v>3680</v>
      </c>
      <c r="G782" s="60" t="s">
        <v>3681</v>
      </c>
      <c r="H782" s="61">
        <v>1503609.47</v>
      </c>
      <c r="I782" s="58" t="s">
        <v>2365</v>
      </c>
      <c r="J782" s="58" t="s">
        <v>3676</v>
      </c>
      <c r="K782" s="58"/>
      <c r="L782" s="58" t="s">
        <v>2373</v>
      </c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58"/>
      <c r="B783" s="59" t="s">
        <v>3682</v>
      </c>
      <c r="C783" s="60" t="s">
        <v>3671</v>
      </c>
      <c r="D783" s="60" t="s">
        <v>3683</v>
      </c>
      <c r="E783" s="60" t="s">
        <v>3684</v>
      </c>
      <c r="F783" s="60" t="s">
        <v>3685</v>
      </c>
      <c r="G783" s="60" t="s">
        <v>3686</v>
      </c>
      <c r="H783" s="61">
        <v>1937080.74</v>
      </c>
      <c r="I783" s="58" t="s">
        <v>2365</v>
      </c>
      <c r="J783" s="58" t="s">
        <v>3676</v>
      </c>
      <c r="K783" s="58"/>
      <c r="L783" s="58" t="s">
        <v>3321</v>
      </c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58"/>
      <c r="B784" s="59" t="s">
        <v>3687</v>
      </c>
      <c r="C784" s="60" t="s">
        <v>3671</v>
      </c>
      <c r="D784" s="60" t="s">
        <v>3688</v>
      </c>
      <c r="E784" s="60" t="s">
        <v>3689</v>
      </c>
      <c r="F784" s="60" t="s">
        <v>3690</v>
      </c>
      <c r="G784" s="60" t="s">
        <v>3691</v>
      </c>
      <c r="H784" s="61">
        <v>2.617532415E8</v>
      </c>
      <c r="I784" s="58" t="s">
        <v>2365</v>
      </c>
      <c r="J784" s="58" t="s">
        <v>3676</v>
      </c>
      <c r="K784" s="58"/>
      <c r="L784" s="58" t="s">
        <v>3642</v>
      </c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58"/>
      <c r="B785" s="59" t="s">
        <v>3692</v>
      </c>
      <c r="C785" s="60" t="s">
        <v>3671</v>
      </c>
      <c r="D785" s="60" t="s">
        <v>3693</v>
      </c>
      <c r="E785" s="60" t="s">
        <v>3694</v>
      </c>
      <c r="F785" s="60" t="s">
        <v>3695</v>
      </c>
      <c r="G785" s="60" t="s">
        <v>3696</v>
      </c>
      <c r="H785" s="61">
        <v>1.236283132E7</v>
      </c>
      <c r="I785" s="58" t="s">
        <v>2365</v>
      </c>
      <c r="J785" s="58" t="s">
        <v>3676</v>
      </c>
      <c r="K785" s="58"/>
      <c r="L785" s="58" t="s">
        <v>2373</v>
      </c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58"/>
      <c r="B786" s="59" t="s">
        <v>3697</v>
      </c>
      <c r="C786" s="60" t="s">
        <v>3671</v>
      </c>
      <c r="D786" s="60" t="s">
        <v>3698</v>
      </c>
      <c r="E786" s="60" t="s">
        <v>3699</v>
      </c>
      <c r="F786" s="60" t="s">
        <v>3700</v>
      </c>
      <c r="G786" s="60" t="s">
        <v>3701</v>
      </c>
      <c r="H786" s="61">
        <v>7.22732585E7</v>
      </c>
      <c r="I786" s="58" t="s">
        <v>2365</v>
      </c>
      <c r="J786" s="58" t="s">
        <v>3676</v>
      </c>
      <c r="K786" s="58"/>
      <c r="L786" s="58" t="s">
        <v>3321</v>
      </c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58"/>
      <c r="B787" s="59" t="s">
        <v>3702</v>
      </c>
      <c r="C787" s="60" t="s">
        <v>3671</v>
      </c>
      <c r="D787" s="60" t="s">
        <v>3703</v>
      </c>
      <c r="E787" s="60" t="s">
        <v>3704</v>
      </c>
      <c r="F787" s="60" t="s">
        <v>3705</v>
      </c>
      <c r="G787" s="60" t="s">
        <v>3706</v>
      </c>
      <c r="H787" s="61">
        <v>3.175794684E7</v>
      </c>
      <c r="I787" s="58" t="s">
        <v>2365</v>
      </c>
      <c r="J787" s="58" t="s">
        <v>3676</v>
      </c>
      <c r="K787" s="58"/>
      <c r="L787" s="58" t="s">
        <v>3642</v>
      </c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58"/>
      <c r="B788" s="59" t="s">
        <v>3707</v>
      </c>
      <c r="C788" s="60" t="s">
        <v>3671</v>
      </c>
      <c r="D788" s="60" t="s">
        <v>3708</v>
      </c>
      <c r="E788" s="60" t="s">
        <v>3709</v>
      </c>
      <c r="F788" s="60" t="s">
        <v>3710</v>
      </c>
      <c r="G788" s="60" t="s">
        <v>3711</v>
      </c>
      <c r="H788" s="61">
        <v>8.245278264E7</v>
      </c>
      <c r="I788" s="58" t="s">
        <v>2365</v>
      </c>
      <c r="J788" s="58" t="s">
        <v>3676</v>
      </c>
      <c r="K788" s="58"/>
      <c r="L788" s="58" t="s">
        <v>3321</v>
      </c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58"/>
      <c r="B789" s="59" t="s">
        <v>3712</v>
      </c>
      <c r="C789" s="60" t="s">
        <v>3671</v>
      </c>
      <c r="D789" s="60" t="s">
        <v>3713</v>
      </c>
      <c r="E789" s="60" t="s">
        <v>3714</v>
      </c>
      <c r="F789" s="60" t="s">
        <v>3715</v>
      </c>
      <c r="G789" s="60" t="s">
        <v>3716</v>
      </c>
      <c r="H789" s="61">
        <v>4.79026756E7</v>
      </c>
      <c r="I789" s="58" t="s">
        <v>2365</v>
      </c>
      <c r="J789" s="58" t="s">
        <v>3676</v>
      </c>
      <c r="K789" s="58"/>
      <c r="L789" s="58" t="s">
        <v>3642</v>
      </c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58"/>
      <c r="B790" s="59" t="s">
        <v>3717</v>
      </c>
      <c r="C790" s="60" t="s">
        <v>3671</v>
      </c>
      <c r="D790" s="60" t="s">
        <v>3718</v>
      </c>
      <c r="E790" s="60" t="s">
        <v>3719</v>
      </c>
      <c r="F790" s="60" t="s">
        <v>3720</v>
      </c>
      <c r="G790" s="60" t="s">
        <v>3721</v>
      </c>
      <c r="H790" s="61">
        <v>1.112588455E7</v>
      </c>
      <c r="I790" s="58" t="s">
        <v>2365</v>
      </c>
      <c r="J790" s="58" t="s">
        <v>3676</v>
      </c>
      <c r="K790" s="58"/>
      <c r="L790" s="58" t="s">
        <v>2373</v>
      </c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58"/>
      <c r="B791" s="59" t="s">
        <v>3722</v>
      </c>
      <c r="C791" s="60" t="s">
        <v>3671</v>
      </c>
      <c r="D791" s="60" t="s">
        <v>3723</v>
      </c>
      <c r="E791" s="60" t="s">
        <v>3724</v>
      </c>
      <c r="F791" s="60" t="s">
        <v>3725</v>
      </c>
      <c r="G791" s="60" t="s">
        <v>3726</v>
      </c>
      <c r="H791" s="61">
        <v>1.392191871E7</v>
      </c>
      <c r="I791" s="58" t="s">
        <v>2365</v>
      </c>
      <c r="J791" s="58" t="s">
        <v>3676</v>
      </c>
      <c r="K791" s="58"/>
      <c r="L791" s="58" t="s">
        <v>3321</v>
      </c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58"/>
      <c r="B792" s="59" t="s">
        <v>3727</v>
      </c>
      <c r="C792" s="60" t="s">
        <v>3671</v>
      </c>
      <c r="D792" s="60" t="s">
        <v>3728</v>
      </c>
      <c r="E792" s="60" t="s">
        <v>3729</v>
      </c>
      <c r="F792" s="60" t="s">
        <v>3730</v>
      </c>
      <c r="G792" s="60" t="s">
        <v>3731</v>
      </c>
      <c r="H792" s="61">
        <v>4.803404247E8</v>
      </c>
      <c r="I792" s="58" t="s">
        <v>2365</v>
      </c>
      <c r="J792" s="58" t="s">
        <v>3676</v>
      </c>
      <c r="K792" s="58"/>
      <c r="L792" s="58" t="s">
        <v>3642</v>
      </c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58"/>
      <c r="B793" s="59" t="s">
        <v>3732</v>
      </c>
      <c r="C793" s="60" t="s">
        <v>3671</v>
      </c>
      <c r="D793" s="60" t="s">
        <v>3733</v>
      </c>
      <c r="E793" s="60" t="s">
        <v>3734</v>
      </c>
      <c r="F793" s="60" t="s">
        <v>3735</v>
      </c>
      <c r="G793" s="60" t="s">
        <v>3736</v>
      </c>
      <c r="H793" s="61">
        <v>8653478.4</v>
      </c>
      <c r="I793" s="58" t="s">
        <v>2365</v>
      </c>
      <c r="J793" s="58" t="s">
        <v>3676</v>
      </c>
      <c r="K793" s="58"/>
      <c r="L793" s="58" t="s">
        <v>2373</v>
      </c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58"/>
      <c r="B794" s="59" t="s">
        <v>3737</v>
      </c>
      <c r="C794" s="60" t="s">
        <v>3671</v>
      </c>
      <c r="D794" s="60" t="s">
        <v>3738</v>
      </c>
      <c r="E794" s="60" t="s">
        <v>3739</v>
      </c>
      <c r="F794" s="60" t="s">
        <v>3740</v>
      </c>
      <c r="G794" s="60" t="s">
        <v>3741</v>
      </c>
      <c r="H794" s="61">
        <v>1.4618810535E8</v>
      </c>
      <c r="I794" s="58" t="s">
        <v>2365</v>
      </c>
      <c r="J794" s="58" t="s">
        <v>3676</v>
      </c>
      <c r="K794" s="58"/>
      <c r="L794" s="58" t="s">
        <v>3321</v>
      </c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58"/>
      <c r="B795" s="59" t="s">
        <v>3742</v>
      </c>
      <c r="C795" s="60" t="s">
        <v>3671</v>
      </c>
      <c r="D795" s="60" t="s">
        <v>3743</v>
      </c>
      <c r="E795" s="60" t="s">
        <v>3744</v>
      </c>
      <c r="F795" s="60" t="s">
        <v>3745</v>
      </c>
      <c r="G795" s="60" t="s">
        <v>3746</v>
      </c>
      <c r="H795" s="61">
        <v>1.9075610988E8</v>
      </c>
      <c r="I795" s="58" t="s">
        <v>2365</v>
      </c>
      <c r="J795" s="58" t="s">
        <v>3676</v>
      </c>
      <c r="K795" s="58"/>
      <c r="L795" s="58" t="s">
        <v>3642</v>
      </c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58"/>
      <c r="B796" s="59" t="s">
        <v>3747</v>
      </c>
      <c r="C796" s="60" t="s">
        <v>3671</v>
      </c>
      <c r="D796" s="60" t="s">
        <v>3748</v>
      </c>
      <c r="E796" s="60" t="s">
        <v>3749</v>
      </c>
      <c r="F796" s="60" t="s">
        <v>3750</v>
      </c>
      <c r="G796" s="60" t="s">
        <v>3751</v>
      </c>
      <c r="H796" s="61">
        <v>5.424783144E7</v>
      </c>
      <c r="I796" s="58" t="s">
        <v>2365</v>
      </c>
      <c r="J796" s="58" t="s">
        <v>3676</v>
      </c>
      <c r="K796" s="58"/>
      <c r="L796" s="58" t="s">
        <v>3321</v>
      </c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58"/>
      <c r="B797" s="59" t="s">
        <v>3752</v>
      </c>
      <c r="C797" s="60" t="s">
        <v>3671</v>
      </c>
      <c r="D797" s="60" t="s">
        <v>3753</v>
      </c>
      <c r="E797" s="60" t="s">
        <v>3754</v>
      </c>
      <c r="F797" s="60" t="s">
        <v>3755</v>
      </c>
      <c r="G797" s="60" t="s">
        <v>3756</v>
      </c>
      <c r="H797" s="61">
        <v>2.6210068528E8</v>
      </c>
      <c r="I797" s="58" t="s">
        <v>2365</v>
      </c>
      <c r="J797" s="58" t="s">
        <v>3676</v>
      </c>
      <c r="K797" s="58"/>
      <c r="L797" s="58" t="s">
        <v>3642</v>
      </c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58"/>
      <c r="B798" s="59" t="s">
        <v>3757</v>
      </c>
      <c r="C798" s="60" t="s">
        <v>3671</v>
      </c>
      <c r="D798" s="60" t="s">
        <v>3758</v>
      </c>
      <c r="E798" s="60" t="s">
        <v>3759</v>
      </c>
      <c r="F798" s="60" t="s">
        <v>3760</v>
      </c>
      <c r="G798" s="60" t="s">
        <v>3761</v>
      </c>
      <c r="H798" s="61">
        <v>4.194801288E7</v>
      </c>
      <c r="I798" s="58" t="s">
        <v>2365</v>
      </c>
      <c r="J798" s="58" t="s">
        <v>3676</v>
      </c>
      <c r="K798" s="58"/>
      <c r="L798" s="58" t="s">
        <v>2373</v>
      </c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58"/>
      <c r="B799" s="59" t="s">
        <v>3762</v>
      </c>
      <c r="C799" s="60" t="s">
        <v>3671</v>
      </c>
      <c r="D799" s="60" t="s">
        <v>3763</v>
      </c>
      <c r="E799" s="60" t="s">
        <v>3764</v>
      </c>
      <c r="F799" s="60" t="s">
        <v>3765</v>
      </c>
      <c r="G799" s="60" t="s">
        <v>3766</v>
      </c>
      <c r="H799" s="61">
        <v>9.11824526E7</v>
      </c>
      <c r="I799" s="58" t="s">
        <v>2365</v>
      </c>
      <c r="J799" s="58" t="s">
        <v>3676</v>
      </c>
      <c r="K799" s="58"/>
      <c r="L799" s="58" t="s">
        <v>3321</v>
      </c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58"/>
      <c r="B800" s="59" t="s">
        <v>3767</v>
      </c>
      <c r="C800" s="60" t="s">
        <v>3671</v>
      </c>
      <c r="D800" s="60" t="s">
        <v>3768</v>
      </c>
      <c r="E800" s="60" t="s">
        <v>3769</v>
      </c>
      <c r="F800" s="60" t="s">
        <v>3770</v>
      </c>
      <c r="G800" s="60" t="s">
        <v>3771</v>
      </c>
      <c r="H800" s="61">
        <v>1.8391161816E8</v>
      </c>
      <c r="I800" s="58" t="s">
        <v>2365</v>
      </c>
      <c r="J800" s="58" t="s">
        <v>3676</v>
      </c>
      <c r="K800" s="58"/>
      <c r="L800" s="58" t="s">
        <v>3642</v>
      </c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58"/>
      <c r="B801" s="59" t="s">
        <v>3772</v>
      </c>
      <c r="C801" s="60" t="s">
        <v>3671</v>
      </c>
      <c r="D801" s="60" t="s">
        <v>3773</v>
      </c>
      <c r="E801" s="60" t="s">
        <v>3774</v>
      </c>
      <c r="F801" s="60" t="s">
        <v>3775</v>
      </c>
      <c r="G801" s="60" t="s">
        <v>3776</v>
      </c>
      <c r="H801" s="61">
        <v>3.095834651E7</v>
      </c>
      <c r="I801" s="58" t="s">
        <v>2365</v>
      </c>
      <c r="J801" s="58" t="s">
        <v>3676</v>
      </c>
      <c r="K801" s="58"/>
      <c r="L801" s="58" t="s">
        <v>2373</v>
      </c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58"/>
      <c r="B802" s="59" t="s">
        <v>3777</v>
      </c>
      <c r="C802" s="60" t="s">
        <v>3671</v>
      </c>
      <c r="D802" s="60" t="s">
        <v>3778</v>
      </c>
      <c r="E802" s="60" t="s">
        <v>3779</v>
      </c>
      <c r="F802" s="60" t="s">
        <v>3780</v>
      </c>
      <c r="G802" s="60" t="s">
        <v>3781</v>
      </c>
      <c r="H802" s="61">
        <v>7.4433077E7</v>
      </c>
      <c r="I802" s="58" t="s">
        <v>2365</v>
      </c>
      <c r="J802" s="58" t="s">
        <v>3676</v>
      </c>
      <c r="K802" s="58"/>
      <c r="L802" s="58" t="s">
        <v>3321</v>
      </c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58"/>
      <c r="B803" s="59" t="s">
        <v>3782</v>
      </c>
      <c r="C803" s="60" t="s">
        <v>3671</v>
      </c>
      <c r="D803" s="60" t="s">
        <v>3783</v>
      </c>
      <c r="E803" s="60" t="s">
        <v>3784</v>
      </c>
      <c r="F803" s="60" t="s">
        <v>3785</v>
      </c>
      <c r="G803" s="60" t="s">
        <v>3786</v>
      </c>
      <c r="H803" s="61">
        <v>6.055948692E7</v>
      </c>
      <c r="I803" s="58" t="s">
        <v>2365</v>
      </c>
      <c r="J803" s="58" t="s">
        <v>3676</v>
      </c>
      <c r="K803" s="58"/>
      <c r="L803" s="58" t="s">
        <v>3642</v>
      </c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58"/>
      <c r="B804" s="59" t="s">
        <v>3787</v>
      </c>
      <c r="C804" s="60" t="s">
        <v>3671</v>
      </c>
      <c r="D804" s="60" t="s">
        <v>3788</v>
      </c>
      <c r="E804" s="60" t="s">
        <v>3789</v>
      </c>
      <c r="F804" s="60" t="s">
        <v>3790</v>
      </c>
      <c r="G804" s="60" t="s">
        <v>3791</v>
      </c>
      <c r="H804" s="61">
        <v>1.630127688E7</v>
      </c>
      <c r="I804" s="58" t="s">
        <v>2365</v>
      </c>
      <c r="J804" s="58" t="s">
        <v>3676</v>
      </c>
      <c r="K804" s="58"/>
      <c r="L804" s="58" t="s">
        <v>3321</v>
      </c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58"/>
      <c r="B805" s="59" t="s">
        <v>3792</v>
      </c>
      <c r="C805" s="60" t="s">
        <v>3671</v>
      </c>
      <c r="D805" s="60" t="s">
        <v>3793</v>
      </c>
      <c r="E805" s="60" t="s">
        <v>3794</v>
      </c>
      <c r="F805" s="60" t="s">
        <v>3795</v>
      </c>
      <c r="G805" s="60" t="s">
        <v>3796</v>
      </c>
      <c r="H805" s="61">
        <v>1.733957672E7</v>
      </c>
      <c r="I805" s="58" t="s">
        <v>2365</v>
      </c>
      <c r="J805" s="58" t="s">
        <v>3676</v>
      </c>
      <c r="K805" s="58"/>
      <c r="L805" s="58" t="s">
        <v>3797</v>
      </c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58"/>
      <c r="B806" s="59" t="s">
        <v>3798</v>
      </c>
      <c r="C806" s="60" t="s">
        <v>3671</v>
      </c>
      <c r="D806" s="60" t="s">
        <v>3799</v>
      </c>
      <c r="E806" s="60" t="s">
        <v>3800</v>
      </c>
      <c r="F806" s="60" t="s">
        <v>3801</v>
      </c>
      <c r="G806" s="60" t="s">
        <v>3802</v>
      </c>
      <c r="H806" s="61">
        <v>4.514525972E8</v>
      </c>
      <c r="I806" s="58" t="s">
        <v>2365</v>
      </c>
      <c r="J806" s="58" t="s">
        <v>3676</v>
      </c>
      <c r="K806" s="58"/>
      <c r="L806" s="58" t="s">
        <v>3642</v>
      </c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58"/>
      <c r="B807" s="59" t="s">
        <v>3803</v>
      </c>
      <c r="C807" s="60" t="s">
        <v>3671</v>
      </c>
      <c r="D807" s="60" t="s">
        <v>3804</v>
      </c>
      <c r="E807" s="60" t="s">
        <v>3805</v>
      </c>
      <c r="F807" s="60" t="s">
        <v>3806</v>
      </c>
      <c r="G807" s="60" t="s">
        <v>3807</v>
      </c>
      <c r="H807" s="61">
        <v>6.398563556E7</v>
      </c>
      <c r="I807" s="58" t="s">
        <v>2365</v>
      </c>
      <c r="J807" s="58" t="s">
        <v>3676</v>
      </c>
      <c r="K807" s="58"/>
      <c r="L807" s="58" t="s">
        <v>2373</v>
      </c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58"/>
      <c r="B808" s="59" t="s">
        <v>3808</v>
      </c>
      <c r="C808" s="60" t="s">
        <v>3671</v>
      </c>
      <c r="D808" s="60" t="s">
        <v>3809</v>
      </c>
      <c r="E808" s="60" t="s">
        <v>3810</v>
      </c>
      <c r="F808" s="60" t="s">
        <v>3811</v>
      </c>
      <c r="G808" s="60" t="s">
        <v>3812</v>
      </c>
      <c r="H808" s="61">
        <v>3.579140305E8</v>
      </c>
      <c r="I808" s="58" t="s">
        <v>2365</v>
      </c>
      <c r="J808" s="58" t="s">
        <v>3676</v>
      </c>
      <c r="K808" s="58"/>
      <c r="L808" s="58" t="s">
        <v>3321</v>
      </c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58"/>
      <c r="B809" s="59" t="s">
        <v>3813</v>
      </c>
      <c r="C809" s="60" t="s">
        <v>3671</v>
      </c>
      <c r="D809" s="60" t="s">
        <v>3814</v>
      </c>
      <c r="E809" s="60" t="s">
        <v>3815</v>
      </c>
      <c r="F809" s="60" t="s">
        <v>3816</v>
      </c>
      <c r="G809" s="60" t="s">
        <v>3817</v>
      </c>
      <c r="H809" s="61">
        <v>9.503450886E7</v>
      </c>
      <c r="I809" s="58" t="s">
        <v>2365</v>
      </c>
      <c r="J809" s="58" t="s">
        <v>3676</v>
      </c>
      <c r="K809" s="58"/>
      <c r="L809" s="58" t="s">
        <v>3642</v>
      </c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58"/>
      <c r="B810" s="59" t="s">
        <v>3818</v>
      </c>
      <c r="C810" s="60" t="s">
        <v>3671</v>
      </c>
      <c r="D810" s="60" t="s">
        <v>3819</v>
      </c>
      <c r="E810" s="60" t="s">
        <v>3820</v>
      </c>
      <c r="F810" s="60" t="s">
        <v>3821</v>
      </c>
      <c r="G810" s="60" t="s">
        <v>3822</v>
      </c>
      <c r="H810" s="61">
        <v>7095097.1</v>
      </c>
      <c r="I810" s="58" t="s">
        <v>2365</v>
      </c>
      <c r="J810" s="58" t="s">
        <v>3676</v>
      </c>
      <c r="K810" s="58"/>
      <c r="L810" s="58" t="s">
        <v>3797</v>
      </c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58"/>
      <c r="B811" s="59" t="s">
        <v>3823</v>
      </c>
      <c r="C811" s="60" t="s">
        <v>3671</v>
      </c>
      <c r="D811" s="60" t="s">
        <v>3824</v>
      </c>
      <c r="E811" s="60" t="s">
        <v>3825</v>
      </c>
      <c r="F811" s="60" t="s">
        <v>3826</v>
      </c>
      <c r="G811" s="60" t="s">
        <v>3827</v>
      </c>
      <c r="H811" s="61">
        <v>2.260191132E7</v>
      </c>
      <c r="I811" s="58" t="s">
        <v>2365</v>
      </c>
      <c r="J811" s="58" t="s">
        <v>3676</v>
      </c>
      <c r="K811" s="58"/>
      <c r="L811" s="58" t="s">
        <v>2373</v>
      </c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58"/>
      <c r="B812" s="59" t="s">
        <v>3828</v>
      </c>
      <c r="C812" s="60" t="s">
        <v>3671</v>
      </c>
      <c r="D812" s="60" t="s">
        <v>3829</v>
      </c>
      <c r="E812" s="60" t="s">
        <v>3830</v>
      </c>
      <c r="F812" s="60" t="s">
        <v>3831</v>
      </c>
      <c r="G812" s="60" t="s">
        <v>3832</v>
      </c>
      <c r="H812" s="61">
        <v>7.75532877E7</v>
      </c>
      <c r="I812" s="58" t="s">
        <v>2365</v>
      </c>
      <c r="J812" s="58" t="s">
        <v>3676</v>
      </c>
      <c r="K812" s="58"/>
      <c r="L812" s="58" t="s">
        <v>3321</v>
      </c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6"/>
      <c r="B813" s="62" t="s">
        <v>3833</v>
      </c>
      <c r="C813" s="63" t="s">
        <v>3671</v>
      </c>
      <c r="D813" s="63" t="s">
        <v>3834</v>
      </c>
      <c r="E813" s="63" t="s">
        <v>3835</v>
      </c>
      <c r="F813" s="63" t="s">
        <v>3836</v>
      </c>
      <c r="G813" s="63" t="s">
        <v>3837</v>
      </c>
      <c r="H813" s="64">
        <v>3.75586142694E9</v>
      </c>
      <c r="I813" s="6" t="s">
        <v>2365</v>
      </c>
      <c r="J813" s="6" t="s">
        <v>3676</v>
      </c>
      <c r="K813" s="6"/>
      <c r="L813" s="6" t="s">
        <v>3642</v>
      </c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2" t="s">
        <v>3838</v>
      </c>
      <c r="C814" s="63" t="s">
        <v>3671</v>
      </c>
      <c r="D814" s="63" t="s">
        <v>3839</v>
      </c>
      <c r="E814" s="63" t="s">
        <v>3840</v>
      </c>
      <c r="F814" s="63" t="s">
        <v>3841</v>
      </c>
      <c r="G814" s="63" t="s">
        <v>3842</v>
      </c>
      <c r="H814" s="64">
        <v>8.5732742588E8</v>
      </c>
      <c r="I814" s="6" t="s">
        <v>2365</v>
      </c>
      <c r="J814" s="6" t="s">
        <v>3676</v>
      </c>
      <c r="K814" s="6"/>
      <c r="L814" s="6" t="s">
        <v>2373</v>
      </c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2" t="s">
        <v>3843</v>
      </c>
      <c r="C815" s="63" t="s">
        <v>3671</v>
      </c>
      <c r="D815" s="63" t="s">
        <v>3844</v>
      </c>
      <c r="E815" s="63" t="s">
        <v>3845</v>
      </c>
      <c r="F815" s="63" t="s">
        <v>3846</v>
      </c>
      <c r="G815" s="63" t="s">
        <v>3847</v>
      </c>
      <c r="H815" s="64">
        <v>2.60488743296E9</v>
      </c>
      <c r="I815" s="6" t="s">
        <v>2365</v>
      </c>
      <c r="J815" s="6" t="s">
        <v>3676</v>
      </c>
      <c r="K815" s="6"/>
      <c r="L815" s="6" t="s">
        <v>3321</v>
      </c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58"/>
      <c r="B816" s="59" t="s">
        <v>3848</v>
      </c>
      <c r="C816" s="60" t="s">
        <v>3671</v>
      </c>
      <c r="D816" s="60" t="s">
        <v>3849</v>
      </c>
      <c r="E816" s="60" t="s">
        <v>3850</v>
      </c>
      <c r="F816" s="60" t="s">
        <v>3851</v>
      </c>
      <c r="G816" s="60" t="s">
        <v>3852</v>
      </c>
      <c r="H816" s="61">
        <v>3.07867716E7</v>
      </c>
      <c r="I816" s="58" t="s">
        <v>2365</v>
      </c>
      <c r="J816" s="58" t="s">
        <v>3676</v>
      </c>
      <c r="K816" s="58"/>
      <c r="L816" s="58" t="s">
        <v>3642</v>
      </c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58"/>
      <c r="B817" s="59" t="s">
        <v>3853</v>
      </c>
      <c r="C817" s="60" t="s">
        <v>3671</v>
      </c>
      <c r="D817" s="60" t="s">
        <v>3854</v>
      </c>
      <c r="E817" s="60" t="s">
        <v>3855</v>
      </c>
      <c r="F817" s="60" t="s">
        <v>3856</v>
      </c>
      <c r="G817" s="60" t="s">
        <v>3857</v>
      </c>
      <c r="H817" s="61">
        <v>1.109275524E7</v>
      </c>
      <c r="I817" s="58" t="s">
        <v>2365</v>
      </c>
      <c r="J817" s="58" t="s">
        <v>3676</v>
      </c>
      <c r="K817" s="58"/>
      <c r="L817" s="58" t="s">
        <v>3321</v>
      </c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58"/>
      <c r="B818" s="59" t="s">
        <v>3858</v>
      </c>
      <c r="C818" s="60" t="s">
        <v>3671</v>
      </c>
      <c r="D818" s="60" t="s">
        <v>3859</v>
      </c>
      <c r="E818" s="60" t="s">
        <v>3860</v>
      </c>
      <c r="F818" s="60" t="s">
        <v>3861</v>
      </c>
      <c r="G818" s="60" t="s">
        <v>3862</v>
      </c>
      <c r="H818" s="61">
        <v>1.6059064212E8</v>
      </c>
      <c r="I818" s="58" t="s">
        <v>2365</v>
      </c>
      <c r="J818" s="58" t="s">
        <v>3676</v>
      </c>
      <c r="K818" s="58"/>
      <c r="L818" s="58" t="s">
        <v>3642</v>
      </c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58"/>
      <c r="B819" s="59" t="s">
        <v>3863</v>
      </c>
      <c r="C819" s="60" t="s">
        <v>3671</v>
      </c>
      <c r="D819" s="60" t="s">
        <v>3864</v>
      </c>
      <c r="E819" s="60" t="s">
        <v>3865</v>
      </c>
      <c r="F819" s="60" t="s">
        <v>3866</v>
      </c>
      <c r="G819" s="60" t="s">
        <v>3867</v>
      </c>
      <c r="H819" s="61">
        <v>8554012.85</v>
      </c>
      <c r="I819" s="58" t="s">
        <v>2365</v>
      </c>
      <c r="J819" s="58" t="s">
        <v>3676</v>
      </c>
      <c r="K819" s="58"/>
      <c r="L819" s="58" t="s">
        <v>2373</v>
      </c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58"/>
      <c r="B820" s="59" t="s">
        <v>3868</v>
      </c>
      <c r="C820" s="60" t="s">
        <v>3671</v>
      </c>
      <c r="D820" s="60" t="s">
        <v>3869</v>
      </c>
      <c r="E820" s="60" t="s">
        <v>3870</v>
      </c>
      <c r="F820" s="60" t="s">
        <v>3871</v>
      </c>
      <c r="G820" s="60" t="s">
        <v>3872</v>
      </c>
      <c r="H820" s="61">
        <v>1.8174197372E8</v>
      </c>
      <c r="I820" s="58" t="s">
        <v>2365</v>
      </c>
      <c r="J820" s="58" t="s">
        <v>3676</v>
      </c>
      <c r="K820" s="58"/>
      <c r="L820" s="58" t="s">
        <v>3321</v>
      </c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58"/>
      <c r="B821" s="59" t="s">
        <v>3873</v>
      </c>
      <c r="C821" s="60" t="s">
        <v>3671</v>
      </c>
      <c r="D821" s="60" t="s">
        <v>3874</v>
      </c>
      <c r="E821" s="60" t="s">
        <v>3875</v>
      </c>
      <c r="F821" s="60" t="s">
        <v>3876</v>
      </c>
      <c r="G821" s="60" t="s">
        <v>3877</v>
      </c>
      <c r="H821" s="61">
        <v>6.238064592E7</v>
      </c>
      <c r="I821" s="58" t="s">
        <v>2365</v>
      </c>
      <c r="J821" s="58" t="s">
        <v>3676</v>
      </c>
      <c r="K821" s="58"/>
      <c r="L821" s="58" t="s">
        <v>3642</v>
      </c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58"/>
      <c r="B822" s="59" t="s">
        <v>3878</v>
      </c>
      <c r="C822" s="60" t="s">
        <v>3671</v>
      </c>
      <c r="D822" s="60" t="s">
        <v>3879</v>
      </c>
      <c r="E822" s="60" t="s">
        <v>3880</v>
      </c>
      <c r="F822" s="60" t="s">
        <v>3881</v>
      </c>
      <c r="G822" s="60" t="s">
        <v>3882</v>
      </c>
      <c r="H822" s="61">
        <v>1377831.0</v>
      </c>
      <c r="I822" s="58" t="s">
        <v>2365</v>
      </c>
      <c r="J822" s="58" t="s">
        <v>3676</v>
      </c>
      <c r="K822" s="58"/>
      <c r="L822" s="58" t="s">
        <v>2373</v>
      </c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58"/>
      <c r="B823" s="59" t="s">
        <v>3883</v>
      </c>
      <c r="C823" s="60" t="s">
        <v>3671</v>
      </c>
      <c r="D823" s="60" t="s">
        <v>3884</v>
      </c>
      <c r="E823" s="60" t="s">
        <v>3885</v>
      </c>
      <c r="F823" s="60" t="s">
        <v>3886</v>
      </c>
      <c r="G823" s="60" t="s">
        <v>3887</v>
      </c>
      <c r="H823" s="61">
        <v>6.344828604E7</v>
      </c>
      <c r="I823" s="58" t="s">
        <v>2365</v>
      </c>
      <c r="J823" s="58" t="s">
        <v>3676</v>
      </c>
      <c r="K823" s="58"/>
      <c r="L823" s="58" t="s">
        <v>3642</v>
      </c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58"/>
      <c r="B824" s="59" t="s">
        <v>3888</v>
      </c>
      <c r="C824" s="60" t="s">
        <v>3671</v>
      </c>
      <c r="D824" s="60" t="s">
        <v>3889</v>
      </c>
      <c r="E824" s="60" t="s">
        <v>3890</v>
      </c>
      <c r="F824" s="60" t="s">
        <v>3891</v>
      </c>
      <c r="G824" s="60" t="s">
        <v>3892</v>
      </c>
      <c r="H824" s="61">
        <v>5307966.16</v>
      </c>
      <c r="I824" s="58" t="s">
        <v>2365</v>
      </c>
      <c r="J824" s="58" t="s">
        <v>3676</v>
      </c>
      <c r="K824" s="58"/>
      <c r="L824" s="58" t="s">
        <v>2373</v>
      </c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58"/>
      <c r="B825" s="59" t="s">
        <v>3893</v>
      </c>
      <c r="C825" s="60" t="s">
        <v>3671</v>
      </c>
      <c r="D825" s="60" t="s">
        <v>3894</v>
      </c>
      <c r="E825" s="60" t="s">
        <v>3895</v>
      </c>
      <c r="F825" s="60" t="s">
        <v>3896</v>
      </c>
      <c r="G825" s="60" t="s">
        <v>3897</v>
      </c>
      <c r="H825" s="61">
        <v>5512170.72</v>
      </c>
      <c r="I825" s="58" t="s">
        <v>2365</v>
      </c>
      <c r="J825" s="58" t="s">
        <v>3676</v>
      </c>
      <c r="K825" s="58"/>
      <c r="L825" s="58" t="s">
        <v>3321</v>
      </c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58"/>
      <c r="B826" s="59" t="s">
        <v>3898</v>
      </c>
      <c r="C826" s="60" t="s">
        <v>3671</v>
      </c>
      <c r="D826" s="60" t="s">
        <v>3899</v>
      </c>
      <c r="E826" s="60" t="s">
        <v>3900</v>
      </c>
      <c r="F826" s="60" t="s">
        <v>3901</v>
      </c>
      <c r="G826" s="60" t="s">
        <v>3902</v>
      </c>
      <c r="H826" s="61">
        <v>2.7330072372E8</v>
      </c>
      <c r="I826" s="58" t="s">
        <v>2365</v>
      </c>
      <c r="J826" s="58" t="s">
        <v>3676</v>
      </c>
      <c r="K826" s="58"/>
      <c r="L826" s="58" t="s">
        <v>3642</v>
      </c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58"/>
      <c r="B827" s="59" t="s">
        <v>3903</v>
      </c>
      <c r="C827" s="60" t="s">
        <v>3671</v>
      </c>
      <c r="D827" s="60" t="s">
        <v>3904</v>
      </c>
      <c r="E827" s="60" t="s">
        <v>3905</v>
      </c>
      <c r="F827" s="60" t="s">
        <v>3906</v>
      </c>
      <c r="G827" s="60" t="s">
        <v>3907</v>
      </c>
      <c r="H827" s="61">
        <v>1.895610766E7</v>
      </c>
      <c r="I827" s="58" t="s">
        <v>2365</v>
      </c>
      <c r="J827" s="58" t="s">
        <v>3676</v>
      </c>
      <c r="K827" s="58"/>
      <c r="L827" s="58" t="s">
        <v>2373</v>
      </c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58"/>
      <c r="B828" s="59" t="s">
        <v>3908</v>
      </c>
      <c r="C828" s="60" t="s">
        <v>3671</v>
      </c>
      <c r="D828" s="60" t="s">
        <v>3909</v>
      </c>
      <c r="E828" s="60" t="s">
        <v>3910</v>
      </c>
      <c r="F828" s="60" t="s">
        <v>3911</v>
      </c>
      <c r="G828" s="60" t="s">
        <v>3912</v>
      </c>
      <c r="H828" s="61">
        <v>5.710578798E7</v>
      </c>
      <c r="I828" s="58" t="s">
        <v>2365</v>
      </c>
      <c r="J828" s="58" t="s">
        <v>3676</v>
      </c>
      <c r="K828" s="58"/>
      <c r="L828" s="58" t="s">
        <v>3321</v>
      </c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58"/>
      <c r="B829" s="59" t="s">
        <v>3913</v>
      </c>
      <c r="C829" s="60" t="s">
        <v>3671</v>
      </c>
      <c r="D829" s="60" t="s">
        <v>3914</v>
      </c>
      <c r="E829" s="60" t="s">
        <v>3915</v>
      </c>
      <c r="F829" s="60" t="s">
        <v>3916</v>
      </c>
      <c r="G829" s="60" t="s">
        <v>3917</v>
      </c>
      <c r="H829" s="61">
        <v>1.4513070204E8</v>
      </c>
      <c r="I829" s="58" t="s">
        <v>2365</v>
      </c>
      <c r="J829" s="58" t="s">
        <v>3676</v>
      </c>
      <c r="K829" s="58"/>
      <c r="L829" s="58" t="s">
        <v>3642</v>
      </c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58"/>
      <c r="B830" s="59" t="s">
        <v>3918</v>
      </c>
      <c r="C830" s="60" t="s">
        <v>3671</v>
      </c>
      <c r="D830" s="60" t="s">
        <v>3919</v>
      </c>
      <c r="E830" s="60" t="s">
        <v>3920</v>
      </c>
      <c r="F830" s="60" t="s">
        <v>3921</v>
      </c>
      <c r="G830" s="60" t="s">
        <v>3922</v>
      </c>
      <c r="H830" s="61">
        <v>1.729277718E7</v>
      </c>
      <c r="I830" s="58" t="s">
        <v>2365</v>
      </c>
      <c r="J830" s="58" t="s">
        <v>3676</v>
      </c>
      <c r="K830" s="58"/>
      <c r="L830" s="58" t="s">
        <v>2373</v>
      </c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58"/>
      <c r="B831" s="59" t="s">
        <v>3923</v>
      </c>
      <c r="C831" s="60" t="s">
        <v>3671</v>
      </c>
      <c r="D831" s="60" t="s">
        <v>3924</v>
      </c>
      <c r="E831" s="60" t="s">
        <v>3925</v>
      </c>
      <c r="F831" s="60" t="s">
        <v>3926</v>
      </c>
      <c r="G831" s="60" t="s">
        <v>3927</v>
      </c>
      <c r="H831" s="61">
        <v>8.12402118E7</v>
      </c>
      <c r="I831" s="58" t="s">
        <v>2365</v>
      </c>
      <c r="J831" s="58" t="s">
        <v>3676</v>
      </c>
      <c r="K831" s="58"/>
      <c r="L831" s="58" t="s">
        <v>3321</v>
      </c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58"/>
      <c r="B832" s="59" t="s">
        <v>3928</v>
      </c>
      <c r="C832" s="60" t="s">
        <v>3671</v>
      </c>
      <c r="D832" s="60" t="s">
        <v>3929</v>
      </c>
      <c r="E832" s="60" t="s">
        <v>3930</v>
      </c>
      <c r="F832" s="60" t="s">
        <v>3931</v>
      </c>
      <c r="G832" s="60" t="s">
        <v>3932</v>
      </c>
      <c r="H832" s="61">
        <v>2.3872507992E8</v>
      </c>
      <c r="I832" s="58" t="s">
        <v>2365</v>
      </c>
      <c r="J832" s="58" t="s">
        <v>3676</v>
      </c>
      <c r="K832" s="58"/>
      <c r="L832" s="58" t="s">
        <v>3642</v>
      </c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58"/>
      <c r="B833" s="59" t="s">
        <v>3933</v>
      </c>
      <c r="C833" s="60" t="s">
        <v>3671</v>
      </c>
      <c r="D833" s="60" t="s">
        <v>3934</v>
      </c>
      <c r="E833" s="60" t="s">
        <v>3935</v>
      </c>
      <c r="F833" s="60" t="s">
        <v>3936</v>
      </c>
      <c r="G833" s="60" t="s">
        <v>3937</v>
      </c>
      <c r="H833" s="61">
        <v>2.66492821E7</v>
      </c>
      <c r="I833" s="58" t="s">
        <v>2365</v>
      </c>
      <c r="J833" s="58" t="s">
        <v>3676</v>
      </c>
      <c r="K833" s="58"/>
      <c r="L833" s="58" t="s">
        <v>2373</v>
      </c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58"/>
      <c r="B834" s="59" t="s">
        <v>3938</v>
      </c>
      <c r="C834" s="60" t="s">
        <v>3671</v>
      </c>
      <c r="D834" s="60" t="s">
        <v>3939</v>
      </c>
      <c r="E834" s="60" t="s">
        <v>3940</v>
      </c>
      <c r="F834" s="60" t="s">
        <v>3941</v>
      </c>
      <c r="G834" s="60" t="s">
        <v>3942</v>
      </c>
      <c r="H834" s="61">
        <v>1.401376812E8</v>
      </c>
      <c r="I834" s="58" t="s">
        <v>2365</v>
      </c>
      <c r="J834" s="58" t="s">
        <v>3676</v>
      </c>
      <c r="K834" s="58"/>
      <c r="L834" s="58" t="s">
        <v>3321</v>
      </c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58"/>
      <c r="B835" s="59" t="s">
        <v>3943</v>
      </c>
      <c r="C835" s="60" t="s">
        <v>3671</v>
      </c>
      <c r="D835" s="60" t="s">
        <v>3944</v>
      </c>
      <c r="E835" s="60" t="s">
        <v>3945</v>
      </c>
      <c r="F835" s="60" t="s">
        <v>3946</v>
      </c>
      <c r="G835" s="60" t="s">
        <v>3947</v>
      </c>
      <c r="H835" s="61">
        <v>1.51542716E7</v>
      </c>
      <c r="I835" s="58" t="s">
        <v>2365</v>
      </c>
      <c r="J835" s="58" t="s">
        <v>3676</v>
      </c>
      <c r="K835" s="58"/>
      <c r="L835" s="58" t="s">
        <v>3642</v>
      </c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58"/>
      <c r="B836" s="59" t="s">
        <v>3948</v>
      </c>
      <c r="C836" s="60" t="s">
        <v>3671</v>
      </c>
      <c r="D836" s="60" t="s">
        <v>3949</v>
      </c>
      <c r="E836" s="60" t="s">
        <v>3950</v>
      </c>
      <c r="F836" s="60" t="s">
        <v>3951</v>
      </c>
      <c r="G836" s="60" t="s">
        <v>3952</v>
      </c>
      <c r="H836" s="61">
        <v>2.1151561268E8</v>
      </c>
      <c r="I836" s="58" t="s">
        <v>2365</v>
      </c>
      <c r="J836" s="58" t="s">
        <v>3676</v>
      </c>
      <c r="K836" s="58"/>
      <c r="L836" s="58" t="s">
        <v>3642</v>
      </c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58"/>
      <c r="B837" s="59" t="s">
        <v>3953</v>
      </c>
      <c r="C837" s="60" t="s">
        <v>3671</v>
      </c>
      <c r="D837" s="60" t="s">
        <v>3954</v>
      </c>
      <c r="E837" s="60" t="s">
        <v>3955</v>
      </c>
      <c r="F837" s="60" t="s">
        <v>3956</v>
      </c>
      <c r="G837" s="60" t="s">
        <v>3957</v>
      </c>
      <c r="H837" s="61">
        <v>7.081230048E7</v>
      </c>
      <c r="I837" s="58" t="s">
        <v>2365</v>
      </c>
      <c r="J837" s="58" t="s">
        <v>3676</v>
      </c>
      <c r="K837" s="58"/>
      <c r="L837" s="58" t="s">
        <v>2373</v>
      </c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58"/>
      <c r="B838" s="59" t="s">
        <v>3958</v>
      </c>
      <c r="C838" s="60" t="s">
        <v>3671</v>
      </c>
      <c r="D838" s="60" t="s">
        <v>3959</v>
      </c>
      <c r="E838" s="60" t="s">
        <v>3960</v>
      </c>
      <c r="F838" s="60" t="s">
        <v>3961</v>
      </c>
      <c r="G838" s="60" t="s">
        <v>3962</v>
      </c>
      <c r="H838" s="61">
        <v>1.2677965776E8</v>
      </c>
      <c r="I838" s="58" t="s">
        <v>2365</v>
      </c>
      <c r="J838" s="58" t="s">
        <v>3676</v>
      </c>
      <c r="K838" s="58"/>
      <c r="L838" s="58" t="s">
        <v>3321</v>
      </c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58"/>
      <c r="B839" s="59" t="s">
        <v>3963</v>
      </c>
      <c r="C839" s="60" t="s">
        <v>3671</v>
      </c>
      <c r="D839" s="60" t="s">
        <v>3964</v>
      </c>
      <c r="E839" s="60" t="s">
        <v>3965</v>
      </c>
      <c r="F839" s="60" t="s">
        <v>3966</v>
      </c>
      <c r="G839" s="60" t="s">
        <v>3967</v>
      </c>
      <c r="H839" s="61">
        <v>7501468.0</v>
      </c>
      <c r="I839" s="58" t="s">
        <v>2365</v>
      </c>
      <c r="J839" s="58" t="s">
        <v>3676</v>
      </c>
      <c r="K839" s="58"/>
      <c r="L839" s="58" t="s">
        <v>3642</v>
      </c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58"/>
      <c r="B840" s="59" t="s">
        <v>3968</v>
      </c>
      <c r="C840" s="60" t="s">
        <v>3671</v>
      </c>
      <c r="D840" s="60" t="s">
        <v>3969</v>
      </c>
      <c r="E840" s="60" t="s">
        <v>3970</v>
      </c>
      <c r="F840" s="60" t="s">
        <v>3971</v>
      </c>
      <c r="G840" s="60" t="s">
        <v>3972</v>
      </c>
      <c r="H840" s="61">
        <v>1.14059652E7</v>
      </c>
      <c r="I840" s="58" t="s">
        <v>2365</v>
      </c>
      <c r="J840" s="58" t="s">
        <v>3676</v>
      </c>
      <c r="K840" s="58"/>
      <c r="L840" s="58" t="s">
        <v>3321</v>
      </c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58"/>
      <c r="B841" s="59" t="s">
        <v>3973</v>
      </c>
      <c r="C841" s="60" t="s">
        <v>3671</v>
      </c>
      <c r="D841" s="60" t="s">
        <v>3974</v>
      </c>
      <c r="E841" s="60" t="s">
        <v>3975</v>
      </c>
      <c r="F841" s="60" t="s">
        <v>3976</v>
      </c>
      <c r="G841" s="60" t="s">
        <v>3977</v>
      </c>
      <c r="H841" s="61">
        <v>2.5565072E7</v>
      </c>
      <c r="I841" s="58" t="s">
        <v>2365</v>
      </c>
      <c r="J841" s="58" t="s">
        <v>3676</v>
      </c>
      <c r="K841" s="58"/>
      <c r="L841" s="58" t="s">
        <v>3642</v>
      </c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58"/>
      <c r="B842" s="59" t="s">
        <v>3978</v>
      </c>
      <c r="C842" s="60" t="s">
        <v>3671</v>
      </c>
      <c r="D842" s="60" t="s">
        <v>3979</v>
      </c>
      <c r="E842" s="60" t="s">
        <v>3980</v>
      </c>
      <c r="F842" s="60" t="s">
        <v>3981</v>
      </c>
      <c r="G842" s="60" t="s">
        <v>3982</v>
      </c>
      <c r="H842" s="61">
        <v>1.860333216E7</v>
      </c>
      <c r="I842" s="58" t="s">
        <v>2365</v>
      </c>
      <c r="J842" s="58" t="s">
        <v>3676</v>
      </c>
      <c r="K842" s="58"/>
      <c r="L842" s="58" t="s">
        <v>3321</v>
      </c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58"/>
      <c r="B843" s="59" t="s">
        <v>3983</v>
      </c>
      <c r="C843" s="60" t="s">
        <v>3671</v>
      </c>
      <c r="D843" s="60" t="s">
        <v>3984</v>
      </c>
      <c r="E843" s="60" t="s">
        <v>3985</v>
      </c>
      <c r="F843" s="60" t="s">
        <v>3986</v>
      </c>
      <c r="G843" s="60" t="s">
        <v>3987</v>
      </c>
      <c r="H843" s="61">
        <v>1692210.45</v>
      </c>
      <c r="I843" s="58" t="s">
        <v>2365</v>
      </c>
      <c r="J843" s="58" t="s">
        <v>3676</v>
      </c>
      <c r="K843" s="58"/>
      <c r="L843" s="58" t="s">
        <v>3321</v>
      </c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58"/>
      <c r="B844" s="59" t="s">
        <v>3988</v>
      </c>
      <c r="C844" s="60" t="s">
        <v>3671</v>
      </c>
      <c r="D844" s="60" t="s">
        <v>3989</v>
      </c>
      <c r="E844" s="60" t="s">
        <v>3990</v>
      </c>
      <c r="F844" s="60" t="s">
        <v>3991</v>
      </c>
      <c r="G844" s="60" t="s">
        <v>3992</v>
      </c>
      <c r="H844" s="61">
        <v>3592591.6</v>
      </c>
      <c r="I844" s="58" t="s">
        <v>2365</v>
      </c>
      <c r="J844" s="58" t="s">
        <v>3676</v>
      </c>
      <c r="K844" s="58"/>
      <c r="L844" s="58" t="s">
        <v>3642</v>
      </c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58"/>
      <c r="B845" s="59" t="s">
        <v>3993</v>
      </c>
      <c r="C845" s="60" t="s">
        <v>3671</v>
      </c>
      <c r="D845" s="60" t="s">
        <v>3994</v>
      </c>
      <c r="E845" s="60" t="s">
        <v>3995</v>
      </c>
      <c r="F845" s="60" t="s">
        <v>3996</v>
      </c>
      <c r="G845" s="60" t="s">
        <v>3997</v>
      </c>
      <c r="H845" s="61">
        <v>8.136972438E7</v>
      </c>
      <c r="I845" s="58" t="s">
        <v>2365</v>
      </c>
      <c r="J845" s="58" t="s">
        <v>3676</v>
      </c>
      <c r="K845" s="58"/>
      <c r="L845" s="58" t="s">
        <v>3642</v>
      </c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58"/>
      <c r="B846" s="59" t="s">
        <v>3998</v>
      </c>
      <c r="C846" s="60" t="s">
        <v>3671</v>
      </c>
      <c r="D846" s="60" t="s">
        <v>3999</v>
      </c>
      <c r="E846" s="60" t="s">
        <v>4000</v>
      </c>
      <c r="F846" s="60" t="s">
        <v>4001</v>
      </c>
      <c r="G846" s="60" t="s">
        <v>4002</v>
      </c>
      <c r="H846" s="61">
        <v>1.165391892E7</v>
      </c>
      <c r="I846" s="58" t="s">
        <v>2365</v>
      </c>
      <c r="J846" s="58" t="s">
        <v>3676</v>
      </c>
      <c r="K846" s="58"/>
      <c r="L846" s="58" t="s">
        <v>2373</v>
      </c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58"/>
      <c r="B847" s="59" t="s">
        <v>4003</v>
      </c>
      <c r="C847" s="60" t="s">
        <v>3671</v>
      </c>
      <c r="D847" s="60" t="s">
        <v>4004</v>
      </c>
      <c r="E847" s="60" t="s">
        <v>4005</v>
      </c>
      <c r="F847" s="60" t="s">
        <v>4006</v>
      </c>
      <c r="G847" s="60" t="s">
        <v>4007</v>
      </c>
      <c r="H847" s="61">
        <v>2.1514623462E8</v>
      </c>
      <c r="I847" s="58" t="s">
        <v>2365</v>
      </c>
      <c r="J847" s="58" t="s">
        <v>3676</v>
      </c>
      <c r="K847" s="58"/>
      <c r="L847" s="58" t="s">
        <v>3642</v>
      </c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58"/>
      <c r="B848" s="59" t="s">
        <v>4008</v>
      </c>
      <c r="C848" s="60" t="s">
        <v>3671</v>
      </c>
      <c r="D848" s="60" t="s">
        <v>4009</v>
      </c>
      <c r="E848" s="60" t="s">
        <v>4010</v>
      </c>
      <c r="F848" s="60" t="s">
        <v>4011</v>
      </c>
      <c r="G848" s="60" t="s">
        <v>4012</v>
      </c>
      <c r="H848" s="61">
        <v>2.165976743E7</v>
      </c>
      <c r="I848" s="58" t="s">
        <v>2365</v>
      </c>
      <c r="J848" s="58" t="s">
        <v>3676</v>
      </c>
      <c r="K848" s="58"/>
      <c r="L848" s="58" t="s">
        <v>2373</v>
      </c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58"/>
      <c r="B849" s="59" t="s">
        <v>4013</v>
      </c>
      <c r="C849" s="60" t="s">
        <v>3671</v>
      </c>
      <c r="D849" s="60" t="s">
        <v>4014</v>
      </c>
      <c r="E849" s="60" t="s">
        <v>4015</v>
      </c>
      <c r="F849" s="60" t="s">
        <v>4016</v>
      </c>
      <c r="G849" s="60" t="s">
        <v>4017</v>
      </c>
      <c r="H849" s="61">
        <v>1.7810157278E8</v>
      </c>
      <c r="I849" s="58" t="s">
        <v>2365</v>
      </c>
      <c r="J849" s="58" t="s">
        <v>3676</v>
      </c>
      <c r="K849" s="58"/>
      <c r="L849" s="58" t="s">
        <v>3321</v>
      </c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58"/>
      <c r="B850" s="59" t="s">
        <v>4018</v>
      </c>
      <c r="C850" s="60" t="s">
        <v>3671</v>
      </c>
      <c r="D850" s="60" t="s">
        <v>4019</v>
      </c>
      <c r="E850" s="60" t="s">
        <v>4020</v>
      </c>
      <c r="F850" s="60" t="s">
        <v>4021</v>
      </c>
      <c r="G850" s="60" t="s">
        <v>4022</v>
      </c>
      <c r="H850" s="61">
        <v>7.997130328E7</v>
      </c>
      <c r="I850" s="58" t="s">
        <v>2365</v>
      </c>
      <c r="J850" s="58" t="s">
        <v>3676</v>
      </c>
      <c r="K850" s="58"/>
      <c r="L850" s="58" t="s">
        <v>3642</v>
      </c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58"/>
      <c r="B851" s="59" t="s">
        <v>4023</v>
      </c>
      <c r="C851" s="60" t="s">
        <v>3671</v>
      </c>
      <c r="D851" s="60" t="s">
        <v>4024</v>
      </c>
      <c r="E851" s="60" t="s">
        <v>4025</v>
      </c>
      <c r="F851" s="60" t="s">
        <v>4026</v>
      </c>
      <c r="G851" s="60" t="s">
        <v>4027</v>
      </c>
      <c r="H851" s="61">
        <v>6277649.48</v>
      </c>
      <c r="I851" s="58" t="s">
        <v>2365</v>
      </c>
      <c r="J851" s="58" t="s">
        <v>3676</v>
      </c>
      <c r="K851" s="58"/>
      <c r="L851" s="58" t="s">
        <v>2373</v>
      </c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58"/>
      <c r="B852" s="59" t="s">
        <v>4028</v>
      </c>
      <c r="C852" s="60" t="s">
        <v>3671</v>
      </c>
      <c r="D852" s="60" t="s">
        <v>4029</v>
      </c>
      <c r="E852" s="60" t="s">
        <v>4030</v>
      </c>
      <c r="F852" s="60" t="s">
        <v>4031</v>
      </c>
      <c r="G852" s="60" t="s">
        <v>4032</v>
      </c>
      <c r="H852" s="61">
        <v>1.841533064E7</v>
      </c>
      <c r="I852" s="58" t="s">
        <v>2365</v>
      </c>
      <c r="J852" s="58" t="s">
        <v>3676</v>
      </c>
      <c r="K852" s="58"/>
      <c r="L852" s="58" t="s">
        <v>3321</v>
      </c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58"/>
      <c r="B853" s="59" t="s">
        <v>4033</v>
      </c>
      <c r="C853" s="60" t="s">
        <v>3671</v>
      </c>
      <c r="D853" s="60" t="s">
        <v>4034</v>
      </c>
      <c r="E853" s="60" t="s">
        <v>4035</v>
      </c>
      <c r="F853" s="60" t="s">
        <v>4036</v>
      </c>
      <c r="G853" s="60" t="s">
        <v>4037</v>
      </c>
      <c r="H853" s="61">
        <v>1.1331169596E8</v>
      </c>
      <c r="I853" s="58" t="s">
        <v>2365</v>
      </c>
      <c r="J853" s="58" t="s">
        <v>3676</v>
      </c>
      <c r="K853" s="58"/>
      <c r="L853" s="58" t="s">
        <v>3642</v>
      </c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58"/>
      <c r="B854" s="59" t="s">
        <v>4038</v>
      </c>
      <c r="C854" s="60" t="s">
        <v>3671</v>
      </c>
      <c r="D854" s="60" t="s">
        <v>4039</v>
      </c>
      <c r="E854" s="60" t="s">
        <v>4040</v>
      </c>
      <c r="F854" s="60" t="s">
        <v>4041</v>
      </c>
      <c r="G854" s="60" t="s">
        <v>4042</v>
      </c>
      <c r="H854" s="61">
        <v>4.547274552E7</v>
      </c>
      <c r="I854" s="58" t="s">
        <v>2365</v>
      </c>
      <c r="J854" s="58" t="s">
        <v>3676</v>
      </c>
      <c r="K854" s="58"/>
      <c r="L854" s="58" t="s">
        <v>3321</v>
      </c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58"/>
      <c r="B855" s="59" t="s">
        <v>4043</v>
      </c>
      <c r="C855" s="60" t="s">
        <v>3671</v>
      </c>
      <c r="D855" s="60" t="s">
        <v>4044</v>
      </c>
      <c r="E855" s="60" t="s">
        <v>4045</v>
      </c>
      <c r="F855" s="60" t="s">
        <v>4046</v>
      </c>
      <c r="G855" s="60" t="s">
        <v>4047</v>
      </c>
      <c r="H855" s="61">
        <v>1.921246092E8</v>
      </c>
      <c r="I855" s="58" t="s">
        <v>2365</v>
      </c>
      <c r="J855" s="58" t="s">
        <v>3676</v>
      </c>
      <c r="K855" s="58"/>
      <c r="L855" s="58" t="s">
        <v>3642</v>
      </c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58"/>
      <c r="B856" s="59" t="s">
        <v>4048</v>
      </c>
      <c r="C856" s="60" t="s">
        <v>3671</v>
      </c>
      <c r="D856" s="60" t="s">
        <v>4049</v>
      </c>
      <c r="E856" s="60" t="s">
        <v>4050</v>
      </c>
      <c r="F856" s="60" t="s">
        <v>4051</v>
      </c>
      <c r="G856" s="60" t="s">
        <v>4052</v>
      </c>
      <c r="H856" s="61">
        <v>1.6309046658E8</v>
      </c>
      <c r="I856" s="58" t="s">
        <v>2365</v>
      </c>
      <c r="J856" s="58" t="s">
        <v>3676</v>
      </c>
      <c r="K856" s="58"/>
      <c r="L856" s="58" t="s">
        <v>3321</v>
      </c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58"/>
      <c r="B857" s="59" t="s">
        <v>4053</v>
      </c>
      <c r="C857" s="60" t="s">
        <v>3671</v>
      </c>
      <c r="D857" s="60" t="s">
        <v>4054</v>
      </c>
      <c r="E857" s="60" t="s">
        <v>4055</v>
      </c>
      <c r="F857" s="60" t="s">
        <v>4056</v>
      </c>
      <c r="G857" s="60" t="s">
        <v>4057</v>
      </c>
      <c r="H857" s="61">
        <v>9.1133445E7</v>
      </c>
      <c r="I857" s="58" t="s">
        <v>2365</v>
      </c>
      <c r="J857" s="58" t="s">
        <v>3676</v>
      </c>
      <c r="K857" s="58"/>
      <c r="L857" s="58" t="s">
        <v>3642</v>
      </c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58"/>
      <c r="B858" s="59" t="s">
        <v>4058</v>
      </c>
      <c r="C858" s="60" t="s">
        <v>3671</v>
      </c>
      <c r="D858" s="60" t="s">
        <v>4059</v>
      </c>
      <c r="E858" s="60" t="s">
        <v>4060</v>
      </c>
      <c r="F858" s="60" t="s">
        <v>4061</v>
      </c>
      <c r="G858" s="60" t="s">
        <v>4062</v>
      </c>
      <c r="H858" s="61">
        <v>2263054.42</v>
      </c>
      <c r="I858" s="58" t="s">
        <v>2365</v>
      </c>
      <c r="J858" s="58" t="s">
        <v>3676</v>
      </c>
      <c r="K858" s="58"/>
      <c r="L858" s="58" t="s">
        <v>2373</v>
      </c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58"/>
      <c r="B859" s="59" t="s">
        <v>4063</v>
      </c>
      <c r="C859" s="60" t="s">
        <v>3671</v>
      </c>
      <c r="D859" s="60" t="s">
        <v>4064</v>
      </c>
      <c r="E859" s="60" t="s">
        <v>4065</v>
      </c>
      <c r="F859" s="60" t="s">
        <v>4066</v>
      </c>
      <c r="G859" s="60" t="s">
        <v>4067</v>
      </c>
      <c r="H859" s="61">
        <v>7.404178908E7</v>
      </c>
      <c r="I859" s="58" t="s">
        <v>2365</v>
      </c>
      <c r="J859" s="58" t="s">
        <v>3676</v>
      </c>
      <c r="K859" s="58"/>
      <c r="L859" s="58" t="s">
        <v>3321</v>
      </c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58"/>
      <c r="B860" s="59" t="s">
        <v>4068</v>
      </c>
      <c r="C860" s="60" t="s">
        <v>3671</v>
      </c>
      <c r="D860" s="60" t="s">
        <v>4069</v>
      </c>
      <c r="E860" s="60" t="s">
        <v>4070</v>
      </c>
      <c r="F860" s="60" t="s">
        <v>4071</v>
      </c>
      <c r="G860" s="60" t="s">
        <v>4072</v>
      </c>
      <c r="H860" s="61">
        <v>4375518.48</v>
      </c>
      <c r="I860" s="58" t="s">
        <v>2365</v>
      </c>
      <c r="J860" s="58" t="s">
        <v>3676</v>
      </c>
      <c r="K860" s="58"/>
      <c r="L860" s="58" t="s">
        <v>3642</v>
      </c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58"/>
      <c r="B861" s="59" t="s">
        <v>4073</v>
      </c>
      <c r="C861" s="60" t="s">
        <v>3671</v>
      </c>
      <c r="D861" s="60" t="s">
        <v>4074</v>
      </c>
      <c r="E861" s="60" t="s">
        <v>4075</v>
      </c>
      <c r="F861" s="60" t="s">
        <v>4076</v>
      </c>
      <c r="G861" s="60" t="s">
        <v>4077</v>
      </c>
      <c r="H861" s="61">
        <v>6483820.2</v>
      </c>
      <c r="I861" s="58" t="s">
        <v>2365</v>
      </c>
      <c r="J861" s="58" t="s">
        <v>3676</v>
      </c>
      <c r="K861" s="58"/>
      <c r="L861" s="58" t="s">
        <v>3321</v>
      </c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58"/>
      <c r="B862" s="59" t="s">
        <v>4078</v>
      </c>
      <c r="C862" s="60" t="s">
        <v>3671</v>
      </c>
      <c r="D862" s="60" t="s">
        <v>4079</v>
      </c>
      <c r="E862" s="60" t="s">
        <v>4080</v>
      </c>
      <c r="F862" s="60" t="s">
        <v>4081</v>
      </c>
      <c r="G862" s="60" t="s">
        <v>4082</v>
      </c>
      <c r="H862" s="61">
        <v>7.210417536E7</v>
      </c>
      <c r="I862" s="58" t="s">
        <v>2365</v>
      </c>
      <c r="J862" s="58" t="s">
        <v>3676</v>
      </c>
      <c r="K862" s="58"/>
      <c r="L862" s="58" t="s">
        <v>3642</v>
      </c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58"/>
      <c r="B863" s="59" t="s">
        <v>4083</v>
      </c>
      <c r="C863" s="60" t="s">
        <v>3671</v>
      </c>
      <c r="D863" s="60" t="s">
        <v>4084</v>
      </c>
      <c r="E863" s="60" t="s">
        <v>4085</v>
      </c>
      <c r="F863" s="60" t="s">
        <v>4086</v>
      </c>
      <c r="G863" s="60" t="s">
        <v>4087</v>
      </c>
      <c r="H863" s="61">
        <v>1.257147822E7</v>
      </c>
      <c r="I863" s="58" t="s">
        <v>2365</v>
      </c>
      <c r="J863" s="58" t="s">
        <v>3676</v>
      </c>
      <c r="K863" s="58"/>
      <c r="L863" s="58" t="s">
        <v>2373</v>
      </c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58"/>
      <c r="B864" s="59" t="s">
        <v>4088</v>
      </c>
      <c r="C864" s="60" t="s">
        <v>3671</v>
      </c>
      <c r="D864" s="60" t="s">
        <v>4089</v>
      </c>
      <c r="E864" s="60" t="s">
        <v>4090</v>
      </c>
      <c r="F864" s="60" t="s">
        <v>4091</v>
      </c>
      <c r="G864" s="60" t="s">
        <v>4092</v>
      </c>
      <c r="H864" s="61">
        <v>2.046186492E7</v>
      </c>
      <c r="I864" s="58" t="s">
        <v>2365</v>
      </c>
      <c r="J864" s="58" t="s">
        <v>3676</v>
      </c>
      <c r="K864" s="58"/>
      <c r="L864" s="58" t="s">
        <v>3321</v>
      </c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58"/>
      <c r="B865" s="59" t="s">
        <v>4093</v>
      </c>
      <c r="C865" s="60" t="s">
        <v>3671</v>
      </c>
      <c r="D865" s="60" t="s">
        <v>4094</v>
      </c>
      <c r="E865" s="60" t="s">
        <v>4095</v>
      </c>
      <c r="F865" s="60" t="s">
        <v>4096</v>
      </c>
      <c r="G865" s="60" t="s">
        <v>4097</v>
      </c>
      <c r="H865" s="61">
        <v>6.770734355E7</v>
      </c>
      <c r="I865" s="58" t="s">
        <v>2365</v>
      </c>
      <c r="J865" s="58" t="s">
        <v>3676</v>
      </c>
      <c r="K865" s="58"/>
      <c r="L865" s="58" t="s">
        <v>3642</v>
      </c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58"/>
      <c r="B866" s="59" t="s">
        <v>4098</v>
      </c>
      <c r="C866" s="60" t="s">
        <v>3671</v>
      </c>
      <c r="D866" s="60" t="s">
        <v>4099</v>
      </c>
      <c r="E866" s="60" t="s">
        <v>4100</v>
      </c>
      <c r="F866" s="60" t="s">
        <v>4101</v>
      </c>
      <c r="G866" s="60" t="s">
        <v>4102</v>
      </c>
      <c r="H866" s="61">
        <v>3260240.94</v>
      </c>
      <c r="I866" s="58" t="s">
        <v>2365</v>
      </c>
      <c r="J866" s="58" t="s">
        <v>3676</v>
      </c>
      <c r="K866" s="58"/>
      <c r="L866" s="58" t="s">
        <v>2373</v>
      </c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58"/>
      <c r="B867" s="59" t="s">
        <v>4103</v>
      </c>
      <c r="C867" s="60" t="s">
        <v>3671</v>
      </c>
      <c r="D867" s="60" t="s">
        <v>4104</v>
      </c>
      <c r="E867" s="60" t="s">
        <v>4105</v>
      </c>
      <c r="F867" s="60" t="s">
        <v>4106</v>
      </c>
      <c r="G867" s="60" t="s">
        <v>4107</v>
      </c>
      <c r="H867" s="61">
        <v>3.66473793E7</v>
      </c>
      <c r="I867" s="58" t="s">
        <v>2365</v>
      </c>
      <c r="J867" s="58" t="s">
        <v>3676</v>
      </c>
      <c r="K867" s="58"/>
      <c r="L867" s="58" t="s">
        <v>3321</v>
      </c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58"/>
      <c r="B868" s="59" t="s">
        <v>4108</v>
      </c>
      <c r="C868" s="60" t="s">
        <v>3671</v>
      </c>
      <c r="D868" s="60" t="s">
        <v>4109</v>
      </c>
      <c r="E868" s="60" t="s">
        <v>4110</v>
      </c>
      <c r="F868" s="60" t="s">
        <v>4111</v>
      </c>
      <c r="G868" s="60" t="s">
        <v>4112</v>
      </c>
      <c r="H868" s="61">
        <v>8976630.0</v>
      </c>
      <c r="I868" s="58" t="s">
        <v>2365</v>
      </c>
      <c r="J868" s="58" t="s">
        <v>3676</v>
      </c>
      <c r="K868" s="58"/>
      <c r="L868" s="58" t="s">
        <v>3642</v>
      </c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58"/>
      <c r="B869" s="59" t="s">
        <v>4113</v>
      </c>
      <c r="C869" s="60" t="s">
        <v>3671</v>
      </c>
      <c r="D869" s="60" t="s">
        <v>4114</v>
      </c>
      <c r="E869" s="60" t="s">
        <v>4115</v>
      </c>
      <c r="F869" s="60" t="s">
        <v>4116</v>
      </c>
      <c r="G869" s="60" t="s">
        <v>4117</v>
      </c>
      <c r="H869" s="61">
        <v>1.7911913172E8</v>
      </c>
      <c r="I869" s="58" t="s">
        <v>2365</v>
      </c>
      <c r="J869" s="58" t="s">
        <v>3676</v>
      </c>
      <c r="K869" s="58"/>
      <c r="L869" s="58" t="s">
        <v>3642</v>
      </c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58"/>
      <c r="B870" s="59" t="s">
        <v>4118</v>
      </c>
      <c r="C870" s="60" t="s">
        <v>3671</v>
      </c>
      <c r="D870" s="60" t="s">
        <v>4119</v>
      </c>
      <c r="E870" s="60" t="s">
        <v>4120</v>
      </c>
      <c r="F870" s="60" t="s">
        <v>4121</v>
      </c>
      <c r="G870" s="60" t="s">
        <v>4122</v>
      </c>
      <c r="H870" s="61">
        <v>1.87910149E7</v>
      </c>
      <c r="I870" s="58" t="s">
        <v>2365</v>
      </c>
      <c r="J870" s="58" t="s">
        <v>3676</v>
      </c>
      <c r="K870" s="58"/>
      <c r="L870" s="58" t="s">
        <v>2373</v>
      </c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58"/>
      <c r="B871" s="59" t="s">
        <v>4123</v>
      </c>
      <c r="C871" s="60" t="s">
        <v>3671</v>
      </c>
      <c r="D871" s="60" t="s">
        <v>4124</v>
      </c>
      <c r="E871" s="60" t="s">
        <v>4125</v>
      </c>
      <c r="F871" s="60" t="s">
        <v>4126</v>
      </c>
      <c r="G871" s="60" t="s">
        <v>4127</v>
      </c>
      <c r="H871" s="61">
        <v>1.2624657008E8</v>
      </c>
      <c r="I871" s="58" t="s">
        <v>2365</v>
      </c>
      <c r="J871" s="58" t="s">
        <v>3676</v>
      </c>
      <c r="K871" s="58"/>
      <c r="L871" s="58" t="s">
        <v>3321</v>
      </c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58"/>
      <c r="B872" s="59" t="s">
        <v>4128</v>
      </c>
      <c r="C872" s="60" t="s">
        <v>3671</v>
      </c>
      <c r="D872" s="60" t="s">
        <v>4129</v>
      </c>
      <c r="E872" s="60" t="s">
        <v>4130</v>
      </c>
      <c r="F872" s="60" t="s">
        <v>4131</v>
      </c>
      <c r="G872" s="60" t="s">
        <v>4132</v>
      </c>
      <c r="H872" s="61">
        <v>1.90801404E7</v>
      </c>
      <c r="I872" s="58" t="s">
        <v>2365</v>
      </c>
      <c r="J872" s="58" t="s">
        <v>3676</v>
      </c>
      <c r="K872" s="58"/>
      <c r="L872" s="58" t="s">
        <v>3642</v>
      </c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58"/>
      <c r="B873" s="59" t="s">
        <v>4133</v>
      </c>
      <c r="C873" s="60" t="s">
        <v>3671</v>
      </c>
      <c r="D873" s="60" t="s">
        <v>4134</v>
      </c>
      <c r="E873" s="60" t="s">
        <v>4135</v>
      </c>
      <c r="F873" s="60" t="s">
        <v>4136</v>
      </c>
      <c r="G873" s="60" t="s">
        <v>4137</v>
      </c>
      <c r="H873" s="61">
        <v>1472238.32</v>
      </c>
      <c r="I873" s="58" t="s">
        <v>2365</v>
      </c>
      <c r="J873" s="58" t="s">
        <v>3676</v>
      </c>
      <c r="K873" s="58"/>
      <c r="L873" s="58" t="s">
        <v>2373</v>
      </c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58"/>
      <c r="B874" s="59" t="s">
        <v>4138</v>
      </c>
      <c r="C874" s="60" t="s">
        <v>3671</v>
      </c>
      <c r="D874" s="60" t="s">
        <v>4139</v>
      </c>
      <c r="E874" s="60" t="s">
        <v>4140</v>
      </c>
      <c r="F874" s="60" t="s">
        <v>4141</v>
      </c>
      <c r="G874" s="60" t="s">
        <v>4142</v>
      </c>
      <c r="H874" s="61">
        <v>2.207169119E7</v>
      </c>
      <c r="I874" s="58" t="s">
        <v>2365</v>
      </c>
      <c r="J874" s="58" t="s">
        <v>3676</v>
      </c>
      <c r="K874" s="58"/>
      <c r="L874" s="58" t="s">
        <v>3321</v>
      </c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58"/>
      <c r="B875" s="59" t="s">
        <v>4143</v>
      </c>
      <c r="C875" s="60" t="s">
        <v>3671</v>
      </c>
      <c r="D875" s="60" t="s">
        <v>4144</v>
      </c>
      <c r="E875" s="60" t="s">
        <v>4145</v>
      </c>
      <c r="F875" s="60" t="s">
        <v>4146</v>
      </c>
      <c r="G875" s="60" t="s">
        <v>4147</v>
      </c>
      <c r="H875" s="61">
        <v>3.1832907212E8</v>
      </c>
      <c r="I875" s="58" t="s">
        <v>2365</v>
      </c>
      <c r="J875" s="58" t="s">
        <v>3676</v>
      </c>
      <c r="K875" s="58"/>
      <c r="L875" s="58" t="s">
        <v>3642</v>
      </c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58"/>
      <c r="B876" s="59" t="s">
        <v>4148</v>
      </c>
      <c r="C876" s="60" t="s">
        <v>3671</v>
      </c>
      <c r="D876" s="60" t="s">
        <v>4149</v>
      </c>
      <c r="E876" s="60" t="s">
        <v>4150</v>
      </c>
      <c r="F876" s="60" t="s">
        <v>4151</v>
      </c>
      <c r="G876" s="60" t="s">
        <v>4152</v>
      </c>
      <c r="H876" s="61">
        <v>8069696.18</v>
      </c>
      <c r="I876" s="58" t="s">
        <v>2365</v>
      </c>
      <c r="J876" s="58" t="s">
        <v>3676</v>
      </c>
      <c r="K876" s="58"/>
      <c r="L876" s="58" t="s">
        <v>3797</v>
      </c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58"/>
      <c r="B877" s="59" t="s">
        <v>4153</v>
      </c>
      <c r="C877" s="60" t="s">
        <v>3671</v>
      </c>
      <c r="D877" s="60" t="s">
        <v>4154</v>
      </c>
      <c r="E877" s="60" t="s">
        <v>4155</v>
      </c>
      <c r="F877" s="60" t="s">
        <v>4156</v>
      </c>
      <c r="G877" s="60" t="s">
        <v>4157</v>
      </c>
      <c r="H877" s="61">
        <v>1.846405118E8</v>
      </c>
      <c r="I877" s="58" t="s">
        <v>2365</v>
      </c>
      <c r="J877" s="58" t="s">
        <v>3676</v>
      </c>
      <c r="K877" s="58"/>
      <c r="L877" s="58" t="s">
        <v>2373</v>
      </c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58"/>
      <c r="B878" s="59" t="s">
        <v>4158</v>
      </c>
      <c r="C878" s="60" t="s">
        <v>3671</v>
      </c>
      <c r="D878" s="60" t="s">
        <v>4159</v>
      </c>
      <c r="E878" s="60" t="s">
        <v>4160</v>
      </c>
      <c r="F878" s="60" t="s">
        <v>4161</v>
      </c>
      <c r="G878" s="60" t="s">
        <v>4162</v>
      </c>
      <c r="H878" s="61">
        <v>1.3507793007E8</v>
      </c>
      <c r="I878" s="58" t="s">
        <v>2365</v>
      </c>
      <c r="J878" s="58" t="s">
        <v>3676</v>
      </c>
      <c r="K878" s="58"/>
      <c r="L878" s="58" t="s">
        <v>3321</v>
      </c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58"/>
      <c r="B879" s="59" t="s">
        <v>4163</v>
      </c>
      <c r="C879" s="60" t="s">
        <v>3671</v>
      </c>
      <c r="D879" s="60" t="s">
        <v>4164</v>
      </c>
      <c r="E879" s="60" t="s">
        <v>4165</v>
      </c>
      <c r="F879" s="60" t="s">
        <v>4166</v>
      </c>
      <c r="G879" s="60" t="s">
        <v>4167</v>
      </c>
      <c r="H879" s="61">
        <v>9.064242036E7</v>
      </c>
      <c r="I879" s="58" t="s">
        <v>2365</v>
      </c>
      <c r="J879" s="58" t="s">
        <v>3676</v>
      </c>
      <c r="K879" s="58"/>
      <c r="L879" s="58" t="s">
        <v>3642</v>
      </c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58"/>
      <c r="B880" s="59" t="s">
        <v>4168</v>
      </c>
      <c r="C880" s="60" t="s">
        <v>3671</v>
      </c>
      <c r="D880" s="60" t="s">
        <v>4169</v>
      </c>
      <c r="E880" s="60" t="s">
        <v>4170</v>
      </c>
      <c r="F880" s="60" t="s">
        <v>4171</v>
      </c>
      <c r="G880" s="60" t="s">
        <v>4172</v>
      </c>
      <c r="H880" s="61">
        <v>3136289.1</v>
      </c>
      <c r="I880" s="58" t="s">
        <v>2365</v>
      </c>
      <c r="J880" s="58" t="s">
        <v>3676</v>
      </c>
      <c r="K880" s="58"/>
      <c r="L880" s="58" t="s">
        <v>2373</v>
      </c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58"/>
      <c r="B881" s="59" t="s">
        <v>4173</v>
      </c>
      <c r="C881" s="60" t="s">
        <v>3671</v>
      </c>
      <c r="D881" s="60" t="s">
        <v>4174</v>
      </c>
      <c r="E881" s="60" t="s">
        <v>4175</v>
      </c>
      <c r="F881" s="60" t="s">
        <v>4176</v>
      </c>
      <c r="G881" s="60" t="s">
        <v>4177</v>
      </c>
      <c r="H881" s="61">
        <v>8.751719502E7</v>
      </c>
      <c r="I881" s="58" t="s">
        <v>2365</v>
      </c>
      <c r="J881" s="58" t="s">
        <v>3676</v>
      </c>
      <c r="K881" s="58"/>
      <c r="L881" s="58" t="s">
        <v>3321</v>
      </c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58"/>
      <c r="B882" s="59" t="s">
        <v>4178</v>
      </c>
      <c r="C882" s="60" t="s">
        <v>3671</v>
      </c>
      <c r="D882" s="60" t="s">
        <v>4179</v>
      </c>
      <c r="E882" s="60" t="s">
        <v>4180</v>
      </c>
      <c r="F882" s="60" t="s">
        <v>4181</v>
      </c>
      <c r="G882" s="60" t="s">
        <v>4182</v>
      </c>
      <c r="H882" s="61">
        <v>1.470275838E8</v>
      </c>
      <c r="I882" s="58" t="s">
        <v>2365</v>
      </c>
      <c r="J882" s="58" t="s">
        <v>3676</v>
      </c>
      <c r="K882" s="58"/>
      <c r="L882" s="58" t="s">
        <v>3642</v>
      </c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58"/>
      <c r="B883" s="59" t="s">
        <v>4183</v>
      </c>
      <c r="C883" s="60" t="s">
        <v>3671</v>
      </c>
      <c r="D883" s="60" t="s">
        <v>4184</v>
      </c>
      <c r="E883" s="60" t="s">
        <v>4185</v>
      </c>
      <c r="F883" s="60" t="s">
        <v>4186</v>
      </c>
      <c r="G883" s="60" t="s">
        <v>4187</v>
      </c>
      <c r="H883" s="61">
        <v>9176505.38</v>
      </c>
      <c r="I883" s="58" t="s">
        <v>2365</v>
      </c>
      <c r="J883" s="58" t="s">
        <v>3676</v>
      </c>
      <c r="K883" s="58"/>
      <c r="L883" s="58" t="s">
        <v>2373</v>
      </c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58"/>
      <c r="B884" s="59" t="s">
        <v>4188</v>
      </c>
      <c r="C884" s="60" t="s">
        <v>3671</v>
      </c>
      <c r="D884" s="60" t="s">
        <v>4189</v>
      </c>
      <c r="E884" s="60" t="s">
        <v>4190</v>
      </c>
      <c r="F884" s="60" t="s">
        <v>4191</v>
      </c>
      <c r="G884" s="60" t="s">
        <v>4192</v>
      </c>
      <c r="H884" s="61">
        <v>8584888.2</v>
      </c>
      <c r="I884" s="58" t="s">
        <v>2365</v>
      </c>
      <c r="J884" s="58" t="s">
        <v>3676</v>
      </c>
      <c r="K884" s="58"/>
      <c r="L884" s="58" t="s">
        <v>3321</v>
      </c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58"/>
      <c r="B885" s="59" t="s">
        <v>4193</v>
      </c>
      <c r="C885" s="60" t="s">
        <v>3671</v>
      </c>
      <c r="D885" s="60" t="s">
        <v>4194</v>
      </c>
      <c r="E885" s="60" t="s">
        <v>4195</v>
      </c>
      <c r="F885" s="60" t="s">
        <v>4196</v>
      </c>
      <c r="G885" s="60" t="s">
        <v>4197</v>
      </c>
      <c r="H885" s="61">
        <v>2954666.0</v>
      </c>
      <c r="I885" s="58" t="s">
        <v>2365</v>
      </c>
      <c r="J885" s="58" t="s">
        <v>3676</v>
      </c>
      <c r="K885" s="58"/>
      <c r="L885" s="58" t="s">
        <v>3642</v>
      </c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58"/>
      <c r="B886" s="59" t="s">
        <v>4198</v>
      </c>
      <c r="C886" s="60" t="s">
        <v>3671</v>
      </c>
      <c r="D886" s="60" t="s">
        <v>4199</v>
      </c>
      <c r="E886" s="60" t="s">
        <v>4200</v>
      </c>
      <c r="F886" s="60" t="s">
        <v>4201</v>
      </c>
      <c r="G886" s="60" t="s">
        <v>4202</v>
      </c>
      <c r="H886" s="61">
        <v>1186907.4</v>
      </c>
      <c r="I886" s="58" t="s">
        <v>2365</v>
      </c>
      <c r="J886" s="58" t="s">
        <v>3676</v>
      </c>
      <c r="K886" s="58"/>
      <c r="L886" s="58" t="s">
        <v>3321</v>
      </c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58"/>
      <c r="B887" s="59" t="s">
        <v>4203</v>
      </c>
      <c r="C887" s="60" t="s">
        <v>3671</v>
      </c>
      <c r="D887" s="60" t="s">
        <v>4204</v>
      </c>
      <c r="E887" s="60" t="s">
        <v>4205</v>
      </c>
      <c r="F887" s="60" t="s">
        <v>4206</v>
      </c>
      <c r="G887" s="60" t="s">
        <v>4207</v>
      </c>
      <c r="H887" s="61">
        <v>4.93184796E7</v>
      </c>
      <c r="I887" s="58" t="s">
        <v>2365</v>
      </c>
      <c r="J887" s="58" t="s">
        <v>3676</v>
      </c>
      <c r="K887" s="58"/>
      <c r="L887" s="58" t="s">
        <v>3642</v>
      </c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58"/>
      <c r="B888" s="59" t="s">
        <v>4208</v>
      </c>
      <c r="C888" s="60" t="s">
        <v>3671</v>
      </c>
      <c r="D888" s="60" t="s">
        <v>4209</v>
      </c>
      <c r="E888" s="60" t="s">
        <v>4210</v>
      </c>
      <c r="F888" s="60" t="s">
        <v>4211</v>
      </c>
      <c r="G888" s="60" t="s">
        <v>4212</v>
      </c>
      <c r="H888" s="61">
        <v>4.772184249E8</v>
      </c>
      <c r="I888" s="58" t="s">
        <v>2365</v>
      </c>
      <c r="J888" s="58" t="s">
        <v>3676</v>
      </c>
      <c r="K888" s="58"/>
      <c r="L888" s="58" t="s">
        <v>3642</v>
      </c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58"/>
      <c r="B889" s="59" t="s">
        <v>4213</v>
      </c>
      <c r="C889" s="60" t="s">
        <v>3671</v>
      </c>
      <c r="D889" s="60" t="s">
        <v>4214</v>
      </c>
      <c r="E889" s="60" t="s">
        <v>4215</v>
      </c>
      <c r="F889" s="60" t="s">
        <v>4216</v>
      </c>
      <c r="G889" s="60" t="s">
        <v>4217</v>
      </c>
      <c r="H889" s="61">
        <v>5.406326418E7</v>
      </c>
      <c r="I889" s="58" t="s">
        <v>2365</v>
      </c>
      <c r="J889" s="58" t="s">
        <v>3676</v>
      </c>
      <c r="K889" s="58"/>
      <c r="L889" s="58" t="s">
        <v>2373</v>
      </c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58"/>
      <c r="B890" s="59" t="s">
        <v>4218</v>
      </c>
      <c r="C890" s="60" t="s">
        <v>3671</v>
      </c>
      <c r="D890" s="60" t="s">
        <v>4219</v>
      </c>
      <c r="E890" s="60" t="s">
        <v>4220</v>
      </c>
      <c r="F890" s="60" t="s">
        <v>4221</v>
      </c>
      <c r="G890" s="60" t="s">
        <v>4222</v>
      </c>
      <c r="H890" s="61">
        <v>3.2073096744E8</v>
      </c>
      <c r="I890" s="58" t="s">
        <v>2365</v>
      </c>
      <c r="J890" s="58" t="s">
        <v>3676</v>
      </c>
      <c r="K890" s="58"/>
      <c r="L890" s="58" t="s">
        <v>3321</v>
      </c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58"/>
      <c r="B891" s="59" t="s">
        <v>4223</v>
      </c>
      <c r="C891" s="60" t="s">
        <v>3671</v>
      </c>
      <c r="D891" s="60" t="s">
        <v>4224</v>
      </c>
      <c r="E891" s="60" t="s">
        <v>4225</v>
      </c>
      <c r="F891" s="60" t="s">
        <v>4226</v>
      </c>
      <c r="G891" s="60" t="s">
        <v>4227</v>
      </c>
      <c r="H891" s="61">
        <v>3871628.8</v>
      </c>
      <c r="I891" s="58" t="s">
        <v>2365</v>
      </c>
      <c r="J891" s="58" t="s">
        <v>3676</v>
      </c>
      <c r="K891" s="58"/>
      <c r="L891" s="58" t="s">
        <v>3642</v>
      </c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58"/>
      <c r="B892" s="59" t="s">
        <v>4228</v>
      </c>
      <c r="C892" s="60" t="s">
        <v>3671</v>
      </c>
      <c r="D892" s="60" t="s">
        <v>4229</v>
      </c>
      <c r="E892" s="60" t="s">
        <v>4230</v>
      </c>
      <c r="F892" s="60" t="s">
        <v>4231</v>
      </c>
      <c r="G892" s="60" t="s">
        <v>4232</v>
      </c>
      <c r="H892" s="61">
        <v>1.389152352E7</v>
      </c>
      <c r="I892" s="58" t="s">
        <v>2365</v>
      </c>
      <c r="J892" s="58" t="s">
        <v>3676</v>
      </c>
      <c r="K892" s="58"/>
      <c r="L892" s="58" t="s">
        <v>3321</v>
      </c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58"/>
      <c r="B893" s="59" t="s">
        <v>4233</v>
      </c>
      <c r="C893" s="60" t="s">
        <v>3671</v>
      </c>
      <c r="D893" s="60" t="s">
        <v>4234</v>
      </c>
      <c r="E893" s="60" t="s">
        <v>4235</v>
      </c>
      <c r="F893" s="60" t="s">
        <v>4236</v>
      </c>
      <c r="G893" s="60" t="s">
        <v>4237</v>
      </c>
      <c r="H893" s="61">
        <v>7.355933694E7</v>
      </c>
      <c r="I893" s="58" t="s">
        <v>2365</v>
      </c>
      <c r="J893" s="58" t="s">
        <v>3676</v>
      </c>
      <c r="K893" s="58"/>
      <c r="L893" s="58" t="s">
        <v>3642</v>
      </c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58"/>
      <c r="B894" s="59" t="s">
        <v>4238</v>
      </c>
      <c r="C894" s="60" t="s">
        <v>3671</v>
      </c>
      <c r="D894" s="60" t="s">
        <v>4239</v>
      </c>
      <c r="E894" s="60" t="s">
        <v>4240</v>
      </c>
      <c r="F894" s="60" t="s">
        <v>4241</v>
      </c>
      <c r="G894" s="60" t="s">
        <v>4242</v>
      </c>
      <c r="H894" s="61">
        <v>1.718487624E7</v>
      </c>
      <c r="I894" s="58" t="s">
        <v>2365</v>
      </c>
      <c r="J894" s="58" t="s">
        <v>3676</v>
      </c>
      <c r="K894" s="58"/>
      <c r="L894" s="58" t="s">
        <v>2373</v>
      </c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58"/>
      <c r="B895" s="59" t="s">
        <v>4243</v>
      </c>
      <c r="C895" s="60" t="s">
        <v>3671</v>
      </c>
      <c r="D895" s="60" t="s">
        <v>4244</v>
      </c>
      <c r="E895" s="60" t="s">
        <v>4245</v>
      </c>
      <c r="F895" s="60" t="s">
        <v>4246</v>
      </c>
      <c r="G895" s="60" t="s">
        <v>4247</v>
      </c>
      <c r="H895" s="61">
        <v>1.281984322E7</v>
      </c>
      <c r="I895" s="58" t="s">
        <v>2365</v>
      </c>
      <c r="J895" s="58" t="s">
        <v>3676</v>
      </c>
      <c r="K895" s="58"/>
      <c r="L895" s="58" t="s">
        <v>3321</v>
      </c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58"/>
      <c r="B896" s="59" t="s">
        <v>4248</v>
      </c>
      <c r="C896" s="60" t="s">
        <v>3671</v>
      </c>
      <c r="D896" s="60" t="s">
        <v>4249</v>
      </c>
      <c r="E896" s="60" t="s">
        <v>4250</v>
      </c>
      <c r="F896" s="60" t="s">
        <v>4251</v>
      </c>
      <c r="G896" s="60" t="s">
        <v>4252</v>
      </c>
      <c r="H896" s="61">
        <v>4710638.4</v>
      </c>
      <c r="I896" s="58" t="s">
        <v>2365</v>
      </c>
      <c r="J896" s="58" t="s">
        <v>3676</v>
      </c>
      <c r="K896" s="58"/>
      <c r="L896" s="58" t="s">
        <v>3642</v>
      </c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58"/>
      <c r="B897" s="59" t="s">
        <v>4253</v>
      </c>
      <c r="C897" s="60" t="s">
        <v>3671</v>
      </c>
      <c r="D897" s="60" t="s">
        <v>4254</v>
      </c>
      <c r="E897" s="60" t="s">
        <v>4255</v>
      </c>
      <c r="F897" s="60" t="s">
        <v>4256</v>
      </c>
      <c r="G897" s="60" t="s">
        <v>4257</v>
      </c>
      <c r="H897" s="61">
        <v>8.293399578E7</v>
      </c>
      <c r="I897" s="58" t="s">
        <v>2365</v>
      </c>
      <c r="J897" s="58" t="s">
        <v>3676</v>
      </c>
      <c r="K897" s="58"/>
      <c r="L897" s="58" t="s">
        <v>3642</v>
      </c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58"/>
      <c r="B898" s="59" t="s">
        <v>4258</v>
      </c>
      <c r="C898" s="60" t="s">
        <v>3671</v>
      </c>
      <c r="D898" s="60" t="s">
        <v>4259</v>
      </c>
      <c r="E898" s="60" t="s">
        <v>4260</v>
      </c>
      <c r="F898" s="60" t="s">
        <v>4261</v>
      </c>
      <c r="G898" s="60" t="s">
        <v>4262</v>
      </c>
      <c r="H898" s="61">
        <v>3877616.4</v>
      </c>
      <c r="I898" s="58" t="s">
        <v>2365</v>
      </c>
      <c r="J898" s="58" t="s">
        <v>3676</v>
      </c>
      <c r="K898" s="58"/>
      <c r="L898" s="58" t="s">
        <v>3797</v>
      </c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58"/>
      <c r="B899" s="59" t="s">
        <v>4263</v>
      </c>
      <c r="C899" s="60" t="s">
        <v>3671</v>
      </c>
      <c r="D899" s="60" t="s">
        <v>4264</v>
      </c>
      <c r="E899" s="60" t="s">
        <v>4265</v>
      </c>
      <c r="F899" s="60" t="s">
        <v>4266</v>
      </c>
      <c r="G899" s="60" t="s">
        <v>4267</v>
      </c>
      <c r="H899" s="61">
        <v>5706209.74</v>
      </c>
      <c r="I899" s="58" t="s">
        <v>2365</v>
      </c>
      <c r="J899" s="58" t="s">
        <v>3676</v>
      </c>
      <c r="K899" s="58"/>
      <c r="L899" s="58" t="s">
        <v>2373</v>
      </c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58"/>
      <c r="B900" s="59" t="s">
        <v>4268</v>
      </c>
      <c r="C900" s="60" t="s">
        <v>3671</v>
      </c>
      <c r="D900" s="60" t="s">
        <v>4269</v>
      </c>
      <c r="E900" s="60" t="s">
        <v>4270</v>
      </c>
      <c r="F900" s="60" t="s">
        <v>4271</v>
      </c>
      <c r="G900" s="60" t="s">
        <v>4272</v>
      </c>
      <c r="H900" s="61">
        <v>5.346309479E7</v>
      </c>
      <c r="I900" s="58" t="s">
        <v>2365</v>
      </c>
      <c r="J900" s="58" t="s">
        <v>3676</v>
      </c>
      <c r="K900" s="58"/>
      <c r="L900" s="58" t="s">
        <v>3321</v>
      </c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58"/>
      <c r="B901" s="59" t="s">
        <v>4273</v>
      </c>
      <c r="C901" s="60" t="s">
        <v>3671</v>
      </c>
      <c r="D901" s="60" t="s">
        <v>4274</v>
      </c>
      <c r="E901" s="60" t="s">
        <v>4275</v>
      </c>
      <c r="F901" s="60" t="s">
        <v>4276</v>
      </c>
      <c r="G901" s="60" t="s">
        <v>4277</v>
      </c>
      <c r="H901" s="61">
        <v>2.4366625621E8</v>
      </c>
      <c r="I901" s="58" t="s">
        <v>2365</v>
      </c>
      <c r="J901" s="58" t="s">
        <v>3676</v>
      </c>
      <c r="K901" s="58"/>
      <c r="L901" s="58" t="s">
        <v>3642</v>
      </c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58"/>
      <c r="B902" s="59" t="s">
        <v>4278</v>
      </c>
      <c r="C902" s="60" t="s">
        <v>3671</v>
      </c>
      <c r="D902" s="60" t="s">
        <v>4279</v>
      </c>
      <c r="E902" s="60" t="s">
        <v>4280</v>
      </c>
      <c r="F902" s="60" t="s">
        <v>4281</v>
      </c>
      <c r="G902" s="60" t="s">
        <v>4282</v>
      </c>
      <c r="H902" s="61">
        <v>2.386467108E7</v>
      </c>
      <c r="I902" s="58" t="s">
        <v>2365</v>
      </c>
      <c r="J902" s="58" t="s">
        <v>3676</v>
      </c>
      <c r="K902" s="58"/>
      <c r="L902" s="58" t="s">
        <v>2373</v>
      </c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58"/>
      <c r="B903" s="59" t="s">
        <v>4283</v>
      </c>
      <c r="C903" s="60" t="s">
        <v>3671</v>
      </c>
      <c r="D903" s="60" t="s">
        <v>4284</v>
      </c>
      <c r="E903" s="60" t="s">
        <v>4285</v>
      </c>
      <c r="F903" s="60" t="s">
        <v>4286</v>
      </c>
      <c r="G903" s="60" t="s">
        <v>4287</v>
      </c>
      <c r="H903" s="61">
        <v>1.7435542559E8</v>
      </c>
      <c r="I903" s="58" t="s">
        <v>2365</v>
      </c>
      <c r="J903" s="58" t="s">
        <v>3676</v>
      </c>
      <c r="K903" s="58"/>
      <c r="L903" s="58" t="s">
        <v>3321</v>
      </c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58"/>
      <c r="B904" s="59" t="s">
        <v>4288</v>
      </c>
      <c r="C904" s="60" t="s">
        <v>3671</v>
      </c>
      <c r="D904" s="60" t="s">
        <v>4289</v>
      </c>
      <c r="E904" s="60" t="s">
        <v>4290</v>
      </c>
      <c r="F904" s="60" t="s">
        <v>4291</v>
      </c>
      <c r="G904" s="60" t="s">
        <v>4292</v>
      </c>
      <c r="H904" s="61">
        <v>1.811390492E8</v>
      </c>
      <c r="I904" s="58" t="s">
        <v>2365</v>
      </c>
      <c r="J904" s="58" t="s">
        <v>3676</v>
      </c>
      <c r="K904" s="58"/>
      <c r="L904" s="58" t="s">
        <v>3642</v>
      </c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58"/>
      <c r="B905" s="59" t="s">
        <v>4293</v>
      </c>
      <c r="C905" s="60" t="s">
        <v>3671</v>
      </c>
      <c r="D905" s="60" t="s">
        <v>4294</v>
      </c>
      <c r="E905" s="60" t="s">
        <v>4295</v>
      </c>
      <c r="F905" s="60" t="s">
        <v>4296</v>
      </c>
      <c r="G905" s="60" t="s">
        <v>4297</v>
      </c>
      <c r="H905" s="61">
        <v>4.534321428E7</v>
      </c>
      <c r="I905" s="58" t="s">
        <v>2365</v>
      </c>
      <c r="J905" s="58" t="s">
        <v>3676</v>
      </c>
      <c r="K905" s="58"/>
      <c r="L905" s="58" t="s">
        <v>2373</v>
      </c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58"/>
      <c r="B906" s="59" t="s">
        <v>4298</v>
      </c>
      <c r="C906" s="60" t="s">
        <v>3671</v>
      </c>
      <c r="D906" s="60" t="s">
        <v>4299</v>
      </c>
      <c r="E906" s="60" t="s">
        <v>4300</v>
      </c>
      <c r="F906" s="60" t="s">
        <v>4301</v>
      </c>
      <c r="G906" s="60" t="s">
        <v>4302</v>
      </c>
      <c r="H906" s="61">
        <v>6.049068176E7</v>
      </c>
      <c r="I906" s="58" t="s">
        <v>2365</v>
      </c>
      <c r="J906" s="58" t="s">
        <v>3676</v>
      </c>
      <c r="K906" s="58"/>
      <c r="L906" s="58" t="s">
        <v>3321</v>
      </c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58"/>
      <c r="B907" s="59" t="s">
        <v>4303</v>
      </c>
      <c r="C907" s="60" t="s">
        <v>3671</v>
      </c>
      <c r="D907" s="60" t="s">
        <v>4304</v>
      </c>
      <c r="E907" s="60" t="s">
        <v>4305</v>
      </c>
      <c r="F907" s="60" t="s">
        <v>4306</v>
      </c>
      <c r="G907" s="60" t="s">
        <v>4307</v>
      </c>
      <c r="H907" s="61">
        <v>4764481.2</v>
      </c>
      <c r="I907" s="58" t="s">
        <v>2365</v>
      </c>
      <c r="J907" s="58" t="s">
        <v>3676</v>
      </c>
      <c r="K907" s="58"/>
      <c r="L907" s="58" t="s">
        <v>3642</v>
      </c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58"/>
      <c r="B908" s="59" t="s">
        <v>4308</v>
      </c>
      <c r="C908" s="60" t="s">
        <v>3671</v>
      </c>
      <c r="D908" s="60" t="s">
        <v>4309</v>
      </c>
      <c r="E908" s="60" t="s">
        <v>4310</v>
      </c>
      <c r="F908" s="60" t="s">
        <v>4311</v>
      </c>
      <c r="G908" s="60" t="s">
        <v>4312</v>
      </c>
      <c r="H908" s="61">
        <v>2.900454048E8</v>
      </c>
      <c r="I908" s="58" t="s">
        <v>2365</v>
      </c>
      <c r="J908" s="58" t="s">
        <v>3676</v>
      </c>
      <c r="K908" s="58"/>
      <c r="L908" s="58" t="s">
        <v>3642</v>
      </c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58"/>
      <c r="B909" s="59" t="s">
        <v>4313</v>
      </c>
      <c r="C909" s="60" t="s">
        <v>3671</v>
      </c>
      <c r="D909" s="60" t="s">
        <v>4314</v>
      </c>
      <c r="E909" s="60" t="s">
        <v>4315</v>
      </c>
      <c r="F909" s="60" t="s">
        <v>4316</v>
      </c>
      <c r="G909" s="60" t="s">
        <v>4317</v>
      </c>
      <c r="H909" s="61">
        <v>1.66834514E7</v>
      </c>
      <c r="I909" s="58" t="s">
        <v>2365</v>
      </c>
      <c r="J909" s="58" t="s">
        <v>3676</v>
      </c>
      <c r="K909" s="58"/>
      <c r="L909" s="58" t="s">
        <v>2373</v>
      </c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58"/>
      <c r="B910" s="59" t="s">
        <v>4318</v>
      </c>
      <c r="C910" s="60" t="s">
        <v>3671</v>
      </c>
      <c r="D910" s="60" t="s">
        <v>4319</v>
      </c>
      <c r="E910" s="60" t="s">
        <v>4320</v>
      </c>
      <c r="F910" s="60" t="s">
        <v>4321</v>
      </c>
      <c r="G910" s="60" t="s">
        <v>4322</v>
      </c>
      <c r="H910" s="61">
        <v>1.4085692005E8</v>
      </c>
      <c r="I910" s="58" t="s">
        <v>2365</v>
      </c>
      <c r="J910" s="58" t="s">
        <v>3676</v>
      </c>
      <c r="K910" s="58"/>
      <c r="L910" s="58" t="s">
        <v>3321</v>
      </c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58"/>
      <c r="B911" s="59" t="s">
        <v>4323</v>
      </c>
      <c r="C911" s="60" t="s">
        <v>3671</v>
      </c>
      <c r="D911" s="60" t="s">
        <v>4324</v>
      </c>
      <c r="E911" s="60" t="s">
        <v>4325</v>
      </c>
      <c r="F911" s="60" t="s">
        <v>4326</v>
      </c>
      <c r="G911" s="60" t="s">
        <v>4327</v>
      </c>
      <c r="H911" s="61">
        <v>3307676.4</v>
      </c>
      <c r="I911" s="58" t="s">
        <v>2365</v>
      </c>
      <c r="J911" s="58" t="s">
        <v>3676</v>
      </c>
      <c r="K911" s="58"/>
      <c r="L911" s="58" t="s">
        <v>3321</v>
      </c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58"/>
      <c r="B912" s="59" t="s">
        <v>4328</v>
      </c>
      <c r="C912" s="60" t="s">
        <v>3671</v>
      </c>
      <c r="D912" s="60" t="s">
        <v>4329</v>
      </c>
      <c r="E912" s="60" t="s">
        <v>4330</v>
      </c>
      <c r="F912" s="60" t="s">
        <v>4331</v>
      </c>
      <c r="G912" s="60" t="s">
        <v>4332</v>
      </c>
      <c r="H912" s="61">
        <v>3.1856309928E8</v>
      </c>
      <c r="I912" s="58" t="s">
        <v>2365</v>
      </c>
      <c r="J912" s="58" t="s">
        <v>3676</v>
      </c>
      <c r="K912" s="58"/>
      <c r="L912" s="58" t="s">
        <v>3642</v>
      </c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58"/>
      <c r="B913" s="59" t="s">
        <v>4333</v>
      </c>
      <c r="C913" s="60" t="s">
        <v>3671</v>
      </c>
      <c r="D913" s="60" t="s">
        <v>4334</v>
      </c>
      <c r="E913" s="60" t="s">
        <v>4335</v>
      </c>
      <c r="F913" s="60" t="s">
        <v>4336</v>
      </c>
      <c r="G913" s="60" t="s">
        <v>4337</v>
      </c>
      <c r="H913" s="61">
        <v>3035079.18</v>
      </c>
      <c r="I913" s="58" t="s">
        <v>2365</v>
      </c>
      <c r="J913" s="58" t="s">
        <v>3676</v>
      </c>
      <c r="K913" s="58"/>
      <c r="L913" s="58" t="s">
        <v>3797</v>
      </c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58"/>
      <c r="B914" s="59" t="s">
        <v>4338</v>
      </c>
      <c r="C914" s="60" t="s">
        <v>3671</v>
      </c>
      <c r="D914" s="60" t="s">
        <v>4339</v>
      </c>
      <c r="E914" s="60" t="s">
        <v>4340</v>
      </c>
      <c r="F914" s="60" t="s">
        <v>4341</v>
      </c>
      <c r="G914" s="60" t="s">
        <v>4342</v>
      </c>
      <c r="H914" s="61">
        <v>2.734189514E7</v>
      </c>
      <c r="I914" s="58" t="s">
        <v>2365</v>
      </c>
      <c r="J914" s="58" t="s">
        <v>3676</v>
      </c>
      <c r="K914" s="58"/>
      <c r="L914" s="58" t="s">
        <v>2373</v>
      </c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58"/>
      <c r="B915" s="59" t="s">
        <v>4343</v>
      </c>
      <c r="C915" s="60" t="s">
        <v>3671</v>
      </c>
      <c r="D915" s="60" t="s">
        <v>4344</v>
      </c>
      <c r="E915" s="60" t="s">
        <v>4345</v>
      </c>
      <c r="F915" s="60" t="s">
        <v>4346</v>
      </c>
      <c r="G915" s="60" t="s">
        <v>4347</v>
      </c>
      <c r="H915" s="61">
        <v>4.3360837986E8</v>
      </c>
      <c r="I915" s="58" t="s">
        <v>2365</v>
      </c>
      <c r="J915" s="58" t="s">
        <v>3676</v>
      </c>
      <c r="K915" s="58"/>
      <c r="L915" s="58" t="s">
        <v>3321</v>
      </c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58"/>
      <c r="B916" s="59" t="s">
        <v>4348</v>
      </c>
      <c r="C916" s="60" t="s">
        <v>3671</v>
      </c>
      <c r="D916" s="60" t="s">
        <v>4349</v>
      </c>
      <c r="E916" s="60" t="s">
        <v>4350</v>
      </c>
      <c r="F916" s="60" t="s">
        <v>4351</v>
      </c>
      <c r="G916" s="60" t="s">
        <v>4352</v>
      </c>
      <c r="H916" s="61">
        <v>3.4871235516E8</v>
      </c>
      <c r="I916" s="58" t="s">
        <v>2365</v>
      </c>
      <c r="J916" s="58" t="s">
        <v>3676</v>
      </c>
      <c r="K916" s="58"/>
      <c r="L916" s="58" t="s">
        <v>3642</v>
      </c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58"/>
      <c r="B917" s="59" t="s">
        <v>4353</v>
      </c>
      <c r="C917" s="60" t="s">
        <v>3671</v>
      </c>
      <c r="D917" s="60" t="s">
        <v>4354</v>
      </c>
      <c r="E917" s="60" t="s">
        <v>4355</v>
      </c>
      <c r="F917" s="60" t="s">
        <v>4356</v>
      </c>
      <c r="G917" s="60" t="s">
        <v>4357</v>
      </c>
      <c r="H917" s="61">
        <v>2.778396726E7</v>
      </c>
      <c r="I917" s="58" t="s">
        <v>2365</v>
      </c>
      <c r="J917" s="58" t="s">
        <v>3676</v>
      </c>
      <c r="K917" s="58"/>
      <c r="L917" s="58" t="s">
        <v>2373</v>
      </c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58"/>
      <c r="B918" s="59" t="s">
        <v>4358</v>
      </c>
      <c r="C918" s="60" t="s">
        <v>3671</v>
      </c>
      <c r="D918" s="60" t="s">
        <v>4359</v>
      </c>
      <c r="E918" s="60" t="s">
        <v>4360</v>
      </c>
      <c r="F918" s="60" t="s">
        <v>4361</v>
      </c>
      <c r="G918" s="60" t="s">
        <v>4362</v>
      </c>
      <c r="H918" s="61">
        <v>2.094363085E8</v>
      </c>
      <c r="I918" s="58" t="s">
        <v>2365</v>
      </c>
      <c r="J918" s="58" t="s">
        <v>3676</v>
      </c>
      <c r="K918" s="58"/>
      <c r="L918" s="58" t="s">
        <v>3321</v>
      </c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58"/>
      <c r="B919" s="59" t="s">
        <v>4363</v>
      </c>
      <c r="C919" s="60" t="s">
        <v>3671</v>
      </c>
      <c r="D919" s="60" t="s">
        <v>4364</v>
      </c>
      <c r="E919" s="60" t="s">
        <v>4365</v>
      </c>
      <c r="F919" s="60" t="s">
        <v>4366</v>
      </c>
      <c r="G919" s="60" t="s">
        <v>4367</v>
      </c>
      <c r="H919" s="61">
        <v>2.776868604E7</v>
      </c>
      <c r="I919" s="58" t="s">
        <v>2365</v>
      </c>
      <c r="J919" s="58" t="s">
        <v>3676</v>
      </c>
      <c r="K919" s="58"/>
      <c r="L919" s="58" t="s">
        <v>3642</v>
      </c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58"/>
      <c r="B920" s="59" t="s">
        <v>4368</v>
      </c>
      <c r="C920" s="60" t="s">
        <v>3671</v>
      </c>
      <c r="D920" s="60" t="s">
        <v>4369</v>
      </c>
      <c r="E920" s="60" t="s">
        <v>4370</v>
      </c>
      <c r="F920" s="60" t="s">
        <v>4371</v>
      </c>
      <c r="G920" s="60" t="s">
        <v>4372</v>
      </c>
      <c r="H920" s="61">
        <v>1301649.12</v>
      </c>
      <c r="I920" s="58" t="s">
        <v>2365</v>
      </c>
      <c r="J920" s="58" t="s">
        <v>3676</v>
      </c>
      <c r="K920" s="58"/>
      <c r="L920" s="58" t="s">
        <v>3797</v>
      </c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58"/>
      <c r="B921" s="59" t="s">
        <v>4373</v>
      </c>
      <c r="C921" s="60" t="s">
        <v>3671</v>
      </c>
      <c r="D921" s="60" t="s">
        <v>4374</v>
      </c>
      <c r="E921" s="60" t="s">
        <v>4375</v>
      </c>
      <c r="F921" s="60" t="s">
        <v>4376</v>
      </c>
      <c r="G921" s="60" t="s">
        <v>4377</v>
      </c>
      <c r="H921" s="61">
        <v>2.295229188E7</v>
      </c>
      <c r="I921" s="58" t="s">
        <v>2365</v>
      </c>
      <c r="J921" s="58" t="s">
        <v>3676</v>
      </c>
      <c r="K921" s="58"/>
      <c r="L921" s="58" t="s">
        <v>3321</v>
      </c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58"/>
      <c r="B922" s="59" t="s">
        <v>4378</v>
      </c>
      <c r="C922" s="60" t="s">
        <v>3671</v>
      </c>
      <c r="D922" s="60" t="s">
        <v>4379</v>
      </c>
      <c r="E922" s="60" t="s">
        <v>4380</v>
      </c>
      <c r="F922" s="60" t="s">
        <v>4381</v>
      </c>
      <c r="G922" s="60" t="s">
        <v>4382</v>
      </c>
      <c r="H922" s="61">
        <v>2.34792064E7</v>
      </c>
      <c r="I922" s="58" t="s">
        <v>2365</v>
      </c>
      <c r="J922" s="58" t="s">
        <v>3676</v>
      </c>
      <c r="K922" s="58"/>
      <c r="L922" s="58" t="s">
        <v>3642</v>
      </c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58"/>
      <c r="B923" s="59" t="s">
        <v>4383</v>
      </c>
      <c r="C923" s="60" t="s">
        <v>3671</v>
      </c>
      <c r="D923" s="60" t="s">
        <v>4384</v>
      </c>
      <c r="E923" s="60" t="s">
        <v>4385</v>
      </c>
      <c r="F923" s="60" t="s">
        <v>4386</v>
      </c>
      <c r="G923" s="60" t="s">
        <v>4387</v>
      </c>
      <c r="H923" s="61">
        <v>6827285.63</v>
      </c>
      <c r="I923" s="58" t="s">
        <v>2365</v>
      </c>
      <c r="J923" s="58" t="s">
        <v>3676</v>
      </c>
      <c r="K923" s="58"/>
      <c r="L923" s="58" t="s">
        <v>2373</v>
      </c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58"/>
      <c r="B924" s="59" t="s">
        <v>4388</v>
      </c>
      <c r="C924" s="60" t="s">
        <v>3671</v>
      </c>
      <c r="D924" s="60" t="s">
        <v>4389</v>
      </c>
      <c r="E924" s="60" t="s">
        <v>4390</v>
      </c>
      <c r="F924" s="60" t="s">
        <v>4391</v>
      </c>
      <c r="G924" s="60" t="s">
        <v>4392</v>
      </c>
      <c r="H924" s="61">
        <v>3637315.08</v>
      </c>
      <c r="I924" s="58" t="s">
        <v>2365</v>
      </c>
      <c r="J924" s="58" t="s">
        <v>3676</v>
      </c>
      <c r="K924" s="58"/>
      <c r="L924" s="58" t="s">
        <v>3321</v>
      </c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58"/>
      <c r="B925" s="59" t="s">
        <v>4393</v>
      </c>
      <c r="C925" s="60" t="s">
        <v>3671</v>
      </c>
      <c r="D925" s="60" t="s">
        <v>4394</v>
      </c>
      <c r="E925" s="60" t="s">
        <v>4395</v>
      </c>
      <c r="F925" s="60" t="s">
        <v>4396</v>
      </c>
      <c r="G925" s="60" t="s">
        <v>4397</v>
      </c>
      <c r="H925" s="61">
        <v>1.146953484E8</v>
      </c>
      <c r="I925" s="58" t="s">
        <v>2365</v>
      </c>
      <c r="J925" s="58" t="s">
        <v>3676</v>
      </c>
      <c r="K925" s="58"/>
      <c r="L925" s="58" t="s">
        <v>3642</v>
      </c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58"/>
      <c r="B926" s="59" t="s">
        <v>4398</v>
      </c>
      <c r="C926" s="60" t="s">
        <v>3671</v>
      </c>
      <c r="D926" s="60" t="s">
        <v>4399</v>
      </c>
      <c r="E926" s="60" t="s">
        <v>4400</v>
      </c>
      <c r="F926" s="60" t="s">
        <v>4401</v>
      </c>
      <c r="G926" s="60" t="s">
        <v>4402</v>
      </c>
      <c r="H926" s="61">
        <v>5181316.84</v>
      </c>
      <c r="I926" s="58" t="s">
        <v>2365</v>
      </c>
      <c r="J926" s="58" t="s">
        <v>3676</v>
      </c>
      <c r="K926" s="58"/>
      <c r="L926" s="58" t="s">
        <v>2373</v>
      </c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58"/>
      <c r="B927" s="59" t="s">
        <v>4403</v>
      </c>
      <c r="C927" s="60" t="s">
        <v>3671</v>
      </c>
      <c r="D927" s="60" t="s">
        <v>4404</v>
      </c>
      <c r="E927" s="60" t="s">
        <v>4405</v>
      </c>
      <c r="F927" s="60" t="s">
        <v>4406</v>
      </c>
      <c r="G927" s="60" t="s">
        <v>4407</v>
      </c>
      <c r="H927" s="61">
        <v>1.3015707765E8</v>
      </c>
      <c r="I927" s="58" t="s">
        <v>2365</v>
      </c>
      <c r="J927" s="58" t="s">
        <v>3676</v>
      </c>
      <c r="K927" s="58"/>
      <c r="L927" s="58" t="s">
        <v>3321</v>
      </c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58"/>
      <c r="B928" s="59" t="s">
        <v>4408</v>
      </c>
      <c r="C928" s="60" t="s">
        <v>3671</v>
      </c>
      <c r="D928" s="60" t="s">
        <v>4409</v>
      </c>
      <c r="E928" s="60" t="s">
        <v>4410</v>
      </c>
      <c r="F928" s="60" t="s">
        <v>4411</v>
      </c>
      <c r="G928" s="60" t="s">
        <v>4412</v>
      </c>
      <c r="H928" s="61">
        <v>5.2895776729E8</v>
      </c>
      <c r="I928" s="58" t="s">
        <v>2365</v>
      </c>
      <c r="J928" s="58" t="s">
        <v>3676</v>
      </c>
      <c r="K928" s="58"/>
      <c r="L928" s="58" t="s">
        <v>3642</v>
      </c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58"/>
      <c r="B929" s="59" t="s">
        <v>4413</v>
      </c>
      <c r="C929" s="60" t="s">
        <v>3671</v>
      </c>
      <c r="D929" s="60" t="s">
        <v>4414</v>
      </c>
      <c r="E929" s="60" t="s">
        <v>4415</v>
      </c>
      <c r="F929" s="60" t="s">
        <v>4416</v>
      </c>
      <c r="G929" s="60" t="s">
        <v>4417</v>
      </c>
      <c r="H929" s="61">
        <v>1.0727309484E8</v>
      </c>
      <c r="I929" s="58" t="s">
        <v>2365</v>
      </c>
      <c r="J929" s="58" t="s">
        <v>3676</v>
      </c>
      <c r="K929" s="58"/>
      <c r="L929" s="58" t="s">
        <v>2373</v>
      </c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58"/>
      <c r="B930" s="59" t="s">
        <v>4418</v>
      </c>
      <c r="C930" s="60" t="s">
        <v>3671</v>
      </c>
      <c r="D930" s="60" t="s">
        <v>4419</v>
      </c>
      <c r="E930" s="60" t="s">
        <v>4420</v>
      </c>
      <c r="F930" s="60" t="s">
        <v>4421</v>
      </c>
      <c r="G930" s="60" t="s">
        <v>4422</v>
      </c>
      <c r="H930" s="61">
        <v>4.4985472336E8</v>
      </c>
      <c r="I930" s="58" t="s">
        <v>2365</v>
      </c>
      <c r="J930" s="58" t="s">
        <v>3676</v>
      </c>
      <c r="K930" s="58"/>
      <c r="L930" s="58" t="s">
        <v>3321</v>
      </c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58"/>
      <c r="B931" s="59" t="s">
        <v>4423</v>
      </c>
      <c r="C931" s="60" t="s">
        <v>3671</v>
      </c>
      <c r="D931" s="60" t="s">
        <v>4424</v>
      </c>
      <c r="E931" s="60" t="s">
        <v>4425</v>
      </c>
      <c r="F931" s="60" t="s">
        <v>4426</v>
      </c>
      <c r="G931" s="60" t="s">
        <v>4427</v>
      </c>
      <c r="H931" s="61">
        <v>7.14010608E7</v>
      </c>
      <c r="I931" s="58" t="s">
        <v>2365</v>
      </c>
      <c r="J931" s="58" t="s">
        <v>3676</v>
      </c>
      <c r="K931" s="58"/>
      <c r="L931" s="58" t="s">
        <v>3642</v>
      </c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58"/>
      <c r="B932" s="59" t="s">
        <v>4428</v>
      </c>
      <c r="C932" s="60" t="s">
        <v>3671</v>
      </c>
      <c r="D932" s="60" t="s">
        <v>4429</v>
      </c>
      <c r="E932" s="60" t="s">
        <v>4430</v>
      </c>
      <c r="F932" s="60" t="s">
        <v>4431</v>
      </c>
      <c r="G932" s="60" t="s">
        <v>4432</v>
      </c>
      <c r="H932" s="61">
        <v>2.20673264E7</v>
      </c>
      <c r="I932" s="58" t="s">
        <v>2365</v>
      </c>
      <c r="J932" s="58" t="s">
        <v>3676</v>
      </c>
      <c r="K932" s="58"/>
      <c r="L932" s="58" t="s">
        <v>3321</v>
      </c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58"/>
      <c r="B933" s="59" t="s">
        <v>4433</v>
      </c>
      <c r="C933" s="60" t="s">
        <v>3671</v>
      </c>
      <c r="D933" s="60" t="s">
        <v>4434</v>
      </c>
      <c r="E933" s="60" t="s">
        <v>4435</v>
      </c>
      <c r="F933" s="60" t="s">
        <v>4436</v>
      </c>
      <c r="G933" s="60" t="s">
        <v>4437</v>
      </c>
      <c r="H933" s="61">
        <v>9533344.32</v>
      </c>
      <c r="I933" s="58" t="s">
        <v>2365</v>
      </c>
      <c r="J933" s="58" t="s">
        <v>3676</v>
      </c>
      <c r="K933" s="58"/>
      <c r="L933" s="58" t="s">
        <v>3642</v>
      </c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58"/>
      <c r="B934" s="59" t="s">
        <v>4438</v>
      </c>
      <c r="C934" s="60" t="s">
        <v>3671</v>
      </c>
      <c r="D934" s="60" t="s">
        <v>4439</v>
      </c>
      <c r="E934" s="60" t="s">
        <v>4440</v>
      </c>
      <c r="F934" s="60" t="s">
        <v>4441</v>
      </c>
      <c r="G934" s="60" t="s">
        <v>4442</v>
      </c>
      <c r="H934" s="61">
        <v>3024112.0</v>
      </c>
      <c r="I934" s="58" t="s">
        <v>2365</v>
      </c>
      <c r="J934" s="58" t="s">
        <v>3676</v>
      </c>
      <c r="K934" s="58"/>
      <c r="L934" s="58" t="s">
        <v>3797</v>
      </c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58"/>
      <c r="B935" s="59" t="s">
        <v>4443</v>
      </c>
      <c r="C935" s="60" t="s">
        <v>3671</v>
      </c>
      <c r="D935" s="60" t="s">
        <v>4444</v>
      </c>
      <c r="E935" s="60" t="s">
        <v>4445</v>
      </c>
      <c r="F935" s="60" t="s">
        <v>4446</v>
      </c>
      <c r="G935" s="60" t="s">
        <v>4447</v>
      </c>
      <c r="H935" s="61">
        <v>4216940.74</v>
      </c>
      <c r="I935" s="58" t="s">
        <v>2365</v>
      </c>
      <c r="J935" s="58" t="s">
        <v>3676</v>
      </c>
      <c r="K935" s="58"/>
      <c r="L935" s="58" t="s">
        <v>3321</v>
      </c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58"/>
      <c r="B936" s="59" t="s">
        <v>4448</v>
      </c>
      <c r="C936" s="60" t="s">
        <v>3671</v>
      </c>
      <c r="D936" s="60" t="s">
        <v>4449</v>
      </c>
      <c r="E936" s="60" t="s">
        <v>4450</v>
      </c>
      <c r="F936" s="60" t="s">
        <v>4451</v>
      </c>
      <c r="G936" s="60" t="s">
        <v>4452</v>
      </c>
      <c r="H936" s="61">
        <v>1.3273171056E8</v>
      </c>
      <c r="I936" s="58" t="s">
        <v>2365</v>
      </c>
      <c r="J936" s="58" t="s">
        <v>3676</v>
      </c>
      <c r="K936" s="58"/>
      <c r="L936" s="58" t="s">
        <v>3642</v>
      </c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58"/>
      <c r="B937" s="59" t="s">
        <v>4453</v>
      </c>
      <c r="C937" s="60" t="s">
        <v>3671</v>
      </c>
      <c r="D937" s="60" t="s">
        <v>4454</v>
      </c>
      <c r="E937" s="60" t="s">
        <v>4455</v>
      </c>
      <c r="F937" s="60" t="s">
        <v>4456</v>
      </c>
      <c r="G937" s="60" t="s">
        <v>4457</v>
      </c>
      <c r="H937" s="61">
        <v>4565947.4</v>
      </c>
      <c r="I937" s="58" t="s">
        <v>2365</v>
      </c>
      <c r="J937" s="58" t="s">
        <v>3676</v>
      </c>
      <c r="K937" s="58"/>
      <c r="L937" s="58" t="s">
        <v>2373</v>
      </c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58"/>
      <c r="B938" s="59" t="s">
        <v>4458</v>
      </c>
      <c r="C938" s="60" t="s">
        <v>3671</v>
      </c>
      <c r="D938" s="60" t="s">
        <v>4459</v>
      </c>
      <c r="E938" s="60" t="s">
        <v>4460</v>
      </c>
      <c r="F938" s="60" t="s">
        <v>4461</v>
      </c>
      <c r="G938" s="60" t="s">
        <v>4462</v>
      </c>
      <c r="H938" s="61">
        <v>4.047906246E7</v>
      </c>
      <c r="I938" s="58" t="s">
        <v>2365</v>
      </c>
      <c r="J938" s="58" t="s">
        <v>3676</v>
      </c>
      <c r="K938" s="58"/>
      <c r="L938" s="58" t="s">
        <v>3321</v>
      </c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58"/>
      <c r="B939" s="59" t="s">
        <v>4463</v>
      </c>
      <c r="C939" s="60" t="s">
        <v>3671</v>
      </c>
      <c r="D939" s="60" t="s">
        <v>4464</v>
      </c>
      <c r="E939" s="60" t="s">
        <v>4465</v>
      </c>
      <c r="F939" s="60" t="s">
        <v>4466</v>
      </c>
      <c r="G939" s="60" t="s">
        <v>4467</v>
      </c>
      <c r="H939" s="61">
        <v>6.389718091E7</v>
      </c>
      <c r="I939" s="58" t="s">
        <v>2365</v>
      </c>
      <c r="J939" s="58" t="s">
        <v>3676</v>
      </c>
      <c r="K939" s="58"/>
      <c r="L939" s="58" t="s">
        <v>3642</v>
      </c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58"/>
      <c r="B940" s="59" t="s">
        <v>4468</v>
      </c>
      <c r="C940" s="60" t="s">
        <v>3671</v>
      </c>
      <c r="D940" s="60" t="s">
        <v>4469</v>
      </c>
      <c r="E940" s="60" t="s">
        <v>4470</v>
      </c>
      <c r="F940" s="60" t="s">
        <v>4471</v>
      </c>
      <c r="G940" s="60" t="s">
        <v>4472</v>
      </c>
      <c r="H940" s="61">
        <v>6001120.6</v>
      </c>
      <c r="I940" s="58" t="s">
        <v>2365</v>
      </c>
      <c r="J940" s="58" t="s">
        <v>3676</v>
      </c>
      <c r="K940" s="58"/>
      <c r="L940" s="58" t="s">
        <v>2373</v>
      </c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58"/>
      <c r="B941" s="59" t="s">
        <v>4473</v>
      </c>
      <c r="C941" s="60" t="s">
        <v>3671</v>
      </c>
      <c r="D941" s="60" t="s">
        <v>4474</v>
      </c>
      <c r="E941" s="60" t="s">
        <v>4475</v>
      </c>
      <c r="F941" s="60" t="s">
        <v>4476</v>
      </c>
      <c r="G941" s="60" t="s">
        <v>4477</v>
      </c>
      <c r="H941" s="61">
        <v>4.208928072E7</v>
      </c>
      <c r="I941" s="58" t="s">
        <v>2365</v>
      </c>
      <c r="J941" s="58" t="s">
        <v>3676</v>
      </c>
      <c r="K941" s="58"/>
      <c r="L941" s="58" t="s">
        <v>3321</v>
      </c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58"/>
      <c r="B942" s="59" t="s">
        <v>4478</v>
      </c>
      <c r="C942" s="60" t="s">
        <v>3671</v>
      </c>
      <c r="D942" s="60" t="s">
        <v>4479</v>
      </c>
      <c r="E942" s="60" t="s">
        <v>4480</v>
      </c>
      <c r="F942" s="60" t="s">
        <v>4481</v>
      </c>
      <c r="G942" s="60" t="s">
        <v>4482</v>
      </c>
      <c r="H942" s="61">
        <v>3.37009816E7</v>
      </c>
      <c r="I942" s="58" t="s">
        <v>2365</v>
      </c>
      <c r="J942" s="58" t="s">
        <v>3676</v>
      </c>
      <c r="K942" s="58"/>
      <c r="L942" s="58" t="s">
        <v>3642</v>
      </c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58"/>
      <c r="B943" s="59" t="s">
        <v>4483</v>
      </c>
      <c r="C943" s="60" t="s">
        <v>3671</v>
      </c>
      <c r="D943" s="60" t="s">
        <v>4484</v>
      </c>
      <c r="E943" s="60" t="s">
        <v>4485</v>
      </c>
      <c r="F943" s="60" t="s">
        <v>4486</v>
      </c>
      <c r="G943" s="60" t="s">
        <v>4487</v>
      </c>
      <c r="H943" s="61">
        <v>3650025.6</v>
      </c>
      <c r="I943" s="58" t="s">
        <v>2365</v>
      </c>
      <c r="J943" s="58" t="s">
        <v>3676</v>
      </c>
      <c r="K943" s="58"/>
      <c r="L943" s="58" t="s">
        <v>3642</v>
      </c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58"/>
      <c r="B944" s="59" t="s">
        <v>4488</v>
      </c>
      <c r="C944" s="60" t="s">
        <v>3671</v>
      </c>
      <c r="D944" s="60" t="s">
        <v>4489</v>
      </c>
      <c r="E944" s="60" t="s">
        <v>4490</v>
      </c>
      <c r="F944" s="60" t="s">
        <v>4491</v>
      </c>
      <c r="G944" s="60" t="s">
        <v>4492</v>
      </c>
      <c r="H944" s="61">
        <v>1.268042798E7</v>
      </c>
      <c r="I944" s="58" t="s">
        <v>2365</v>
      </c>
      <c r="J944" s="58" t="s">
        <v>3676</v>
      </c>
      <c r="K944" s="58"/>
      <c r="L944" s="58" t="s">
        <v>3642</v>
      </c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58"/>
      <c r="B945" s="59" t="s">
        <v>4493</v>
      </c>
      <c r="C945" s="60" t="s">
        <v>3671</v>
      </c>
      <c r="D945" s="60" t="s">
        <v>4494</v>
      </c>
      <c r="E945" s="60" t="s">
        <v>4495</v>
      </c>
      <c r="F945" s="60" t="s">
        <v>4496</v>
      </c>
      <c r="G945" s="60" t="s">
        <v>4497</v>
      </c>
      <c r="H945" s="61">
        <v>1.370337304E7</v>
      </c>
      <c r="I945" s="58" t="s">
        <v>2365</v>
      </c>
      <c r="J945" s="58" t="s">
        <v>3676</v>
      </c>
      <c r="K945" s="58"/>
      <c r="L945" s="58" t="s">
        <v>2373</v>
      </c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58"/>
      <c r="B946" s="59" t="s">
        <v>4498</v>
      </c>
      <c r="C946" s="60" t="s">
        <v>3671</v>
      </c>
      <c r="D946" s="60" t="s">
        <v>4499</v>
      </c>
      <c r="E946" s="60" t="s">
        <v>4500</v>
      </c>
      <c r="F946" s="60" t="s">
        <v>4501</v>
      </c>
      <c r="G946" s="60" t="s">
        <v>4502</v>
      </c>
      <c r="H946" s="61">
        <v>4880658.72</v>
      </c>
      <c r="I946" s="58" t="s">
        <v>2365</v>
      </c>
      <c r="J946" s="58" t="s">
        <v>3676</v>
      </c>
      <c r="K946" s="58"/>
      <c r="L946" s="58" t="s">
        <v>3321</v>
      </c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58"/>
      <c r="B947" s="59" t="s">
        <v>4503</v>
      </c>
      <c r="C947" s="60" t="s">
        <v>3671</v>
      </c>
      <c r="D947" s="60" t="s">
        <v>4504</v>
      </c>
      <c r="E947" s="60" t="s">
        <v>4505</v>
      </c>
      <c r="F947" s="60" t="s">
        <v>4506</v>
      </c>
      <c r="G947" s="60" t="s">
        <v>4507</v>
      </c>
      <c r="H947" s="61">
        <v>1.2460955868E8</v>
      </c>
      <c r="I947" s="58" t="s">
        <v>2365</v>
      </c>
      <c r="J947" s="58" t="s">
        <v>3676</v>
      </c>
      <c r="K947" s="58"/>
      <c r="L947" s="58" t="s">
        <v>3642</v>
      </c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58"/>
      <c r="B948" s="59" t="s">
        <v>4508</v>
      </c>
      <c r="C948" s="60" t="s">
        <v>3671</v>
      </c>
      <c r="D948" s="60" t="s">
        <v>4509</v>
      </c>
      <c r="E948" s="60" t="s">
        <v>4510</v>
      </c>
      <c r="F948" s="60" t="s">
        <v>4511</v>
      </c>
      <c r="G948" s="60" t="s">
        <v>4512</v>
      </c>
      <c r="H948" s="61">
        <v>7957119.5</v>
      </c>
      <c r="I948" s="58" t="s">
        <v>2365</v>
      </c>
      <c r="J948" s="58" t="s">
        <v>3676</v>
      </c>
      <c r="K948" s="58"/>
      <c r="L948" s="58" t="s">
        <v>2373</v>
      </c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58"/>
      <c r="B949" s="59" t="s">
        <v>4513</v>
      </c>
      <c r="C949" s="60" t="s">
        <v>3671</v>
      </c>
      <c r="D949" s="60" t="s">
        <v>4514</v>
      </c>
      <c r="E949" s="60" t="s">
        <v>4515</v>
      </c>
      <c r="F949" s="60" t="s">
        <v>4516</v>
      </c>
      <c r="G949" s="60" t="s">
        <v>4517</v>
      </c>
      <c r="H949" s="61">
        <v>7.693705824E7</v>
      </c>
      <c r="I949" s="58" t="s">
        <v>2365</v>
      </c>
      <c r="J949" s="58" t="s">
        <v>3676</v>
      </c>
      <c r="K949" s="58"/>
      <c r="L949" s="58" t="s">
        <v>3321</v>
      </c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58"/>
      <c r="B950" s="59" t="s">
        <v>4518</v>
      </c>
      <c r="C950" s="60" t="s">
        <v>3671</v>
      </c>
      <c r="D950" s="60" t="s">
        <v>4519</v>
      </c>
      <c r="E950" s="60" t="s">
        <v>4520</v>
      </c>
      <c r="F950" s="60" t="s">
        <v>4521</v>
      </c>
      <c r="G950" s="60" t="s">
        <v>4522</v>
      </c>
      <c r="H950" s="61">
        <v>1.9499540328E8</v>
      </c>
      <c r="I950" s="58" t="s">
        <v>2365</v>
      </c>
      <c r="J950" s="58" t="s">
        <v>3676</v>
      </c>
      <c r="K950" s="58"/>
      <c r="L950" s="58" t="s">
        <v>3642</v>
      </c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58"/>
      <c r="B951" s="59" t="s">
        <v>4523</v>
      </c>
      <c r="C951" s="60" t="s">
        <v>3671</v>
      </c>
      <c r="D951" s="60" t="s">
        <v>4524</v>
      </c>
      <c r="E951" s="60" t="s">
        <v>4525</v>
      </c>
      <c r="F951" s="60" t="s">
        <v>4526</v>
      </c>
      <c r="G951" s="60" t="s">
        <v>4527</v>
      </c>
      <c r="H951" s="61">
        <v>2.680405742E7</v>
      </c>
      <c r="I951" s="58" t="s">
        <v>2365</v>
      </c>
      <c r="J951" s="58" t="s">
        <v>3676</v>
      </c>
      <c r="K951" s="58"/>
      <c r="L951" s="58" t="s">
        <v>2373</v>
      </c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58"/>
      <c r="B952" s="59" t="s">
        <v>4528</v>
      </c>
      <c r="C952" s="60" t="s">
        <v>3671</v>
      </c>
      <c r="D952" s="60" t="s">
        <v>4529</v>
      </c>
      <c r="E952" s="60" t="s">
        <v>4530</v>
      </c>
      <c r="F952" s="60" t="s">
        <v>4531</v>
      </c>
      <c r="G952" s="60" t="s">
        <v>4532</v>
      </c>
      <c r="H952" s="61">
        <v>1.0500209396E8</v>
      </c>
      <c r="I952" s="58" t="s">
        <v>2365</v>
      </c>
      <c r="J952" s="58" t="s">
        <v>3676</v>
      </c>
      <c r="K952" s="58"/>
      <c r="L952" s="58" t="s">
        <v>3321</v>
      </c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58"/>
      <c r="B953" s="59" t="s">
        <v>4533</v>
      </c>
      <c r="C953" s="60" t="s">
        <v>3671</v>
      </c>
      <c r="D953" s="60" t="s">
        <v>4534</v>
      </c>
      <c r="E953" s="60" t="s">
        <v>4535</v>
      </c>
      <c r="F953" s="60" t="s">
        <v>4536</v>
      </c>
      <c r="G953" s="60" t="s">
        <v>4537</v>
      </c>
      <c r="H953" s="61">
        <v>1.7880104368E8</v>
      </c>
      <c r="I953" s="58" t="s">
        <v>2365</v>
      </c>
      <c r="J953" s="58" t="s">
        <v>3676</v>
      </c>
      <c r="K953" s="58"/>
      <c r="L953" s="58" t="s">
        <v>3642</v>
      </c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58"/>
      <c r="B954" s="59" t="s">
        <v>4538</v>
      </c>
      <c r="C954" s="60" t="s">
        <v>3671</v>
      </c>
      <c r="D954" s="60" t="s">
        <v>4539</v>
      </c>
      <c r="E954" s="60" t="s">
        <v>4540</v>
      </c>
      <c r="F954" s="60" t="s">
        <v>4541</v>
      </c>
      <c r="G954" s="60" t="s">
        <v>4542</v>
      </c>
      <c r="H954" s="61">
        <v>1.2211458964E8</v>
      </c>
      <c r="I954" s="58" t="s">
        <v>2365</v>
      </c>
      <c r="J954" s="58" t="s">
        <v>3676</v>
      </c>
      <c r="K954" s="58"/>
      <c r="L954" s="58" t="s">
        <v>3321</v>
      </c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58"/>
      <c r="B955" s="59" t="s">
        <v>4543</v>
      </c>
      <c r="C955" s="60" t="s">
        <v>3671</v>
      </c>
      <c r="D955" s="60" t="s">
        <v>4544</v>
      </c>
      <c r="E955" s="60" t="s">
        <v>4545</v>
      </c>
      <c r="F955" s="60" t="s">
        <v>4546</v>
      </c>
      <c r="G955" s="60" t="s">
        <v>4547</v>
      </c>
      <c r="H955" s="61">
        <v>5144308.0</v>
      </c>
      <c r="I955" s="58" t="s">
        <v>2365</v>
      </c>
      <c r="J955" s="58" t="s">
        <v>3676</v>
      </c>
      <c r="K955" s="58"/>
      <c r="L955" s="58" t="s">
        <v>3642</v>
      </c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58"/>
      <c r="B956" s="59" t="s">
        <v>4548</v>
      </c>
      <c r="C956" s="60" t="s">
        <v>3671</v>
      </c>
      <c r="D956" s="60" t="s">
        <v>4549</v>
      </c>
      <c r="E956" s="60" t="s">
        <v>4550</v>
      </c>
      <c r="F956" s="60" t="s">
        <v>4551</v>
      </c>
      <c r="G956" s="60" t="s">
        <v>4552</v>
      </c>
      <c r="H956" s="61">
        <v>1.93283466E8</v>
      </c>
      <c r="I956" s="58" t="s">
        <v>2365</v>
      </c>
      <c r="J956" s="58" t="s">
        <v>3676</v>
      </c>
      <c r="K956" s="58"/>
      <c r="L956" s="58" t="s">
        <v>3642</v>
      </c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58"/>
      <c r="B957" s="59" t="s">
        <v>4553</v>
      </c>
      <c r="C957" s="60" t="s">
        <v>3671</v>
      </c>
      <c r="D957" s="60" t="s">
        <v>4554</v>
      </c>
      <c r="E957" s="60" t="s">
        <v>4555</v>
      </c>
      <c r="F957" s="60" t="s">
        <v>4556</v>
      </c>
      <c r="G957" s="60" t="s">
        <v>4557</v>
      </c>
      <c r="H957" s="61">
        <v>1.55552312E7</v>
      </c>
      <c r="I957" s="58" t="s">
        <v>2365</v>
      </c>
      <c r="J957" s="58" t="s">
        <v>3676</v>
      </c>
      <c r="K957" s="58"/>
      <c r="L957" s="58" t="s">
        <v>2373</v>
      </c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58"/>
      <c r="B958" s="59" t="s">
        <v>4558</v>
      </c>
      <c r="C958" s="60" t="s">
        <v>3671</v>
      </c>
      <c r="D958" s="60" t="s">
        <v>4559</v>
      </c>
      <c r="E958" s="60" t="s">
        <v>4560</v>
      </c>
      <c r="F958" s="60" t="s">
        <v>4561</v>
      </c>
      <c r="G958" s="60" t="s">
        <v>4562</v>
      </c>
      <c r="H958" s="61">
        <v>2.468980958E8</v>
      </c>
      <c r="I958" s="58" t="s">
        <v>2365</v>
      </c>
      <c r="J958" s="58" t="s">
        <v>3676</v>
      </c>
      <c r="K958" s="58"/>
      <c r="L958" s="58" t="s">
        <v>3321</v>
      </c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58"/>
      <c r="B959" s="59" t="s">
        <v>4563</v>
      </c>
      <c r="C959" s="60" t="s">
        <v>3671</v>
      </c>
      <c r="D959" s="60" t="s">
        <v>4564</v>
      </c>
      <c r="E959" s="60" t="s">
        <v>4565</v>
      </c>
      <c r="F959" s="60" t="s">
        <v>4566</v>
      </c>
      <c r="G959" s="60" t="s">
        <v>4567</v>
      </c>
      <c r="H959" s="61">
        <v>7.09597876E7</v>
      </c>
      <c r="I959" s="58" t="s">
        <v>2365</v>
      </c>
      <c r="J959" s="58" t="s">
        <v>3676</v>
      </c>
      <c r="K959" s="58"/>
      <c r="L959" s="58" t="s">
        <v>3642</v>
      </c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58"/>
      <c r="B960" s="59" t="s">
        <v>4568</v>
      </c>
      <c r="C960" s="60" t="s">
        <v>3671</v>
      </c>
      <c r="D960" s="60" t="s">
        <v>4569</v>
      </c>
      <c r="E960" s="60" t="s">
        <v>4570</v>
      </c>
      <c r="F960" s="60" t="s">
        <v>4571</v>
      </c>
      <c r="G960" s="60" t="s">
        <v>4572</v>
      </c>
      <c r="H960" s="61">
        <v>3306286.28</v>
      </c>
      <c r="I960" s="58" t="s">
        <v>2365</v>
      </c>
      <c r="J960" s="58" t="s">
        <v>3676</v>
      </c>
      <c r="K960" s="58"/>
      <c r="L960" s="58" t="s">
        <v>2373</v>
      </c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58"/>
      <c r="B961" s="59" t="s">
        <v>4573</v>
      </c>
      <c r="C961" s="60" t="s">
        <v>3671</v>
      </c>
      <c r="D961" s="60" t="s">
        <v>4574</v>
      </c>
      <c r="E961" s="60" t="s">
        <v>4575</v>
      </c>
      <c r="F961" s="60" t="s">
        <v>4576</v>
      </c>
      <c r="G961" s="60" t="s">
        <v>4577</v>
      </c>
      <c r="H961" s="61">
        <v>3.395242683E7</v>
      </c>
      <c r="I961" s="58" t="s">
        <v>2365</v>
      </c>
      <c r="J961" s="58" t="s">
        <v>3676</v>
      </c>
      <c r="K961" s="58"/>
      <c r="L961" s="58" t="s">
        <v>3321</v>
      </c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58"/>
      <c r="B962" s="59" t="s">
        <v>4578</v>
      </c>
      <c r="C962" s="60" t="s">
        <v>3671</v>
      </c>
      <c r="D962" s="60" t="s">
        <v>4579</v>
      </c>
      <c r="E962" s="60" t="s">
        <v>4580</v>
      </c>
      <c r="F962" s="60" t="s">
        <v>4581</v>
      </c>
      <c r="G962" s="60" t="s">
        <v>4582</v>
      </c>
      <c r="H962" s="61">
        <v>1.1929402656E8</v>
      </c>
      <c r="I962" s="58" t="s">
        <v>2365</v>
      </c>
      <c r="J962" s="58" t="s">
        <v>3676</v>
      </c>
      <c r="K962" s="58"/>
      <c r="L962" s="58" t="s">
        <v>3642</v>
      </c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58"/>
      <c r="B963" s="59" t="s">
        <v>4583</v>
      </c>
      <c r="C963" s="60" t="s">
        <v>3671</v>
      </c>
      <c r="D963" s="60" t="s">
        <v>4584</v>
      </c>
      <c r="E963" s="60" t="s">
        <v>4585</v>
      </c>
      <c r="F963" s="60" t="s">
        <v>4586</v>
      </c>
      <c r="G963" s="60" t="s">
        <v>4587</v>
      </c>
      <c r="H963" s="61">
        <v>1.375612403E7</v>
      </c>
      <c r="I963" s="58" t="s">
        <v>2365</v>
      </c>
      <c r="J963" s="58" t="s">
        <v>3676</v>
      </c>
      <c r="K963" s="58"/>
      <c r="L963" s="58" t="s">
        <v>2373</v>
      </c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58"/>
      <c r="B964" s="59" t="s">
        <v>4588</v>
      </c>
      <c r="C964" s="60" t="s">
        <v>3671</v>
      </c>
      <c r="D964" s="60" t="s">
        <v>4589</v>
      </c>
      <c r="E964" s="60" t="s">
        <v>4590</v>
      </c>
      <c r="F964" s="60" t="s">
        <v>4591</v>
      </c>
      <c r="G964" s="60" t="s">
        <v>4592</v>
      </c>
      <c r="H964" s="61">
        <v>7.262604702E7</v>
      </c>
      <c r="I964" s="58" t="s">
        <v>2365</v>
      </c>
      <c r="J964" s="58" t="s">
        <v>3676</v>
      </c>
      <c r="K964" s="58"/>
      <c r="L964" s="58" t="s">
        <v>3321</v>
      </c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58"/>
      <c r="B965" s="59" t="s">
        <v>4593</v>
      </c>
      <c r="C965" s="60" t="s">
        <v>3671</v>
      </c>
      <c r="D965" s="60" t="s">
        <v>4594</v>
      </c>
      <c r="E965" s="60" t="s">
        <v>4595</v>
      </c>
      <c r="F965" s="60" t="s">
        <v>4596</v>
      </c>
      <c r="G965" s="60" t="s">
        <v>4597</v>
      </c>
      <c r="H965" s="61">
        <v>1.51729344E7</v>
      </c>
      <c r="I965" s="58" t="s">
        <v>2365</v>
      </c>
      <c r="J965" s="58" t="s">
        <v>3676</v>
      </c>
      <c r="K965" s="58"/>
      <c r="L965" s="58" t="s">
        <v>3642</v>
      </c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58"/>
      <c r="B966" s="59" t="s">
        <v>4598</v>
      </c>
      <c r="C966" s="60" t="s">
        <v>3671</v>
      </c>
      <c r="D966" s="60" t="s">
        <v>4599</v>
      </c>
      <c r="E966" s="60" t="s">
        <v>4600</v>
      </c>
      <c r="F966" s="60" t="s">
        <v>4601</v>
      </c>
      <c r="G966" s="60" t="s">
        <v>4602</v>
      </c>
      <c r="H966" s="61">
        <v>1.496313E7</v>
      </c>
      <c r="I966" s="58" t="s">
        <v>2365</v>
      </c>
      <c r="J966" s="58" t="s">
        <v>3676</v>
      </c>
      <c r="K966" s="58"/>
      <c r="L966" s="58" t="s">
        <v>3321</v>
      </c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58"/>
      <c r="B967" s="59" t="s">
        <v>4603</v>
      </c>
      <c r="C967" s="60" t="s">
        <v>3671</v>
      </c>
      <c r="D967" s="60" t="s">
        <v>4604</v>
      </c>
      <c r="E967" s="60" t="s">
        <v>4605</v>
      </c>
      <c r="F967" s="60" t="s">
        <v>4606</v>
      </c>
      <c r="G967" s="60" t="s">
        <v>4607</v>
      </c>
      <c r="H967" s="61">
        <v>3.746892243E8</v>
      </c>
      <c r="I967" s="58" t="s">
        <v>2365</v>
      </c>
      <c r="J967" s="58" t="s">
        <v>3676</v>
      </c>
      <c r="K967" s="58"/>
      <c r="L967" s="58" t="s">
        <v>3642</v>
      </c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58"/>
      <c r="B968" s="59" t="s">
        <v>4608</v>
      </c>
      <c r="C968" s="60" t="s">
        <v>3671</v>
      </c>
      <c r="D968" s="60" t="s">
        <v>4609</v>
      </c>
      <c r="E968" s="60" t="s">
        <v>4610</v>
      </c>
      <c r="F968" s="60" t="s">
        <v>4611</v>
      </c>
      <c r="G968" s="60" t="s">
        <v>4612</v>
      </c>
      <c r="H968" s="61">
        <v>8.232819429E7</v>
      </c>
      <c r="I968" s="58" t="s">
        <v>2365</v>
      </c>
      <c r="J968" s="58" t="s">
        <v>3676</v>
      </c>
      <c r="K968" s="58"/>
      <c r="L968" s="58" t="s">
        <v>2373</v>
      </c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58"/>
      <c r="B969" s="59" t="s">
        <v>4613</v>
      </c>
      <c r="C969" s="60" t="s">
        <v>3671</v>
      </c>
      <c r="D969" s="60" t="s">
        <v>4614</v>
      </c>
      <c r="E969" s="60" t="s">
        <v>4615</v>
      </c>
      <c r="F969" s="60" t="s">
        <v>4616</v>
      </c>
      <c r="G969" s="60" t="s">
        <v>4617</v>
      </c>
      <c r="H969" s="61">
        <v>2.0087115981E8</v>
      </c>
      <c r="I969" s="58" t="s">
        <v>2365</v>
      </c>
      <c r="J969" s="58" t="s">
        <v>3676</v>
      </c>
      <c r="K969" s="58"/>
      <c r="L969" s="58" t="s">
        <v>3321</v>
      </c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58"/>
      <c r="B970" s="59" t="s">
        <v>4618</v>
      </c>
      <c r="C970" s="60" t="s">
        <v>3671</v>
      </c>
      <c r="D970" s="60" t="s">
        <v>4619</v>
      </c>
      <c r="E970" s="60" t="s">
        <v>4620</v>
      </c>
      <c r="F970" s="60" t="s">
        <v>4621</v>
      </c>
      <c r="G970" s="60" t="s">
        <v>4622</v>
      </c>
      <c r="H970" s="61">
        <v>5.15500908E7</v>
      </c>
      <c r="I970" s="58" t="s">
        <v>2365</v>
      </c>
      <c r="J970" s="58" t="s">
        <v>3676</v>
      </c>
      <c r="K970" s="58"/>
      <c r="L970" s="58" t="s">
        <v>3642</v>
      </c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58"/>
      <c r="B971" s="59" t="s">
        <v>4623</v>
      </c>
      <c r="C971" s="60" t="s">
        <v>3671</v>
      </c>
      <c r="D971" s="60" t="s">
        <v>4624</v>
      </c>
      <c r="E971" s="60" t="s">
        <v>4625</v>
      </c>
      <c r="F971" s="60" t="s">
        <v>4626</v>
      </c>
      <c r="G971" s="60" t="s">
        <v>4627</v>
      </c>
      <c r="H971" s="61">
        <v>3.74912622E7</v>
      </c>
      <c r="I971" s="58" t="s">
        <v>2365</v>
      </c>
      <c r="J971" s="58" t="s">
        <v>3676</v>
      </c>
      <c r="K971" s="58"/>
      <c r="L971" s="58" t="s">
        <v>3321</v>
      </c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58"/>
      <c r="B972" s="59" t="s">
        <v>4628</v>
      </c>
      <c r="C972" s="60" t="s">
        <v>3671</v>
      </c>
      <c r="D972" s="60" t="s">
        <v>4629</v>
      </c>
      <c r="E972" s="60" t="s">
        <v>4630</v>
      </c>
      <c r="F972" s="60" t="s">
        <v>4631</v>
      </c>
      <c r="G972" s="60" t="s">
        <v>4632</v>
      </c>
      <c r="H972" s="61">
        <v>3.50031656E7</v>
      </c>
      <c r="I972" s="58" t="s">
        <v>2365</v>
      </c>
      <c r="J972" s="58" t="s">
        <v>3676</v>
      </c>
      <c r="K972" s="58"/>
      <c r="L972" s="58" t="s">
        <v>3642</v>
      </c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58"/>
      <c r="B973" s="59" t="s">
        <v>4633</v>
      </c>
      <c r="C973" s="60" t="s">
        <v>3671</v>
      </c>
      <c r="D973" s="60" t="s">
        <v>4634</v>
      </c>
      <c r="E973" s="60" t="s">
        <v>4635</v>
      </c>
      <c r="F973" s="60" t="s">
        <v>4636</v>
      </c>
      <c r="G973" s="60" t="s">
        <v>4637</v>
      </c>
      <c r="H973" s="61">
        <v>2.428049E7</v>
      </c>
      <c r="I973" s="58" t="s">
        <v>2365</v>
      </c>
      <c r="J973" s="58" t="s">
        <v>3676</v>
      </c>
      <c r="K973" s="58"/>
      <c r="L973" s="58" t="s">
        <v>3642</v>
      </c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58"/>
      <c r="B974" s="59" t="s">
        <v>4638</v>
      </c>
      <c r="C974" s="60" t="s">
        <v>3671</v>
      </c>
      <c r="D974" s="60" t="s">
        <v>4639</v>
      </c>
      <c r="E974" s="60" t="s">
        <v>4640</v>
      </c>
      <c r="F974" s="60" t="s">
        <v>4641</v>
      </c>
      <c r="G974" s="60" t="s">
        <v>4642</v>
      </c>
      <c r="H974" s="61">
        <v>1173753.9</v>
      </c>
      <c r="I974" s="58" t="s">
        <v>2365</v>
      </c>
      <c r="J974" s="58" t="s">
        <v>3676</v>
      </c>
      <c r="K974" s="58"/>
      <c r="L974" s="58" t="s">
        <v>2373</v>
      </c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58"/>
      <c r="B975" s="59" t="s">
        <v>4643</v>
      </c>
      <c r="C975" s="60" t="s">
        <v>3671</v>
      </c>
      <c r="D975" s="60" t="s">
        <v>4644</v>
      </c>
      <c r="E975" s="60" t="s">
        <v>4645</v>
      </c>
      <c r="F975" s="60" t="s">
        <v>4646</v>
      </c>
      <c r="G975" s="60" t="s">
        <v>4647</v>
      </c>
      <c r="H975" s="61">
        <v>1.464300222E7</v>
      </c>
      <c r="I975" s="58" t="s">
        <v>2365</v>
      </c>
      <c r="J975" s="58" t="s">
        <v>3676</v>
      </c>
      <c r="K975" s="58"/>
      <c r="L975" s="58" t="s">
        <v>3321</v>
      </c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58"/>
      <c r="B976" s="59" t="s">
        <v>4648</v>
      </c>
      <c r="C976" s="60" t="s">
        <v>3671</v>
      </c>
      <c r="D976" s="60" t="s">
        <v>4649</v>
      </c>
      <c r="E976" s="60" t="s">
        <v>4650</v>
      </c>
      <c r="F976" s="60" t="s">
        <v>4651</v>
      </c>
      <c r="G976" s="60" t="s">
        <v>4652</v>
      </c>
      <c r="H976" s="61">
        <v>5.41490092E7</v>
      </c>
      <c r="I976" s="58" t="s">
        <v>2365</v>
      </c>
      <c r="J976" s="58" t="s">
        <v>3676</v>
      </c>
      <c r="K976" s="58"/>
      <c r="L976" s="58" t="s">
        <v>3642</v>
      </c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58"/>
      <c r="B977" s="59" t="s">
        <v>4653</v>
      </c>
      <c r="C977" s="60" t="s">
        <v>3671</v>
      </c>
      <c r="D977" s="60" t="s">
        <v>4654</v>
      </c>
      <c r="E977" s="60" t="s">
        <v>4655</v>
      </c>
      <c r="F977" s="60" t="s">
        <v>4656</v>
      </c>
      <c r="G977" s="60" t="s">
        <v>4657</v>
      </c>
      <c r="H977" s="61">
        <v>7335632.48</v>
      </c>
      <c r="I977" s="58" t="s">
        <v>2365</v>
      </c>
      <c r="J977" s="58" t="s">
        <v>3676</v>
      </c>
      <c r="K977" s="58"/>
      <c r="L977" s="58" t="s">
        <v>2373</v>
      </c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58"/>
      <c r="B978" s="59" t="s">
        <v>4658</v>
      </c>
      <c r="C978" s="60" t="s">
        <v>3671</v>
      </c>
      <c r="D978" s="60" t="s">
        <v>4659</v>
      </c>
      <c r="E978" s="60" t="s">
        <v>4660</v>
      </c>
      <c r="F978" s="60" t="s">
        <v>4661</v>
      </c>
      <c r="G978" s="60" t="s">
        <v>4662</v>
      </c>
      <c r="H978" s="61">
        <v>1.951995654E7</v>
      </c>
      <c r="I978" s="58" t="s">
        <v>2365</v>
      </c>
      <c r="J978" s="58" t="s">
        <v>3676</v>
      </c>
      <c r="K978" s="58"/>
      <c r="L978" s="58" t="s">
        <v>3321</v>
      </c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58"/>
      <c r="B979" s="59" t="s">
        <v>4663</v>
      </c>
      <c r="C979" s="60" t="s">
        <v>3671</v>
      </c>
      <c r="D979" s="60" t="s">
        <v>4664</v>
      </c>
      <c r="E979" s="60" t="s">
        <v>4665</v>
      </c>
      <c r="F979" s="60" t="s">
        <v>4666</v>
      </c>
      <c r="G979" s="60" t="s">
        <v>4667</v>
      </c>
      <c r="H979" s="61">
        <v>2.1868465644E8</v>
      </c>
      <c r="I979" s="58" t="s">
        <v>2365</v>
      </c>
      <c r="J979" s="58" t="s">
        <v>3676</v>
      </c>
      <c r="K979" s="58"/>
      <c r="L979" s="58" t="s">
        <v>3642</v>
      </c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58"/>
      <c r="B980" s="59" t="s">
        <v>4668</v>
      </c>
      <c r="C980" s="60" t="s">
        <v>3671</v>
      </c>
      <c r="D980" s="60" t="s">
        <v>4669</v>
      </c>
      <c r="E980" s="60" t="s">
        <v>4670</v>
      </c>
      <c r="F980" s="60" t="s">
        <v>4671</v>
      </c>
      <c r="G980" s="60" t="s">
        <v>4672</v>
      </c>
      <c r="H980" s="61">
        <v>1.229312E7</v>
      </c>
      <c r="I980" s="58" t="s">
        <v>2365</v>
      </c>
      <c r="J980" s="58" t="s">
        <v>3676</v>
      </c>
      <c r="K980" s="58"/>
      <c r="L980" s="58" t="s">
        <v>2373</v>
      </c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58"/>
      <c r="B981" s="59" t="s">
        <v>4673</v>
      </c>
      <c r="C981" s="60" t="s">
        <v>3671</v>
      </c>
      <c r="D981" s="60" t="s">
        <v>4674</v>
      </c>
      <c r="E981" s="60" t="s">
        <v>4675</v>
      </c>
      <c r="F981" s="60" t="s">
        <v>4676</v>
      </c>
      <c r="G981" s="60" t="s">
        <v>4677</v>
      </c>
      <c r="H981" s="61">
        <v>1.5613475073E8</v>
      </c>
      <c r="I981" s="58" t="s">
        <v>2365</v>
      </c>
      <c r="J981" s="58" t="s">
        <v>3676</v>
      </c>
      <c r="K981" s="58"/>
      <c r="L981" s="58" t="s">
        <v>3321</v>
      </c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58"/>
      <c r="B982" s="59" t="s">
        <v>4678</v>
      </c>
      <c r="C982" s="60" t="s">
        <v>3671</v>
      </c>
      <c r="D982" s="60" t="s">
        <v>4679</v>
      </c>
      <c r="E982" s="60" t="s">
        <v>4680</v>
      </c>
      <c r="F982" s="60" t="s">
        <v>4681</v>
      </c>
      <c r="G982" s="60" t="s">
        <v>4682</v>
      </c>
      <c r="H982" s="61">
        <v>5.8689592E7</v>
      </c>
      <c r="I982" s="58" t="s">
        <v>2365</v>
      </c>
      <c r="J982" s="58" t="s">
        <v>3676</v>
      </c>
      <c r="K982" s="58"/>
      <c r="L982" s="58" t="s">
        <v>3642</v>
      </c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58"/>
      <c r="B983" s="59" t="s">
        <v>4683</v>
      </c>
      <c r="C983" s="60" t="s">
        <v>3671</v>
      </c>
      <c r="D983" s="60" t="s">
        <v>4684</v>
      </c>
      <c r="E983" s="60" t="s">
        <v>4685</v>
      </c>
      <c r="F983" s="60" t="s">
        <v>4686</v>
      </c>
      <c r="G983" s="60" t="s">
        <v>4687</v>
      </c>
      <c r="H983" s="61">
        <v>2367323.97</v>
      </c>
      <c r="I983" s="58" t="s">
        <v>2365</v>
      </c>
      <c r="J983" s="58" t="s">
        <v>3676</v>
      </c>
      <c r="K983" s="58"/>
      <c r="L983" s="58" t="s">
        <v>2373</v>
      </c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58"/>
      <c r="B984" s="59" t="s">
        <v>4688</v>
      </c>
      <c r="C984" s="60" t="s">
        <v>3671</v>
      </c>
      <c r="D984" s="60" t="s">
        <v>4689</v>
      </c>
      <c r="E984" s="60" t="s">
        <v>4690</v>
      </c>
      <c r="F984" s="60" t="s">
        <v>4691</v>
      </c>
      <c r="G984" s="60" t="s">
        <v>4692</v>
      </c>
      <c r="H984" s="61">
        <v>7.1196069E7</v>
      </c>
      <c r="I984" s="58" t="s">
        <v>2365</v>
      </c>
      <c r="J984" s="58" t="s">
        <v>3676</v>
      </c>
      <c r="K984" s="58"/>
      <c r="L984" s="58" t="s">
        <v>3321</v>
      </c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58"/>
      <c r="B985" s="59" t="s">
        <v>4693</v>
      </c>
      <c r="C985" s="60" t="s">
        <v>3671</v>
      </c>
      <c r="D985" s="60" t="s">
        <v>4694</v>
      </c>
      <c r="E985" s="60" t="s">
        <v>4695</v>
      </c>
      <c r="F985" s="60" t="s">
        <v>4696</v>
      </c>
      <c r="G985" s="60" t="s">
        <v>4697</v>
      </c>
      <c r="H985" s="61">
        <v>7937202.0</v>
      </c>
      <c r="I985" s="58" t="s">
        <v>2365</v>
      </c>
      <c r="J985" s="58" t="s">
        <v>3676</v>
      </c>
      <c r="K985" s="58"/>
      <c r="L985" s="58" t="s">
        <v>3642</v>
      </c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58"/>
      <c r="B986" s="59" t="s">
        <v>4698</v>
      </c>
      <c r="C986" s="60" t="s">
        <v>3671</v>
      </c>
      <c r="D986" s="60" t="s">
        <v>4699</v>
      </c>
      <c r="E986" s="60" t="s">
        <v>4700</v>
      </c>
      <c r="F986" s="60" t="s">
        <v>4701</v>
      </c>
      <c r="G986" s="60" t="s">
        <v>4702</v>
      </c>
      <c r="H986" s="61">
        <v>1744543.08</v>
      </c>
      <c r="I986" s="58" t="s">
        <v>2365</v>
      </c>
      <c r="J986" s="58" t="s">
        <v>3676</v>
      </c>
      <c r="K986" s="58"/>
      <c r="L986" s="58" t="s">
        <v>3321</v>
      </c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58"/>
      <c r="B987" s="59" t="s">
        <v>4703</v>
      </c>
      <c r="C987" s="60" t="s">
        <v>3671</v>
      </c>
      <c r="D987" s="60" t="s">
        <v>4704</v>
      </c>
      <c r="E987" s="60" t="s">
        <v>4705</v>
      </c>
      <c r="F987" s="60" t="s">
        <v>4706</v>
      </c>
      <c r="G987" s="60" t="s">
        <v>4707</v>
      </c>
      <c r="H987" s="61">
        <v>3.9465520757E8</v>
      </c>
      <c r="I987" s="58" t="s">
        <v>2365</v>
      </c>
      <c r="J987" s="58" t="s">
        <v>3676</v>
      </c>
      <c r="K987" s="58"/>
      <c r="L987" s="58" t="s">
        <v>3642</v>
      </c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58"/>
      <c r="B988" s="59" t="s">
        <v>4708</v>
      </c>
      <c r="C988" s="60" t="s">
        <v>3671</v>
      </c>
      <c r="D988" s="60" t="s">
        <v>4709</v>
      </c>
      <c r="E988" s="60" t="s">
        <v>4710</v>
      </c>
      <c r="F988" s="60" t="s">
        <v>4711</v>
      </c>
      <c r="G988" s="60" t="s">
        <v>4712</v>
      </c>
      <c r="H988" s="61">
        <v>8.8059076E7</v>
      </c>
      <c r="I988" s="58" t="s">
        <v>2365</v>
      </c>
      <c r="J988" s="58" t="s">
        <v>3676</v>
      </c>
      <c r="K988" s="58"/>
      <c r="L988" s="58" t="s">
        <v>2373</v>
      </c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58"/>
      <c r="B989" s="59" t="s">
        <v>4713</v>
      </c>
      <c r="C989" s="60" t="s">
        <v>3671</v>
      </c>
      <c r="D989" s="60" t="s">
        <v>4714</v>
      </c>
      <c r="E989" s="60" t="s">
        <v>4715</v>
      </c>
      <c r="F989" s="60" t="s">
        <v>4716</v>
      </c>
      <c r="G989" s="60" t="s">
        <v>4717</v>
      </c>
      <c r="H989" s="61">
        <v>3.2934224693E8</v>
      </c>
      <c r="I989" s="58" t="s">
        <v>2365</v>
      </c>
      <c r="J989" s="58" t="s">
        <v>3676</v>
      </c>
      <c r="K989" s="58"/>
      <c r="L989" s="58" t="s">
        <v>3321</v>
      </c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58"/>
      <c r="B990" s="59" t="s">
        <v>4718</v>
      </c>
      <c r="C990" s="60" t="s">
        <v>3671</v>
      </c>
      <c r="D990" s="60" t="s">
        <v>4719</v>
      </c>
      <c r="E990" s="60" t="s">
        <v>4720</v>
      </c>
      <c r="F990" s="60" t="s">
        <v>4721</v>
      </c>
      <c r="G990" s="60" t="s">
        <v>4722</v>
      </c>
      <c r="H990" s="61">
        <v>2.154918096E7</v>
      </c>
      <c r="I990" s="58" t="s">
        <v>2365</v>
      </c>
      <c r="J990" s="58" t="s">
        <v>3676</v>
      </c>
      <c r="K990" s="58"/>
      <c r="L990" s="58" t="s">
        <v>3642</v>
      </c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58"/>
      <c r="B991" s="59" t="s">
        <v>4723</v>
      </c>
      <c r="C991" s="60" t="s">
        <v>3671</v>
      </c>
      <c r="D991" s="60" t="s">
        <v>4724</v>
      </c>
      <c r="E991" s="60" t="s">
        <v>4725</v>
      </c>
      <c r="F991" s="60" t="s">
        <v>4726</v>
      </c>
      <c r="G991" s="60" t="s">
        <v>4727</v>
      </c>
      <c r="H991" s="61">
        <v>1.419778995E7</v>
      </c>
      <c r="I991" s="58" t="s">
        <v>2365</v>
      </c>
      <c r="J991" s="58" t="s">
        <v>3676</v>
      </c>
      <c r="K991" s="58"/>
      <c r="L991" s="58" t="s">
        <v>3321</v>
      </c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58"/>
      <c r="B992" s="59" t="s">
        <v>4728</v>
      </c>
      <c r="C992" s="60" t="s">
        <v>3671</v>
      </c>
      <c r="D992" s="60" t="s">
        <v>4729</v>
      </c>
      <c r="E992" s="60" t="s">
        <v>4730</v>
      </c>
      <c r="F992" s="60" t="s">
        <v>4731</v>
      </c>
      <c r="G992" s="60" t="s">
        <v>4732</v>
      </c>
      <c r="H992" s="61">
        <v>2.40733688E7</v>
      </c>
      <c r="I992" s="58" t="s">
        <v>2365</v>
      </c>
      <c r="J992" s="58" t="s">
        <v>3676</v>
      </c>
      <c r="K992" s="58"/>
      <c r="L992" s="58" t="s">
        <v>3642</v>
      </c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58"/>
      <c r="B993" s="59" t="s">
        <v>4733</v>
      </c>
      <c r="C993" s="60" t="s">
        <v>3671</v>
      </c>
      <c r="D993" s="60" t="s">
        <v>4734</v>
      </c>
      <c r="E993" s="60" t="s">
        <v>4735</v>
      </c>
      <c r="F993" s="60" t="s">
        <v>4736</v>
      </c>
      <c r="G993" s="60" t="s">
        <v>4737</v>
      </c>
      <c r="H993" s="61">
        <v>8104753.86</v>
      </c>
      <c r="I993" s="58" t="s">
        <v>2365</v>
      </c>
      <c r="J993" s="58" t="s">
        <v>3676</v>
      </c>
      <c r="K993" s="58"/>
      <c r="L993" s="58" t="s">
        <v>3321</v>
      </c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58"/>
      <c r="B994" s="59" t="s">
        <v>4738</v>
      </c>
      <c r="C994" s="60" t="s">
        <v>3671</v>
      </c>
      <c r="D994" s="60" t="s">
        <v>4739</v>
      </c>
      <c r="E994" s="60" t="s">
        <v>4740</v>
      </c>
      <c r="F994" s="60" t="s">
        <v>4741</v>
      </c>
      <c r="G994" s="60" t="s">
        <v>4742</v>
      </c>
      <c r="H994" s="61">
        <v>2.4726904056E8</v>
      </c>
      <c r="I994" s="58" t="s">
        <v>2365</v>
      </c>
      <c r="J994" s="58" t="s">
        <v>3676</v>
      </c>
      <c r="K994" s="58"/>
      <c r="L994" s="58" t="s">
        <v>3642</v>
      </c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58"/>
      <c r="B995" s="59" t="s">
        <v>4743</v>
      </c>
      <c r="C995" s="60" t="s">
        <v>3671</v>
      </c>
      <c r="D995" s="60" t="s">
        <v>4744</v>
      </c>
      <c r="E995" s="60" t="s">
        <v>4745</v>
      </c>
      <c r="F995" s="60" t="s">
        <v>4746</v>
      </c>
      <c r="G995" s="60" t="s">
        <v>4747</v>
      </c>
      <c r="H995" s="61">
        <v>1.317449966E7</v>
      </c>
      <c r="I995" s="58" t="s">
        <v>2365</v>
      </c>
      <c r="J995" s="58" t="s">
        <v>3676</v>
      </c>
      <c r="K995" s="58"/>
      <c r="L995" s="58" t="s">
        <v>2373</v>
      </c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58"/>
      <c r="B996" s="59" t="s">
        <v>4748</v>
      </c>
      <c r="C996" s="60" t="s">
        <v>3671</v>
      </c>
      <c r="D996" s="60" t="s">
        <v>4749</v>
      </c>
      <c r="E996" s="60" t="s">
        <v>4750</v>
      </c>
      <c r="F996" s="60" t="s">
        <v>4751</v>
      </c>
      <c r="G996" s="60" t="s">
        <v>4752</v>
      </c>
      <c r="H996" s="61">
        <v>1.3030021612E8</v>
      </c>
      <c r="I996" s="58" t="s">
        <v>2365</v>
      </c>
      <c r="J996" s="58" t="s">
        <v>3676</v>
      </c>
      <c r="K996" s="58"/>
      <c r="L996" s="58" t="s">
        <v>3321</v>
      </c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58"/>
      <c r="B997" s="59" t="s">
        <v>4753</v>
      </c>
      <c r="C997" s="60" t="s">
        <v>3671</v>
      </c>
      <c r="D997" s="60" t="s">
        <v>4754</v>
      </c>
      <c r="E997" s="60" t="s">
        <v>4755</v>
      </c>
      <c r="F997" s="60" t="s">
        <v>4756</v>
      </c>
      <c r="G997" s="60" t="s">
        <v>4757</v>
      </c>
      <c r="H997" s="61">
        <v>5.052230136E7</v>
      </c>
      <c r="I997" s="58" t="s">
        <v>2365</v>
      </c>
      <c r="J997" s="58" t="s">
        <v>3676</v>
      </c>
      <c r="K997" s="58"/>
      <c r="L997" s="58" t="s">
        <v>3642</v>
      </c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58"/>
      <c r="B998" s="59" t="s">
        <v>4758</v>
      </c>
      <c r="C998" s="60" t="s">
        <v>3671</v>
      </c>
      <c r="D998" s="60" t="s">
        <v>4759</v>
      </c>
      <c r="E998" s="60" t="s">
        <v>4760</v>
      </c>
      <c r="F998" s="60" t="s">
        <v>4761</v>
      </c>
      <c r="G998" s="60" t="s">
        <v>4762</v>
      </c>
      <c r="H998" s="61">
        <v>7645154.44</v>
      </c>
      <c r="I998" s="58" t="s">
        <v>2365</v>
      </c>
      <c r="J998" s="58" t="s">
        <v>3676</v>
      </c>
      <c r="K998" s="58"/>
      <c r="L998" s="58" t="s">
        <v>2373</v>
      </c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58"/>
      <c r="B999" s="59" t="s">
        <v>4763</v>
      </c>
      <c r="C999" s="60" t="s">
        <v>3671</v>
      </c>
      <c r="D999" s="60" t="s">
        <v>4764</v>
      </c>
      <c r="E999" s="60" t="s">
        <v>4765</v>
      </c>
      <c r="F999" s="60" t="s">
        <v>4766</v>
      </c>
      <c r="G999" s="60" t="s">
        <v>4767</v>
      </c>
      <c r="H999" s="61">
        <v>3.347353472E7</v>
      </c>
      <c r="I999" s="58" t="s">
        <v>2365</v>
      </c>
      <c r="J999" s="58" t="s">
        <v>3676</v>
      </c>
      <c r="K999" s="58"/>
      <c r="L999" s="58" t="s">
        <v>3321</v>
      </c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58"/>
      <c r="B1000" s="59" t="s">
        <v>4768</v>
      </c>
      <c r="C1000" s="60" t="s">
        <v>3671</v>
      </c>
      <c r="D1000" s="60" t="s">
        <v>4769</v>
      </c>
      <c r="E1000" s="60" t="s">
        <v>4770</v>
      </c>
      <c r="F1000" s="60" t="s">
        <v>4771</v>
      </c>
      <c r="G1000" s="60" t="s">
        <v>4772</v>
      </c>
      <c r="H1000" s="61">
        <v>5451378.4</v>
      </c>
      <c r="I1000" s="58" t="s">
        <v>2365</v>
      </c>
      <c r="J1000" s="58" t="s">
        <v>3676</v>
      </c>
      <c r="K1000" s="58"/>
      <c r="L1000" s="58" t="s">
        <v>3642</v>
      </c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>
      <c r="A1001" s="58"/>
      <c r="B1001" s="59" t="s">
        <v>4773</v>
      </c>
      <c r="C1001" s="60" t="s">
        <v>3671</v>
      </c>
      <c r="D1001" s="60" t="s">
        <v>4774</v>
      </c>
      <c r="E1001" s="60" t="s">
        <v>4775</v>
      </c>
      <c r="F1001" s="60" t="s">
        <v>4776</v>
      </c>
      <c r="G1001" s="60" t="s">
        <v>4777</v>
      </c>
      <c r="H1001" s="61">
        <v>5238253.62</v>
      </c>
      <c r="I1001" s="58" t="s">
        <v>2365</v>
      </c>
      <c r="J1001" s="58" t="s">
        <v>3676</v>
      </c>
      <c r="K1001" s="58"/>
      <c r="L1001" s="58" t="s">
        <v>3321</v>
      </c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>
      <c r="A1002" s="58"/>
      <c r="B1002" s="59" t="s">
        <v>4778</v>
      </c>
      <c r="C1002" s="60" t="s">
        <v>3671</v>
      </c>
      <c r="D1002" s="60" t="s">
        <v>4779</v>
      </c>
      <c r="E1002" s="60" t="s">
        <v>4780</v>
      </c>
      <c r="F1002" s="60" t="s">
        <v>4781</v>
      </c>
      <c r="G1002" s="60" t="s">
        <v>4782</v>
      </c>
      <c r="H1002" s="61">
        <v>4.533697224E7</v>
      </c>
      <c r="I1002" s="58" t="s">
        <v>2365</v>
      </c>
      <c r="J1002" s="58" t="s">
        <v>3676</v>
      </c>
      <c r="K1002" s="58"/>
      <c r="L1002" s="58" t="s">
        <v>3642</v>
      </c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>
      <c r="A1003" s="58"/>
      <c r="B1003" s="59" t="s">
        <v>4783</v>
      </c>
      <c r="C1003" s="60" t="s">
        <v>3671</v>
      </c>
      <c r="D1003" s="60" t="s">
        <v>4784</v>
      </c>
      <c r="E1003" s="60" t="s">
        <v>4785</v>
      </c>
      <c r="F1003" s="60" t="s">
        <v>4786</v>
      </c>
      <c r="G1003" s="60" t="s">
        <v>4787</v>
      </c>
      <c r="H1003" s="61">
        <v>2204666.8</v>
      </c>
      <c r="I1003" s="58" t="s">
        <v>2365</v>
      </c>
      <c r="J1003" s="58" t="s">
        <v>3676</v>
      </c>
      <c r="K1003" s="58"/>
      <c r="L1003" s="58" t="s">
        <v>2373</v>
      </c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>
      <c r="A1004" s="58"/>
      <c r="B1004" s="59" t="s">
        <v>4788</v>
      </c>
      <c r="C1004" s="60" t="s">
        <v>3671</v>
      </c>
      <c r="D1004" s="60" t="s">
        <v>4789</v>
      </c>
      <c r="E1004" s="60" t="s">
        <v>4790</v>
      </c>
      <c r="F1004" s="60" t="s">
        <v>4791</v>
      </c>
      <c r="G1004" s="60" t="s">
        <v>4792</v>
      </c>
      <c r="H1004" s="61">
        <v>1.97432271E7</v>
      </c>
      <c r="I1004" s="58" t="s">
        <v>2365</v>
      </c>
      <c r="J1004" s="58" t="s">
        <v>3676</v>
      </c>
      <c r="K1004" s="58"/>
      <c r="L1004" s="58" t="s">
        <v>3321</v>
      </c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>
      <c r="A1005" s="58"/>
      <c r="B1005" s="59" t="s">
        <v>4793</v>
      </c>
      <c r="C1005" s="60" t="s">
        <v>3671</v>
      </c>
      <c r="D1005" s="60" t="s">
        <v>4794</v>
      </c>
      <c r="E1005" s="60" t="s">
        <v>4795</v>
      </c>
      <c r="F1005" s="60" t="s">
        <v>4796</v>
      </c>
      <c r="G1005" s="60" t="s">
        <v>4797</v>
      </c>
      <c r="H1005" s="61">
        <v>7.4648106054E8</v>
      </c>
      <c r="I1005" s="58" t="s">
        <v>2365</v>
      </c>
      <c r="J1005" s="58" t="s">
        <v>3676</v>
      </c>
      <c r="K1005" s="58"/>
      <c r="L1005" s="58" t="s">
        <v>3642</v>
      </c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  <row r="1006">
      <c r="A1006" s="58"/>
      <c r="B1006" s="59" t="s">
        <v>4798</v>
      </c>
      <c r="C1006" s="60" t="s">
        <v>3671</v>
      </c>
      <c r="D1006" s="60" t="s">
        <v>4799</v>
      </c>
      <c r="E1006" s="60" t="s">
        <v>4800</v>
      </c>
      <c r="F1006" s="60" t="s">
        <v>4801</v>
      </c>
      <c r="G1006" s="60" t="s">
        <v>4802</v>
      </c>
      <c r="H1006" s="61">
        <v>3.416713898E7</v>
      </c>
      <c r="I1006" s="58" t="s">
        <v>2365</v>
      </c>
      <c r="J1006" s="58" t="s">
        <v>3676</v>
      </c>
      <c r="K1006" s="58"/>
      <c r="L1006" s="58" t="s">
        <v>2373</v>
      </c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</row>
    <row r="1007">
      <c r="A1007" s="58"/>
      <c r="B1007" s="59" t="s">
        <v>4803</v>
      </c>
      <c r="C1007" s="60" t="s">
        <v>3671</v>
      </c>
      <c r="D1007" s="60" t="s">
        <v>4804</v>
      </c>
      <c r="E1007" s="60" t="s">
        <v>4805</v>
      </c>
      <c r="F1007" s="60" t="s">
        <v>4806</v>
      </c>
      <c r="G1007" s="60" t="s">
        <v>4807</v>
      </c>
      <c r="H1007" s="61">
        <v>3.2045685448E8</v>
      </c>
      <c r="I1007" s="58" t="s">
        <v>2365</v>
      </c>
      <c r="J1007" s="58" t="s">
        <v>3676</v>
      </c>
      <c r="K1007" s="58"/>
      <c r="L1007" s="58" t="s">
        <v>3321</v>
      </c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</row>
    <row r="1008">
      <c r="A1008" s="58"/>
      <c r="B1008" s="59" t="s">
        <v>4808</v>
      </c>
      <c r="C1008" s="60" t="s">
        <v>3671</v>
      </c>
      <c r="D1008" s="60" t="s">
        <v>4809</v>
      </c>
      <c r="E1008" s="60" t="s">
        <v>4810</v>
      </c>
      <c r="F1008" s="60" t="s">
        <v>4811</v>
      </c>
      <c r="G1008" s="60" t="s">
        <v>4812</v>
      </c>
      <c r="H1008" s="61">
        <v>2.34818272E7</v>
      </c>
      <c r="I1008" s="58" t="s">
        <v>2365</v>
      </c>
      <c r="J1008" s="58" t="s">
        <v>3676</v>
      </c>
      <c r="K1008" s="58"/>
      <c r="L1008" s="58" t="s">
        <v>3642</v>
      </c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</row>
    <row r="1009">
      <c r="A1009" s="58"/>
      <c r="B1009" s="59" t="s">
        <v>4813</v>
      </c>
      <c r="C1009" s="60" t="s">
        <v>3671</v>
      </c>
      <c r="D1009" s="60" t="s">
        <v>4814</v>
      </c>
      <c r="E1009" s="60" t="s">
        <v>4815</v>
      </c>
      <c r="F1009" s="60" t="s">
        <v>4816</v>
      </c>
      <c r="G1009" s="60" t="s">
        <v>4817</v>
      </c>
      <c r="H1009" s="61">
        <v>3.769859982E7</v>
      </c>
      <c r="I1009" s="58" t="s">
        <v>2365</v>
      </c>
      <c r="J1009" s="58" t="s">
        <v>3676</v>
      </c>
      <c r="K1009" s="58"/>
      <c r="L1009" s="58" t="s">
        <v>3321</v>
      </c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</row>
    <row r="1010">
      <c r="A1010" s="58"/>
      <c r="B1010" s="59" t="s">
        <v>4818</v>
      </c>
      <c r="C1010" s="60" t="s">
        <v>3671</v>
      </c>
      <c r="D1010" s="60" t="s">
        <v>4819</v>
      </c>
      <c r="E1010" s="60" t="s">
        <v>4820</v>
      </c>
      <c r="F1010" s="60" t="s">
        <v>4821</v>
      </c>
      <c r="G1010" s="60" t="s">
        <v>4822</v>
      </c>
      <c r="H1010" s="61">
        <v>5.083499157E7</v>
      </c>
      <c r="I1010" s="58" t="s">
        <v>2365</v>
      </c>
      <c r="J1010" s="58" t="s">
        <v>3676</v>
      </c>
      <c r="K1010" s="58"/>
      <c r="L1010" s="58" t="s">
        <v>3642</v>
      </c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</row>
    <row r="1011">
      <c r="A1011" s="58"/>
      <c r="B1011" s="59" t="s">
        <v>4823</v>
      </c>
      <c r="C1011" s="60" t="s">
        <v>3671</v>
      </c>
      <c r="D1011" s="60" t="s">
        <v>4824</v>
      </c>
      <c r="E1011" s="60" t="s">
        <v>4825</v>
      </c>
      <c r="F1011" s="60" t="s">
        <v>4826</v>
      </c>
      <c r="G1011" s="60" t="s">
        <v>4827</v>
      </c>
      <c r="H1011" s="61">
        <v>1.084995404E7</v>
      </c>
      <c r="I1011" s="58" t="s">
        <v>2365</v>
      </c>
      <c r="J1011" s="58" t="s">
        <v>3676</v>
      </c>
      <c r="K1011" s="58"/>
      <c r="L1011" s="58" t="s">
        <v>2373</v>
      </c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</row>
    <row r="1012">
      <c r="A1012" s="58"/>
      <c r="B1012" s="59" t="s">
        <v>4828</v>
      </c>
      <c r="C1012" s="60" t="s">
        <v>3671</v>
      </c>
      <c r="D1012" s="60" t="s">
        <v>4829</v>
      </c>
      <c r="E1012" s="60" t="s">
        <v>4830</v>
      </c>
      <c r="F1012" s="60" t="s">
        <v>4831</v>
      </c>
      <c r="G1012" s="60" t="s">
        <v>4832</v>
      </c>
      <c r="H1012" s="61">
        <v>5.47068386E7</v>
      </c>
      <c r="I1012" s="58" t="s">
        <v>2365</v>
      </c>
      <c r="J1012" s="58" t="s">
        <v>3676</v>
      </c>
      <c r="K1012" s="58"/>
      <c r="L1012" s="58" t="s">
        <v>3321</v>
      </c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</row>
    <row r="1013">
      <c r="A1013" s="58"/>
      <c r="B1013" s="59" t="s">
        <v>4833</v>
      </c>
      <c r="C1013" s="60" t="s">
        <v>3671</v>
      </c>
      <c r="D1013" s="60" t="s">
        <v>4834</v>
      </c>
      <c r="E1013" s="60" t="s">
        <v>4835</v>
      </c>
      <c r="F1013" s="60" t="s">
        <v>4836</v>
      </c>
      <c r="G1013" s="60" t="s">
        <v>4837</v>
      </c>
      <c r="H1013" s="61">
        <v>3857344.2</v>
      </c>
      <c r="I1013" s="58" t="s">
        <v>2365</v>
      </c>
      <c r="J1013" s="58" t="s">
        <v>3676</v>
      </c>
      <c r="K1013" s="58"/>
      <c r="L1013" s="58" t="s">
        <v>3642</v>
      </c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</row>
    <row r="1014">
      <c r="A1014" s="58"/>
      <c r="B1014" s="59" t="s">
        <v>4838</v>
      </c>
      <c r="C1014" s="60" t="s">
        <v>3671</v>
      </c>
      <c r="D1014" s="60" t="s">
        <v>4839</v>
      </c>
      <c r="E1014" s="60" t="s">
        <v>4840</v>
      </c>
      <c r="F1014" s="60" t="s">
        <v>4841</v>
      </c>
      <c r="G1014" s="60" t="s">
        <v>4842</v>
      </c>
      <c r="H1014" s="61">
        <v>8062755.96</v>
      </c>
      <c r="I1014" s="58" t="s">
        <v>2365</v>
      </c>
      <c r="J1014" s="58" t="s">
        <v>3676</v>
      </c>
      <c r="K1014" s="58"/>
      <c r="L1014" s="58" t="s">
        <v>3321</v>
      </c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</row>
    <row r="1015">
      <c r="A1015" s="58"/>
      <c r="B1015" s="59" t="s">
        <v>4843</v>
      </c>
      <c r="C1015" s="60" t="s">
        <v>3671</v>
      </c>
      <c r="D1015" s="60" t="s">
        <v>4844</v>
      </c>
      <c r="E1015" s="60" t="s">
        <v>4845</v>
      </c>
      <c r="F1015" s="60" t="s">
        <v>4846</v>
      </c>
      <c r="G1015" s="60" t="s">
        <v>4847</v>
      </c>
      <c r="H1015" s="61">
        <v>2.9366077644E8</v>
      </c>
      <c r="I1015" s="58" t="s">
        <v>2365</v>
      </c>
      <c r="J1015" s="58" t="s">
        <v>3676</v>
      </c>
      <c r="K1015" s="58"/>
      <c r="L1015" s="58" t="s">
        <v>3642</v>
      </c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</row>
    <row r="1016">
      <c r="A1016" s="58"/>
      <c r="B1016" s="59" t="s">
        <v>4848</v>
      </c>
      <c r="C1016" s="60" t="s">
        <v>3671</v>
      </c>
      <c r="D1016" s="60" t="s">
        <v>4849</v>
      </c>
      <c r="E1016" s="60" t="s">
        <v>4850</v>
      </c>
      <c r="F1016" s="60" t="s">
        <v>4851</v>
      </c>
      <c r="G1016" s="60" t="s">
        <v>4852</v>
      </c>
      <c r="H1016" s="61">
        <v>1.26676074E7</v>
      </c>
      <c r="I1016" s="58" t="s">
        <v>2365</v>
      </c>
      <c r="J1016" s="58" t="s">
        <v>3676</v>
      </c>
      <c r="K1016" s="58"/>
      <c r="L1016" s="58" t="s">
        <v>2373</v>
      </c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</row>
    <row r="1017">
      <c r="A1017" s="58"/>
      <c r="B1017" s="59" t="s">
        <v>4853</v>
      </c>
      <c r="C1017" s="60" t="s">
        <v>3671</v>
      </c>
      <c r="D1017" s="60" t="s">
        <v>4854</v>
      </c>
      <c r="E1017" s="60" t="s">
        <v>4855</v>
      </c>
      <c r="F1017" s="60" t="s">
        <v>4856</v>
      </c>
      <c r="G1017" s="60" t="s">
        <v>4857</v>
      </c>
      <c r="H1017" s="61">
        <v>1.4720986238E8</v>
      </c>
      <c r="I1017" s="58" t="s">
        <v>2365</v>
      </c>
      <c r="J1017" s="58" t="s">
        <v>3676</v>
      </c>
      <c r="K1017" s="58"/>
      <c r="L1017" s="58" t="s">
        <v>3321</v>
      </c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</row>
    <row r="1018">
      <c r="A1018" s="58"/>
      <c r="B1018" s="59" t="s">
        <v>4858</v>
      </c>
      <c r="C1018" s="60" t="s">
        <v>3671</v>
      </c>
      <c r="D1018" s="60" t="s">
        <v>4859</v>
      </c>
      <c r="E1018" s="60" t="s">
        <v>4860</v>
      </c>
      <c r="F1018" s="60" t="s">
        <v>4861</v>
      </c>
      <c r="G1018" s="60" t="s">
        <v>4862</v>
      </c>
      <c r="H1018" s="61">
        <v>3.7407108312E8</v>
      </c>
      <c r="I1018" s="58" t="s">
        <v>2365</v>
      </c>
      <c r="J1018" s="58" t="s">
        <v>3676</v>
      </c>
      <c r="K1018" s="58"/>
      <c r="L1018" s="58" t="s">
        <v>3642</v>
      </c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</row>
    <row r="1019">
      <c r="A1019" s="58"/>
      <c r="B1019" s="59" t="s">
        <v>4863</v>
      </c>
      <c r="C1019" s="60" t="s">
        <v>3671</v>
      </c>
      <c r="D1019" s="60" t="s">
        <v>4864</v>
      </c>
      <c r="E1019" s="60" t="s">
        <v>4865</v>
      </c>
      <c r="F1019" s="60" t="s">
        <v>4866</v>
      </c>
      <c r="G1019" s="60" t="s">
        <v>4867</v>
      </c>
      <c r="H1019" s="61">
        <v>4.048618336E7</v>
      </c>
      <c r="I1019" s="58" t="s">
        <v>2365</v>
      </c>
      <c r="J1019" s="58" t="s">
        <v>3676</v>
      </c>
      <c r="K1019" s="58"/>
      <c r="L1019" s="58" t="s">
        <v>2373</v>
      </c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</row>
    <row r="1020">
      <c r="A1020" s="58"/>
      <c r="B1020" s="59" t="s">
        <v>4868</v>
      </c>
      <c r="C1020" s="60" t="s">
        <v>3671</v>
      </c>
      <c r="D1020" s="60" t="s">
        <v>4869</v>
      </c>
      <c r="E1020" s="60" t="s">
        <v>4870</v>
      </c>
      <c r="F1020" s="60" t="s">
        <v>4871</v>
      </c>
      <c r="G1020" s="60" t="s">
        <v>4872</v>
      </c>
      <c r="H1020" s="61">
        <v>2.1934141312E8</v>
      </c>
      <c r="I1020" s="58" t="s">
        <v>2365</v>
      </c>
      <c r="J1020" s="58" t="s">
        <v>3676</v>
      </c>
      <c r="K1020" s="58"/>
      <c r="L1020" s="58" t="s">
        <v>3321</v>
      </c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</row>
    <row r="1021">
      <c r="A1021" s="58"/>
      <c r="B1021" s="59" t="s">
        <v>4873</v>
      </c>
      <c r="C1021" s="60" t="s">
        <v>3671</v>
      </c>
      <c r="D1021" s="60" t="s">
        <v>4874</v>
      </c>
      <c r="E1021" s="60" t="s">
        <v>4875</v>
      </c>
      <c r="F1021" s="60" t="s">
        <v>4876</v>
      </c>
      <c r="G1021" s="60" t="s">
        <v>4877</v>
      </c>
      <c r="H1021" s="61">
        <v>2.539171986E7</v>
      </c>
      <c r="I1021" s="58" t="s">
        <v>2365</v>
      </c>
      <c r="J1021" s="58" t="s">
        <v>3676</v>
      </c>
      <c r="K1021" s="58"/>
      <c r="L1021" s="58" t="s">
        <v>3642</v>
      </c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</row>
    <row r="1022">
      <c r="A1022" s="58"/>
      <c r="B1022" s="59" t="s">
        <v>4878</v>
      </c>
      <c r="C1022" s="60" t="s">
        <v>3671</v>
      </c>
      <c r="D1022" s="60" t="s">
        <v>4879</v>
      </c>
      <c r="E1022" s="60" t="s">
        <v>4880</v>
      </c>
      <c r="F1022" s="60" t="s">
        <v>4881</v>
      </c>
      <c r="G1022" s="60" t="s">
        <v>4882</v>
      </c>
      <c r="H1022" s="61">
        <v>727320.72</v>
      </c>
      <c r="I1022" s="58" t="s">
        <v>2365</v>
      </c>
      <c r="J1022" s="58" t="s">
        <v>3676</v>
      </c>
      <c r="K1022" s="58"/>
      <c r="L1022" s="58" t="s">
        <v>3321</v>
      </c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</row>
    <row r="1023">
      <c r="A1023" s="58"/>
      <c r="B1023" s="59" t="s">
        <v>4883</v>
      </c>
      <c r="C1023" s="60" t="s">
        <v>3671</v>
      </c>
      <c r="D1023" s="60" t="s">
        <v>4884</v>
      </c>
      <c r="E1023" s="60" t="s">
        <v>4885</v>
      </c>
      <c r="F1023" s="60" t="s">
        <v>4886</v>
      </c>
      <c r="G1023" s="60" t="s">
        <v>4887</v>
      </c>
      <c r="H1023" s="61">
        <v>3.61034362E7</v>
      </c>
      <c r="I1023" s="58" t="s">
        <v>2365</v>
      </c>
      <c r="J1023" s="58" t="s">
        <v>3676</v>
      </c>
      <c r="K1023" s="58"/>
      <c r="L1023" s="58" t="s">
        <v>3642</v>
      </c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</row>
    <row r="1024">
      <c r="A1024" s="58"/>
      <c r="B1024" s="59" t="s">
        <v>4888</v>
      </c>
      <c r="C1024" s="60" t="s">
        <v>3671</v>
      </c>
      <c r="D1024" s="60" t="s">
        <v>4889</v>
      </c>
      <c r="E1024" s="60" t="s">
        <v>4890</v>
      </c>
      <c r="F1024" s="60" t="s">
        <v>4891</v>
      </c>
      <c r="G1024" s="60" t="s">
        <v>4892</v>
      </c>
      <c r="H1024" s="61">
        <v>6045926.67</v>
      </c>
      <c r="I1024" s="58" t="s">
        <v>2365</v>
      </c>
      <c r="J1024" s="58" t="s">
        <v>3676</v>
      </c>
      <c r="K1024" s="58"/>
      <c r="L1024" s="58" t="s">
        <v>2373</v>
      </c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</row>
    <row r="1025">
      <c r="A1025" s="58"/>
      <c r="B1025" s="59" t="s">
        <v>4893</v>
      </c>
      <c r="C1025" s="60" t="s">
        <v>3671</v>
      </c>
      <c r="D1025" s="60" t="s">
        <v>4894</v>
      </c>
      <c r="E1025" s="60" t="s">
        <v>4895</v>
      </c>
      <c r="F1025" s="60" t="s">
        <v>4896</v>
      </c>
      <c r="G1025" s="60" t="s">
        <v>4897</v>
      </c>
      <c r="H1025" s="61">
        <v>2.188469262E7</v>
      </c>
      <c r="I1025" s="58" t="s">
        <v>2365</v>
      </c>
      <c r="J1025" s="58" t="s">
        <v>3676</v>
      </c>
      <c r="K1025" s="58"/>
      <c r="L1025" s="58" t="s">
        <v>3321</v>
      </c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</row>
    <row r="1026">
      <c r="A1026" s="58"/>
      <c r="B1026" s="59" t="s">
        <v>4898</v>
      </c>
      <c r="C1026" s="60" t="s">
        <v>3671</v>
      </c>
      <c r="D1026" s="60" t="s">
        <v>4899</v>
      </c>
      <c r="E1026" s="60" t="s">
        <v>4900</v>
      </c>
      <c r="F1026" s="60" t="s">
        <v>4901</v>
      </c>
      <c r="G1026" s="60" t="s">
        <v>4902</v>
      </c>
      <c r="H1026" s="61">
        <v>5.191141284E7</v>
      </c>
      <c r="I1026" s="58" t="s">
        <v>2365</v>
      </c>
      <c r="J1026" s="58" t="s">
        <v>3676</v>
      </c>
      <c r="K1026" s="58"/>
      <c r="L1026" s="58" t="s">
        <v>3642</v>
      </c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</row>
    <row r="1027">
      <c r="A1027" s="58"/>
      <c r="B1027" s="59" t="s">
        <v>4903</v>
      </c>
      <c r="C1027" s="60" t="s">
        <v>3671</v>
      </c>
      <c r="D1027" s="60" t="s">
        <v>4904</v>
      </c>
      <c r="E1027" s="60" t="s">
        <v>4905</v>
      </c>
      <c r="F1027" s="60" t="s">
        <v>4906</v>
      </c>
      <c r="G1027" s="60" t="s">
        <v>4907</v>
      </c>
      <c r="H1027" s="61">
        <v>3882626.93</v>
      </c>
      <c r="I1027" s="58" t="s">
        <v>2365</v>
      </c>
      <c r="J1027" s="58" t="s">
        <v>3676</v>
      </c>
      <c r="K1027" s="58"/>
      <c r="L1027" s="58" t="s">
        <v>3797</v>
      </c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</row>
    <row r="1028">
      <c r="A1028" s="58"/>
      <c r="B1028" s="59" t="s">
        <v>4908</v>
      </c>
      <c r="C1028" s="60" t="s">
        <v>3671</v>
      </c>
      <c r="D1028" s="60" t="s">
        <v>4909</v>
      </c>
      <c r="E1028" s="60" t="s">
        <v>4910</v>
      </c>
      <c r="F1028" s="60" t="s">
        <v>4911</v>
      </c>
      <c r="G1028" s="60" t="s">
        <v>4912</v>
      </c>
      <c r="H1028" s="61">
        <v>6818394.1</v>
      </c>
      <c r="I1028" s="58" t="s">
        <v>2365</v>
      </c>
      <c r="J1028" s="58" t="s">
        <v>3676</v>
      </c>
      <c r="K1028" s="58"/>
      <c r="L1028" s="58" t="s">
        <v>2373</v>
      </c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</row>
    <row r="1029">
      <c r="A1029" s="58"/>
      <c r="B1029" s="59" t="s">
        <v>4913</v>
      </c>
      <c r="C1029" s="60" t="s">
        <v>3671</v>
      </c>
      <c r="D1029" s="60" t="s">
        <v>4914</v>
      </c>
      <c r="E1029" s="60" t="s">
        <v>4915</v>
      </c>
      <c r="F1029" s="60" t="s">
        <v>4916</v>
      </c>
      <c r="G1029" s="60" t="s">
        <v>4917</v>
      </c>
      <c r="H1029" s="61">
        <v>4.920594366E7</v>
      </c>
      <c r="I1029" s="58" t="s">
        <v>2365</v>
      </c>
      <c r="J1029" s="58" t="s">
        <v>3676</v>
      </c>
      <c r="K1029" s="58"/>
      <c r="L1029" s="58" t="s">
        <v>3321</v>
      </c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</row>
    <row r="1030">
      <c r="A1030" s="58"/>
      <c r="B1030" s="59" t="s">
        <v>4918</v>
      </c>
      <c r="C1030" s="60" t="s">
        <v>3671</v>
      </c>
      <c r="D1030" s="60" t="s">
        <v>4919</v>
      </c>
      <c r="E1030" s="60" t="s">
        <v>4920</v>
      </c>
      <c r="F1030" s="60" t="s">
        <v>4921</v>
      </c>
      <c r="G1030" s="60" t="s">
        <v>4922</v>
      </c>
      <c r="H1030" s="61">
        <v>1.3272843818E8</v>
      </c>
      <c r="I1030" s="58" t="s">
        <v>2365</v>
      </c>
      <c r="J1030" s="58" t="s">
        <v>3676</v>
      </c>
      <c r="K1030" s="58"/>
      <c r="L1030" s="58" t="s">
        <v>3642</v>
      </c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</row>
    <row r="1031">
      <c r="A1031" s="58"/>
      <c r="B1031" s="59" t="s">
        <v>4923</v>
      </c>
      <c r="C1031" s="60" t="s">
        <v>3671</v>
      </c>
      <c r="D1031" s="60" t="s">
        <v>4924</v>
      </c>
      <c r="E1031" s="60" t="s">
        <v>4925</v>
      </c>
      <c r="F1031" s="60" t="s">
        <v>4926</v>
      </c>
      <c r="G1031" s="60" t="s">
        <v>4927</v>
      </c>
      <c r="H1031" s="61">
        <v>8.074085656E7</v>
      </c>
      <c r="I1031" s="58" t="s">
        <v>2365</v>
      </c>
      <c r="J1031" s="58" t="s">
        <v>3676</v>
      </c>
      <c r="K1031" s="58"/>
      <c r="L1031" s="58" t="s">
        <v>3797</v>
      </c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</row>
    <row r="1032">
      <c r="A1032" s="58"/>
      <c r="B1032" s="59" t="s">
        <v>4928</v>
      </c>
      <c r="C1032" s="60" t="s">
        <v>3671</v>
      </c>
      <c r="D1032" s="60" t="s">
        <v>4929</v>
      </c>
      <c r="E1032" s="60" t="s">
        <v>4930</v>
      </c>
      <c r="F1032" s="60" t="s">
        <v>4931</v>
      </c>
      <c r="G1032" s="60" t="s">
        <v>4932</v>
      </c>
      <c r="H1032" s="61">
        <v>1.440605902E7</v>
      </c>
      <c r="I1032" s="58" t="s">
        <v>2365</v>
      </c>
      <c r="J1032" s="58" t="s">
        <v>3676</v>
      </c>
      <c r="K1032" s="58"/>
      <c r="L1032" s="58" t="s">
        <v>2373</v>
      </c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</row>
    <row r="1033">
      <c r="A1033" s="58"/>
      <c r="B1033" s="59" t="s">
        <v>4933</v>
      </c>
      <c r="C1033" s="60" t="s">
        <v>3671</v>
      </c>
      <c r="D1033" s="60" t="s">
        <v>4934</v>
      </c>
      <c r="E1033" s="60" t="s">
        <v>4935</v>
      </c>
      <c r="F1033" s="60" t="s">
        <v>4936</v>
      </c>
      <c r="G1033" s="60" t="s">
        <v>4937</v>
      </c>
      <c r="H1033" s="61">
        <v>1.5757637025E8</v>
      </c>
      <c r="I1033" s="58" t="s">
        <v>2365</v>
      </c>
      <c r="J1033" s="58" t="s">
        <v>3676</v>
      </c>
      <c r="K1033" s="58"/>
      <c r="L1033" s="58" t="s">
        <v>3321</v>
      </c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</row>
    <row r="1034">
      <c r="A1034" s="58"/>
      <c r="B1034" s="59" t="s">
        <v>4938</v>
      </c>
      <c r="C1034" s="60" t="s">
        <v>3671</v>
      </c>
      <c r="D1034" s="60" t="s">
        <v>4939</v>
      </c>
      <c r="E1034" s="60" t="s">
        <v>4940</v>
      </c>
      <c r="F1034" s="60" t="s">
        <v>4941</v>
      </c>
      <c r="G1034" s="60" t="s">
        <v>4942</v>
      </c>
      <c r="H1034" s="61">
        <v>4.831747344E7</v>
      </c>
      <c r="I1034" s="58" t="s">
        <v>2365</v>
      </c>
      <c r="J1034" s="58" t="s">
        <v>3676</v>
      </c>
      <c r="K1034" s="58"/>
      <c r="L1034" s="58" t="s">
        <v>3642</v>
      </c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</row>
    <row r="1035">
      <c r="A1035" s="58"/>
      <c r="B1035" s="59" t="s">
        <v>4943</v>
      </c>
      <c r="C1035" s="60" t="s">
        <v>3671</v>
      </c>
      <c r="D1035" s="60" t="s">
        <v>4944</v>
      </c>
      <c r="E1035" s="60" t="s">
        <v>4945</v>
      </c>
      <c r="F1035" s="60" t="s">
        <v>4946</v>
      </c>
      <c r="G1035" s="60" t="s">
        <v>4947</v>
      </c>
      <c r="H1035" s="61">
        <v>6637118.6</v>
      </c>
      <c r="I1035" s="58" t="s">
        <v>2365</v>
      </c>
      <c r="J1035" s="58" t="s">
        <v>3676</v>
      </c>
      <c r="K1035" s="58"/>
      <c r="L1035" s="58" t="s">
        <v>2373</v>
      </c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</row>
    <row r="1036">
      <c r="A1036" s="58"/>
      <c r="B1036" s="59" t="s">
        <v>4948</v>
      </c>
      <c r="C1036" s="60" t="s">
        <v>3671</v>
      </c>
      <c r="D1036" s="60" t="s">
        <v>4949</v>
      </c>
      <c r="E1036" s="60" t="s">
        <v>4950</v>
      </c>
      <c r="F1036" s="60" t="s">
        <v>4951</v>
      </c>
      <c r="G1036" s="60" t="s">
        <v>4952</v>
      </c>
      <c r="H1036" s="61">
        <v>1.369267666E7</v>
      </c>
      <c r="I1036" s="58" t="s">
        <v>2365</v>
      </c>
      <c r="J1036" s="58" t="s">
        <v>3676</v>
      </c>
      <c r="K1036" s="58"/>
      <c r="L1036" s="58" t="s">
        <v>3321</v>
      </c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</row>
    <row r="1037">
      <c r="A1037" s="58"/>
      <c r="B1037" s="59" t="s">
        <v>4953</v>
      </c>
      <c r="C1037" s="60" t="s">
        <v>3671</v>
      </c>
      <c r="D1037" s="60" t="s">
        <v>4954</v>
      </c>
      <c r="E1037" s="60" t="s">
        <v>4955</v>
      </c>
      <c r="F1037" s="60" t="s">
        <v>4956</v>
      </c>
      <c r="G1037" s="60" t="s">
        <v>4957</v>
      </c>
      <c r="H1037" s="61">
        <v>8.838533988E7</v>
      </c>
      <c r="I1037" s="58" t="s">
        <v>2365</v>
      </c>
      <c r="J1037" s="58" t="s">
        <v>3676</v>
      </c>
      <c r="K1037" s="58"/>
      <c r="L1037" s="58" t="s">
        <v>3642</v>
      </c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</row>
    <row r="1038">
      <c r="A1038" s="58"/>
      <c r="B1038" s="59" t="s">
        <v>4958</v>
      </c>
      <c r="C1038" s="60" t="s">
        <v>3671</v>
      </c>
      <c r="D1038" s="60" t="s">
        <v>4959</v>
      </c>
      <c r="E1038" s="60" t="s">
        <v>4960</v>
      </c>
      <c r="F1038" s="60" t="s">
        <v>4961</v>
      </c>
      <c r="G1038" s="60" t="s">
        <v>4962</v>
      </c>
      <c r="H1038" s="61">
        <v>2.779972984E7</v>
      </c>
      <c r="I1038" s="58" t="s">
        <v>2365</v>
      </c>
      <c r="J1038" s="58" t="s">
        <v>3676</v>
      </c>
      <c r="K1038" s="58"/>
      <c r="L1038" s="58" t="s">
        <v>3321</v>
      </c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</row>
    <row r="1039">
      <c r="A1039" s="58"/>
      <c r="B1039" s="59" t="s">
        <v>4963</v>
      </c>
      <c r="C1039" s="60" t="s">
        <v>3671</v>
      </c>
      <c r="D1039" s="60" t="s">
        <v>4964</v>
      </c>
      <c r="E1039" s="60" t="s">
        <v>4965</v>
      </c>
      <c r="F1039" s="60" t="s">
        <v>4966</v>
      </c>
      <c r="G1039" s="60" t="s">
        <v>4967</v>
      </c>
      <c r="H1039" s="61">
        <v>5.43265668E7</v>
      </c>
      <c r="I1039" s="58" t="s">
        <v>2365</v>
      </c>
      <c r="J1039" s="58" t="s">
        <v>3676</v>
      </c>
      <c r="K1039" s="58"/>
      <c r="L1039" s="58" t="s">
        <v>3642</v>
      </c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</row>
    <row r="1040">
      <c r="A1040" s="58"/>
      <c r="B1040" s="59" t="s">
        <v>4968</v>
      </c>
      <c r="C1040" s="60" t="s">
        <v>3671</v>
      </c>
      <c r="D1040" s="60" t="s">
        <v>4969</v>
      </c>
      <c r="E1040" s="60" t="s">
        <v>4970</v>
      </c>
      <c r="F1040" s="60" t="s">
        <v>4971</v>
      </c>
      <c r="G1040" s="60" t="s">
        <v>4972</v>
      </c>
      <c r="H1040" s="61">
        <v>2266383.02</v>
      </c>
      <c r="I1040" s="58" t="s">
        <v>2365</v>
      </c>
      <c r="J1040" s="58" t="s">
        <v>3676</v>
      </c>
      <c r="K1040" s="58"/>
      <c r="L1040" s="58" t="s">
        <v>2373</v>
      </c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</row>
    <row r="1041">
      <c r="A1041" s="58"/>
      <c r="B1041" s="59" t="s">
        <v>4973</v>
      </c>
      <c r="C1041" s="60" t="s">
        <v>3671</v>
      </c>
      <c r="D1041" s="60" t="s">
        <v>4974</v>
      </c>
      <c r="E1041" s="60" t="s">
        <v>4975</v>
      </c>
      <c r="F1041" s="60" t="s">
        <v>4976</v>
      </c>
      <c r="G1041" s="60" t="s">
        <v>4977</v>
      </c>
      <c r="H1041" s="61">
        <v>4.808427394E7</v>
      </c>
      <c r="I1041" s="58" t="s">
        <v>2365</v>
      </c>
      <c r="J1041" s="58" t="s">
        <v>3676</v>
      </c>
      <c r="K1041" s="58"/>
      <c r="L1041" s="58" t="s">
        <v>3321</v>
      </c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</row>
    <row r="1042">
      <c r="A1042" s="58"/>
      <c r="B1042" s="59" t="s">
        <v>4978</v>
      </c>
      <c r="C1042" s="60" t="s">
        <v>3671</v>
      </c>
      <c r="D1042" s="60" t="s">
        <v>4979</v>
      </c>
      <c r="E1042" s="60" t="s">
        <v>4980</v>
      </c>
      <c r="F1042" s="60" t="s">
        <v>4981</v>
      </c>
      <c r="G1042" s="60" t="s">
        <v>4982</v>
      </c>
      <c r="H1042" s="61">
        <v>1.3599083088E8</v>
      </c>
      <c r="I1042" s="58" t="s">
        <v>2365</v>
      </c>
      <c r="J1042" s="58" t="s">
        <v>3676</v>
      </c>
      <c r="K1042" s="58"/>
      <c r="L1042" s="58" t="s">
        <v>3642</v>
      </c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</row>
    <row r="1043">
      <c r="A1043" s="58"/>
      <c r="B1043" s="59" t="s">
        <v>4983</v>
      </c>
      <c r="C1043" s="60" t="s">
        <v>3671</v>
      </c>
      <c r="D1043" s="60" t="s">
        <v>4984</v>
      </c>
      <c r="E1043" s="60" t="s">
        <v>4985</v>
      </c>
      <c r="F1043" s="60" t="s">
        <v>4986</v>
      </c>
      <c r="G1043" s="60" t="s">
        <v>4987</v>
      </c>
      <c r="H1043" s="61">
        <v>1438902.3</v>
      </c>
      <c r="I1043" s="58" t="s">
        <v>2365</v>
      </c>
      <c r="J1043" s="58" t="s">
        <v>3676</v>
      </c>
      <c r="K1043" s="58"/>
      <c r="L1043" s="58" t="s">
        <v>2373</v>
      </c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</row>
    <row r="1044">
      <c r="A1044" s="58"/>
      <c r="B1044" s="59" t="s">
        <v>4988</v>
      </c>
      <c r="C1044" s="60" t="s">
        <v>3671</v>
      </c>
      <c r="D1044" s="60" t="s">
        <v>4989</v>
      </c>
      <c r="E1044" s="60" t="s">
        <v>4990</v>
      </c>
      <c r="F1044" s="60" t="s">
        <v>4991</v>
      </c>
      <c r="G1044" s="60" t="s">
        <v>4992</v>
      </c>
      <c r="H1044" s="61">
        <v>2.251777164E7</v>
      </c>
      <c r="I1044" s="58" t="s">
        <v>2365</v>
      </c>
      <c r="J1044" s="58" t="s">
        <v>3676</v>
      </c>
      <c r="K1044" s="58"/>
      <c r="L1044" s="58" t="s">
        <v>3321</v>
      </c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</row>
    <row r="1045">
      <c r="A1045" s="58"/>
      <c r="B1045" s="59" t="s">
        <v>4993</v>
      </c>
      <c r="C1045" s="60" t="s">
        <v>3671</v>
      </c>
      <c r="D1045" s="60" t="s">
        <v>4994</v>
      </c>
      <c r="E1045" s="60" t="s">
        <v>4995</v>
      </c>
      <c r="F1045" s="60" t="s">
        <v>4996</v>
      </c>
      <c r="G1045" s="60" t="s">
        <v>4997</v>
      </c>
      <c r="H1045" s="61">
        <v>2.2585243716E8</v>
      </c>
      <c r="I1045" s="58" t="s">
        <v>2365</v>
      </c>
      <c r="J1045" s="58" t="s">
        <v>3676</v>
      </c>
      <c r="K1045" s="58"/>
      <c r="L1045" s="58" t="s">
        <v>3642</v>
      </c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</row>
    <row r="1046">
      <c r="A1046" s="58"/>
      <c r="B1046" s="59" t="s">
        <v>4998</v>
      </c>
      <c r="C1046" s="60" t="s">
        <v>3671</v>
      </c>
      <c r="D1046" s="60" t="s">
        <v>4999</v>
      </c>
      <c r="E1046" s="60" t="s">
        <v>5000</v>
      </c>
      <c r="F1046" s="60" t="s">
        <v>5001</v>
      </c>
      <c r="G1046" s="60" t="s">
        <v>5002</v>
      </c>
      <c r="H1046" s="61">
        <v>2.232262522E7</v>
      </c>
      <c r="I1046" s="58" t="s">
        <v>2365</v>
      </c>
      <c r="J1046" s="58" t="s">
        <v>3676</v>
      </c>
      <c r="K1046" s="58"/>
      <c r="L1046" s="58" t="s">
        <v>2373</v>
      </c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</row>
    <row r="1047">
      <c r="A1047" s="58"/>
      <c r="B1047" s="59" t="s">
        <v>5003</v>
      </c>
      <c r="C1047" s="60" t="s">
        <v>3671</v>
      </c>
      <c r="D1047" s="60" t="s">
        <v>5004</v>
      </c>
      <c r="E1047" s="60" t="s">
        <v>5005</v>
      </c>
      <c r="F1047" s="60" t="s">
        <v>5006</v>
      </c>
      <c r="G1047" s="60" t="s">
        <v>5007</v>
      </c>
      <c r="H1047" s="61">
        <v>2.1667963339E8</v>
      </c>
      <c r="I1047" s="58" t="s">
        <v>2365</v>
      </c>
      <c r="J1047" s="58" t="s">
        <v>3676</v>
      </c>
      <c r="K1047" s="58"/>
      <c r="L1047" s="58" t="s">
        <v>3321</v>
      </c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</row>
    <row r="1048">
      <c r="A1048" s="58"/>
      <c r="B1048" s="59" t="s">
        <v>5008</v>
      </c>
      <c r="C1048" s="60" t="s">
        <v>3671</v>
      </c>
      <c r="D1048" s="60" t="s">
        <v>5009</v>
      </c>
      <c r="E1048" s="60" t="s">
        <v>5010</v>
      </c>
      <c r="F1048" s="60" t="s">
        <v>5011</v>
      </c>
      <c r="G1048" s="60" t="s">
        <v>5012</v>
      </c>
      <c r="H1048" s="61">
        <v>7147452.0</v>
      </c>
      <c r="I1048" s="58" t="s">
        <v>2365</v>
      </c>
      <c r="J1048" s="58" t="s">
        <v>3676</v>
      </c>
      <c r="K1048" s="58"/>
      <c r="L1048" s="58" t="s">
        <v>3642</v>
      </c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</row>
    <row r="1049">
      <c r="A1049" s="58"/>
      <c r="B1049" s="59" t="s">
        <v>5013</v>
      </c>
      <c r="C1049" s="60" t="s">
        <v>3671</v>
      </c>
      <c r="D1049" s="60" t="s">
        <v>5014</v>
      </c>
      <c r="E1049" s="60" t="s">
        <v>5015</v>
      </c>
      <c r="F1049" s="60" t="s">
        <v>5016</v>
      </c>
      <c r="G1049" s="60" t="s">
        <v>5017</v>
      </c>
      <c r="H1049" s="61">
        <v>2.422579992E7</v>
      </c>
      <c r="I1049" s="58" t="s">
        <v>2365</v>
      </c>
      <c r="J1049" s="58" t="s">
        <v>3676</v>
      </c>
      <c r="K1049" s="58"/>
      <c r="L1049" s="58" t="s">
        <v>3321</v>
      </c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</row>
    <row r="1050">
      <c r="A1050" s="58"/>
      <c r="B1050" s="59" t="s">
        <v>5018</v>
      </c>
      <c r="C1050" s="60" t="s">
        <v>3671</v>
      </c>
      <c r="D1050" s="60" t="s">
        <v>5019</v>
      </c>
      <c r="E1050" s="60" t="s">
        <v>5020</v>
      </c>
      <c r="F1050" s="60" t="s">
        <v>5021</v>
      </c>
      <c r="G1050" s="60" t="s">
        <v>5022</v>
      </c>
      <c r="H1050" s="61">
        <v>2.2369754232E8</v>
      </c>
      <c r="I1050" s="58" t="s">
        <v>2365</v>
      </c>
      <c r="J1050" s="58" t="s">
        <v>3676</v>
      </c>
      <c r="K1050" s="58"/>
      <c r="L1050" s="58" t="s">
        <v>3642</v>
      </c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</row>
    <row r="1051">
      <c r="A1051" s="58"/>
      <c r="B1051" s="59" t="s">
        <v>5023</v>
      </c>
      <c r="C1051" s="60" t="s">
        <v>3671</v>
      </c>
      <c r="D1051" s="60" t="s">
        <v>5024</v>
      </c>
      <c r="E1051" s="60" t="s">
        <v>5025</v>
      </c>
      <c r="F1051" s="60" t="s">
        <v>5026</v>
      </c>
      <c r="G1051" s="60" t="s">
        <v>5027</v>
      </c>
      <c r="H1051" s="61">
        <v>5048335.74</v>
      </c>
      <c r="I1051" s="58" t="s">
        <v>2365</v>
      </c>
      <c r="J1051" s="58" t="s">
        <v>3676</v>
      </c>
      <c r="K1051" s="58"/>
      <c r="L1051" s="58" t="s">
        <v>3797</v>
      </c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</row>
    <row r="1052">
      <c r="A1052" s="58"/>
      <c r="B1052" s="59" t="s">
        <v>5028</v>
      </c>
      <c r="C1052" s="60" t="s">
        <v>3671</v>
      </c>
      <c r="D1052" s="60" t="s">
        <v>5029</v>
      </c>
      <c r="E1052" s="60" t="s">
        <v>5030</v>
      </c>
      <c r="F1052" s="60" t="s">
        <v>5031</v>
      </c>
      <c r="G1052" s="60" t="s">
        <v>5032</v>
      </c>
      <c r="H1052" s="61">
        <v>2.405830812E7</v>
      </c>
      <c r="I1052" s="58" t="s">
        <v>2365</v>
      </c>
      <c r="J1052" s="58" t="s">
        <v>3676</v>
      </c>
      <c r="K1052" s="58"/>
      <c r="L1052" s="58" t="s">
        <v>2373</v>
      </c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</row>
    <row r="1053">
      <c r="A1053" s="58"/>
      <c r="B1053" s="59" t="s">
        <v>5033</v>
      </c>
      <c r="C1053" s="60" t="s">
        <v>3671</v>
      </c>
      <c r="D1053" s="60" t="s">
        <v>5034</v>
      </c>
      <c r="E1053" s="60" t="s">
        <v>5035</v>
      </c>
      <c r="F1053" s="60" t="s">
        <v>5036</v>
      </c>
      <c r="G1053" s="60" t="s">
        <v>5037</v>
      </c>
      <c r="H1053" s="61">
        <v>4.461887288E7</v>
      </c>
      <c r="I1053" s="58" t="s">
        <v>2365</v>
      </c>
      <c r="J1053" s="58" t="s">
        <v>3676</v>
      </c>
      <c r="K1053" s="58"/>
      <c r="L1053" s="58" t="s">
        <v>3321</v>
      </c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</row>
    <row r="1054">
      <c r="A1054" s="58"/>
      <c r="B1054" s="59" t="s">
        <v>5038</v>
      </c>
      <c r="C1054" s="60" t="s">
        <v>3671</v>
      </c>
      <c r="D1054" s="60" t="s">
        <v>5039</v>
      </c>
      <c r="E1054" s="60" t="s">
        <v>5040</v>
      </c>
      <c r="F1054" s="60" t="s">
        <v>5041</v>
      </c>
      <c r="G1054" s="60" t="s">
        <v>5042</v>
      </c>
      <c r="H1054" s="61">
        <v>4.5868988E7</v>
      </c>
      <c r="I1054" s="58" t="s">
        <v>2365</v>
      </c>
      <c r="J1054" s="58" t="s">
        <v>3676</v>
      </c>
      <c r="K1054" s="58"/>
      <c r="L1054" s="58" t="s">
        <v>3642</v>
      </c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</row>
    <row r="1055">
      <c r="A1055" s="58"/>
      <c r="B1055" s="59" t="s">
        <v>5043</v>
      </c>
      <c r="C1055" s="60" t="s">
        <v>3671</v>
      </c>
      <c r="D1055" s="60" t="s">
        <v>5044</v>
      </c>
      <c r="E1055" s="60" t="s">
        <v>5045</v>
      </c>
      <c r="F1055" s="60" t="s">
        <v>5046</v>
      </c>
      <c r="G1055" s="60" t="s">
        <v>5047</v>
      </c>
      <c r="H1055" s="61">
        <v>2319534.02</v>
      </c>
      <c r="I1055" s="58" t="s">
        <v>2365</v>
      </c>
      <c r="J1055" s="58" t="s">
        <v>3676</v>
      </c>
      <c r="K1055" s="58"/>
      <c r="L1055" s="58" t="s">
        <v>2373</v>
      </c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</row>
    <row r="1056">
      <c r="A1056" s="58"/>
      <c r="B1056" s="59" t="s">
        <v>5048</v>
      </c>
      <c r="C1056" s="60" t="s">
        <v>3671</v>
      </c>
      <c r="D1056" s="60" t="s">
        <v>5049</v>
      </c>
      <c r="E1056" s="60" t="s">
        <v>5050</v>
      </c>
      <c r="F1056" s="60" t="s">
        <v>5051</v>
      </c>
      <c r="G1056" s="60" t="s">
        <v>5052</v>
      </c>
      <c r="H1056" s="61">
        <v>1.7180775E7</v>
      </c>
      <c r="I1056" s="58" t="s">
        <v>2365</v>
      </c>
      <c r="J1056" s="58" t="s">
        <v>3676</v>
      </c>
      <c r="K1056" s="58"/>
      <c r="L1056" s="58" t="s">
        <v>3321</v>
      </c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</row>
    <row r="1057">
      <c r="A1057" s="58"/>
      <c r="B1057" s="59" t="s">
        <v>5053</v>
      </c>
      <c r="C1057" s="60" t="s">
        <v>5054</v>
      </c>
      <c r="D1057" s="60" t="s">
        <v>5055</v>
      </c>
      <c r="E1057" s="60" t="s">
        <v>5056</v>
      </c>
      <c r="F1057" s="60" t="s">
        <v>5057</v>
      </c>
      <c r="G1057" s="60" t="s">
        <v>5058</v>
      </c>
      <c r="H1057" s="61">
        <v>3.042365832E7</v>
      </c>
      <c r="I1057" s="58" t="s">
        <v>2365</v>
      </c>
      <c r="J1057" s="58" t="s">
        <v>3676</v>
      </c>
      <c r="K1057" s="58"/>
      <c r="L1057" s="58" t="s">
        <v>3642</v>
      </c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</row>
    <row r="1058">
      <c r="A1058" s="58"/>
      <c r="B1058" s="59" t="s">
        <v>5059</v>
      </c>
      <c r="C1058" s="60" t="s">
        <v>5054</v>
      </c>
      <c r="D1058" s="60" t="s">
        <v>5060</v>
      </c>
      <c r="E1058" s="60" t="s">
        <v>5061</v>
      </c>
      <c r="F1058" s="60" t="s">
        <v>5062</v>
      </c>
      <c r="G1058" s="60" t="s">
        <v>5063</v>
      </c>
      <c r="H1058" s="61">
        <v>4560047.8</v>
      </c>
      <c r="I1058" s="58" t="s">
        <v>2365</v>
      </c>
      <c r="J1058" s="58" t="s">
        <v>3676</v>
      </c>
      <c r="K1058" s="58"/>
      <c r="L1058" s="58" t="s">
        <v>2373</v>
      </c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</row>
    <row r="1059">
      <c r="A1059" s="58"/>
      <c r="B1059" s="59" t="s">
        <v>5064</v>
      </c>
      <c r="C1059" s="60" t="s">
        <v>5054</v>
      </c>
      <c r="D1059" s="60" t="s">
        <v>5065</v>
      </c>
      <c r="E1059" s="60" t="s">
        <v>5066</v>
      </c>
      <c r="F1059" s="60" t="s">
        <v>5067</v>
      </c>
      <c r="G1059" s="60" t="s">
        <v>5068</v>
      </c>
      <c r="H1059" s="61">
        <v>2.656042012E7</v>
      </c>
      <c r="I1059" s="58" t="s">
        <v>2365</v>
      </c>
      <c r="J1059" s="58" t="s">
        <v>3676</v>
      </c>
      <c r="K1059" s="58"/>
      <c r="L1059" s="58" t="s">
        <v>3321</v>
      </c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</row>
    <row r="1060">
      <c r="A1060" s="58"/>
      <c r="B1060" s="59" t="s">
        <v>5069</v>
      </c>
      <c r="C1060" s="60" t="s">
        <v>5070</v>
      </c>
      <c r="D1060" s="60" t="s">
        <v>5071</v>
      </c>
      <c r="E1060" s="60" t="s">
        <v>5072</v>
      </c>
      <c r="F1060" s="60" t="s">
        <v>5073</v>
      </c>
      <c r="G1060" s="60" t="s">
        <v>5074</v>
      </c>
      <c r="H1060" s="61">
        <v>1.52534376E7</v>
      </c>
      <c r="I1060" s="58" t="s">
        <v>2365</v>
      </c>
      <c r="J1060" s="58" t="s">
        <v>5075</v>
      </c>
      <c r="K1060" s="58"/>
      <c r="L1060" s="58" t="s">
        <v>2373</v>
      </c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</row>
    <row r="1061">
      <c r="A1061" s="58"/>
      <c r="B1061" s="59" t="s">
        <v>5076</v>
      </c>
      <c r="C1061" s="60" t="s">
        <v>5070</v>
      </c>
      <c r="D1061" s="60" t="s">
        <v>5077</v>
      </c>
      <c r="E1061" s="60" t="s">
        <v>5078</v>
      </c>
      <c r="F1061" s="60" t="s">
        <v>5079</v>
      </c>
      <c r="G1061" s="60" t="s">
        <v>5074</v>
      </c>
      <c r="H1061" s="61">
        <v>7741979.4</v>
      </c>
      <c r="I1061" s="58" t="s">
        <v>2365</v>
      </c>
      <c r="J1061" s="58" t="s">
        <v>5075</v>
      </c>
      <c r="K1061" s="58"/>
      <c r="L1061" s="58" t="s">
        <v>2373</v>
      </c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</row>
    <row r="1062">
      <c r="A1062" s="58"/>
      <c r="B1062" s="59" t="s">
        <v>5080</v>
      </c>
      <c r="C1062" s="60" t="s">
        <v>5070</v>
      </c>
      <c r="D1062" s="60" t="s">
        <v>5081</v>
      </c>
      <c r="E1062" s="60" t="s">
        <v>5082</v>
      </c>
      <c r="F1062" s="60" t="s">
        <v>5083</v>
      </c>
      <c r="G1062" s="60" t="s">
        <v>5074</v>
      </c>
      <c r="H1062" s="61">
        <v>1.8395118E7</v>
      </c>
      <c r="I1062" s="58" t="s">
        <v>2365</v>
      </c>
      <c r="J1062" s="58" t="s">
        <v>5075</v>
      </c>
      <c r="K1062" s="58"/>
      <c r="L1062" s="58" t="s">
        <v>2373</v>
      </c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</row>
    <row r="1063">
      <c r="A1063" s="58"/>
      <c r="B1063" s="59" t="s">
        <v>5084</v>
      </c>
      <c r="C1063" s="60" t="s">
        <v>5070</v>
      </c>
      <c r="D1063" s="60" t="s">
        <v>5085</v>
      </c>
      <c r="E1063" s="60" t="s">
        <v>5086</v>
      </c>
      <c r="F1063" s="60" t="s">
        <v>5087</v>
      </c>
      <c r="G1063" s="60" t="s">
        <v>5074</v>
      </c>
      <c r="H1063" s="61">
        <v>3.155786772E7</v>
      </c>
      <c r="I1063" s="58" t="s">
        <v>2365</v>
      </c>
      <c r="J1063" s="58" t="s">
        <v>5075</v>
      </c>
      <c r="K1063" s="58"/>
      <c r="L1063" s="58" t="s">
        <v>2373</v>
      </c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</row>
    <row r="1064">
      <c r="A1064" s="58"/>
      <c r="B1064" s="59" t="s">
        <v>5088</v>
      </c>
      <c r="C1064" s="60" t="s">
        <v>5070</v>
      </c>
      <c r="D1064" s="60" t="s">
        <v>5089</v>
      </c>
      <c r="E1064" s="60" t="s">
        <v>5090</v>
      </c>
      <c r="F1064" s="60" t="s">
        <v>5091</v>
      </c>
      <c r="G1064" s="60" t="s">
        <v>5074</v>
      </c>
      <c r="H1064" s="61">
        <v>4722193.5</v>
      </c>
      <c r="I1064" s="58" t="s">
        <v>2365</v>
      </c>
      <c r="J1064" s="58" t="s">
        <v>5075</v>
      </c>
      <c r="K1064" s="58"/>
      <c r="L1064" s="58" t="s">
        <v>2373</v>
      </c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</row>
    <row r="1065">
      <c r="A1065" s="58"/>
      <c r="B1065" s="59" t="s">
        <v>5092</v>
      </c>
      <c r="C1065" s="60" t="s">
        <v>5070</v>
      </c>
      <c r="D1065" s="60" t="s">
        <v>5093</v>
      </c>
      <c r="E1065" s="60" t="s">
        <v>5094</v>
      </c>
      <c r="F1065" s="60" t="s">
        <v>5095</v>
      </c>
      <c r="G1065" s="60" t="s">
        <v>5096</v>
      </c>
      <c r="H1065" s="61">
        <v>2.09673711E7</v>
      </c>
      <c r="I1065" s="58" t="s">
        <v>2365</v>
      </c>
      <c r="J1065" s="58" t="s">
        <v>5075</v>
      </c>
      <c r="K1065" s="58"/>
      <c r="L1065" s="58" t="s">
        <v>2435</v>
      </c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</row>
    <row r="1066">
      <c r="A1066" s="58"/>
      <c r="B1066" s="59" t="s">
        <v>5097</v>
      </c>
      <c r="C1066" s="60" t="s">
        <v>5070</v>
      </c>
      <c r="D1066" s="60" t="s">
        <v>5098</v>
      </c>
      <c r="E1066" s="60" t="s">
        <v>5099</v>
      </c>
      <c r="F1066" s="60" t="s">
        <v>5100</v>
      </c>
      <c r="G1066" s="60" t="s">
        <v>5074</v>
      </c>
      <c r="H1066" s="61">
        <v>1.802327478E7</v>
      </c>
      <c r="I1066" s="58" t="s">
        <v>2365</v>
      </c>
      <c r="J1066" s="58" t="s">
        <v>5075</v>
      </c>
      <c r="K1066" s="58"/>
      <c r="L1066" s="58" t="s">
        <v>2373</v>
      </c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</row>
    <row r="1067">
      <c r="A1067" s="58"/>
      <c r="B1067" s="59" t="s">
        <v>5101</v>
      </c>
      <c r="C1067" s="60" t="s">
        <v>5070</v>
      </c>
      <c r="D1067" s="60" t="s">
        <v>5102</v>
      </c>
      <c r="E1067" s="60" t="s">
        <v>5103</v>
      </c>
      <c r="F1067" s="60" t="s">
        <v>5104</v>
      </c>
      <c r="G1067" s="60" t="s">
        <v>5074</v>
      </c>
      <c r="H1067" s="61">
        <v>783742.5</v>
      </c>
      <c r="I1067" s="58" t="s">
        <v>2365</v>
      </c>
      <c r="J1067" s="58" t="s">
        <v>5075</v>
      </c>
      <c r="K1067" s="58"/>
      <c r="L1067" s="58" t="s">
        <v>2373</v>
      </c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</row>
    <row r="1068">
      <c r="A1068" s="58"/>
      <c r="B1068" s="59" t="s">
        <v>5105</v>
      </c>
      <c r="C1068" s="60" t="s">
        <v>5070</v>
      </c>
      <c r="D1068" s="60" t="s">
        <v>5106</v>
      </c>
      <c r="E1068" s="60" t="s">
        <v>5107</v>
      </c>
      <c r="F1068" s="60" t="s">
        <v>5108</v>
      </c>
      <c r="G1068" s="60" t="s">
        <v>5074</v>
      </c>
      <c r="H1068" s="61">
        <v>1.232650966E7</v>
      </c>
      <c r="I1068" s="58" t="s">
        <v>2365</v>
      </c>
      <c r="J1068" s="58" t="s">
        <v>5075</v>
      </c>
      <c r="K1068" s="58"/>
      <c r="L1068" s="58" t="s">
        <v>2373</v>
      </c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</row>
    <row r="1069">
      <c r="A1069" s="58"/>
      <c r="B1069" s="59" t="s">
        <v>5109</v>
      </c>
      <c r="C1069" s="60" t="s">
        <v>5070</v>
      </c>
      <c r="D1069" s="60" t="s">
        <v>5110</v>
      </c>
      <c r="E1069" s="60" t="s">
        <v>5111</v>
      </c>
      <c r="F1069" s="60" t="s">
        <v>5112</v>
      </c>
      <c r="G1069" s="60" t="s">
        <v>5074</v>
      </c>
      <c r="H1069" s="61">
        <v>5033504.7</v>
      </c>
      <c r="I1069" s="58" t="s">
        <v>2365</v>
      </c>
      <c r="J1069" s="58" t="s">
        <v>5075</v>
      </c>
      <c r="K1069" s="58"/>
      <c r="L1069" s="58" t="s">
        <v>2373</v>
      </c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</row>
    <row r="1070">
      <c r="A1070" s="58"/>
      <c r="B1070" s="59" t="s">
        <v>5113</v>
      </c>
      <c r="C1070" s="60" t="s">
        <v>5070</v>
      </c>
      <c r="D1070" s="60" t="s">
        <v>5114</v>
      </c>
      <c r="E1070" s="60" t="s">
        <v>5115</v>
      </c>
      <c r="F1070" s="60" t="s">
        <v>5116</v>
      </c>
      <c r="G1070" s="60" t="s">
        <v>5074</v>
      </c>
      <c r="H1070" s="61">
        <v>4.82541303E7</v>
      </c>
      <c r="I1070" s="58" t="s">
        <v>2365</v>
      </c>
      <c r="J1070" s="58" t="s">
        <v>5075</v>
      </c>
      <c r="K1070" s="58"/>
      <c r="L1070" s="58" t="s">
        <v>2373</v>
      </c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</row>
    <row r="1071">
      <c r="A1071" s="58"/>
      <c r="B1071" s="59" t="s">
        <v>5117</v>
      </c>
      <c r="C1071" s="60" t="s">
        <v>5070</v>
      </c>
      <c r="D1071" s="60" t="s">
        <v>5118</v>
      </c>
      <c r="E1071" s="60" t="s">
        <v>5119</v>
      </c>
      <c r="F1071" s="60" t="s">
        <v>5120</v>
      </c>
      <c r="G1071" s="60" t="s">
        <v>5074</v>
      </c>
      <c r="H1071" s="61">
        <v>2.767811985E7</v>
      </c>
      <c r="I1071" s="58" t="s">
        <v>2365</v>
      </c>
      <c r="J1071" s="58" t="s">
        <v>5075</v>
      </c>
      <c r="K1071" s="58"/>
      <c r="L1071" s="58" t="s">
        <v>2373</v>
      </c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</row>
    <row r="1072">
      <c r="A1072" s="58"/>
      <c r="B1072" s="59" t="s">
        <v>5121</v>
      </c>
      <c r="C1072" s="60" t="s">
        <v>5070</v>
      </c>
      <c r="D1072" s="60" t="s">
        <v>5122</v>
      </c>
      <c r="E1072" s="60" t="s">
        <v>5123</v>
      </c>
      <c r="F1072" s="60" t="s">
        <v>5124</v>
      </c>
      <c r="G1072" s="60" t="s">
        <v>5074</v>
      </c>
      <c r="H1072" s="61">
        <v>9.447142945E7</v>
      </c>
      <c r="I1072" s="58" t="s">
        <v>2365</v>
      </c>
      <c r="J1072" s="58" t="s">
        <v>5075</v>
      </c>
      <c r="K1072" s="58"/>
      <c r="L1072" s="58" t="s">
        <v>2373</v>
      </c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</row>
    <row r="1073">
      <c r="A1073" s="58"/>
      <c r="B1073" s="59" t="s">
        <v>5125</v>
      </c>
      <c r="C1073" s="60" t="s">
        <v>5070</v>
      </c>
      <c r="D1073" s="60" t="s">
        <v>5126</v>
      </c>
      <c r="E1073" s="60" t="s">
        <v>5127</v>
      </c>
      <c r="F1073" s="60" t="s">
        <v>5128</v>
      </c>
      <c r="G1073" s="60" t="s">
        <v>5096</v>
      </c>
      <c r="H1073" s="61">
        <v>8439974.52</v>
      </c>
      <c r="I1073" s="58" t="s">
        <v>2365</v>
      </c>
      <c r="J1073" s="58" t="s">
        <v>5075</v>
      </c>
      <c r="K1073" s="58"/>
      <c r="L1073" s="58" t="s">
        <v>2435</v>
      </c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</row>
    <row r="1074">
      <c r="A1074" s="58"/>
      <c r="B1074" s="59" t="s">
        <v>5129</v>
      </c>
      <c r="C1074" s="60" t="s">
        <v>5070</v>
      </c>
      <c r="D1074" s="60" t="s">
        <v>5130</v>
      </c>
      <c r="E1074" s="60" t="s">
        <v>5131</v>
      </c>
      <c r="F1074" s="60" t="s">
        <v>5132</v>
      </c>
      <c r="G1074" s="60" t="s">
        <v>5074</v>
      </c>
      <c r="H1074" s="61">
        <v>2572103.2</v>
      </c>
      <c r="I1074" s="58" t="s">
        <v>2365</v>
      </c>
      <c r="J1074" s="58" t="s">
        <v>5075</v>
      </c>
      <c r="K1074" s="58"/>
      <c r="L1074" s="58" t="s">
        <v>2373</v>
      </c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</row>
    <row r="1075">
      <c r="A1075" s="58"/>
      <c r="B1075" s="59" t="s">
        <v>5133</v>
      </c>
      <c r="C1075" s="60" t="s">
        <v>5070</v>
      </c>
      <c r="D1075" s="60" t="s">
        <v>5134</v>
      </c>
      <c r="E1075" s="60" t="s">
        <v>5135</v>
      </c>
      <c r="F1075" s="60" t="s">
        <v>5136</v>
      </c>
      <c r="G1075" s="60" t="s">
        <v>5074</v>
      </c>
      <c r="H1075" s="61">
        <v>4.126161835E7</v>
      </c>
      <c r="I1075" s="58" t="s">
        <v>2365</v>
      </c>
      <c r="J1075" s="58" t="s">
        <v>5075</v>
      </c>
      <c r="K1075" s="58"/>
      <c r="L1075" s="58" t="s">
        <v>2373</v>
      </c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</row>
    <row r="1076">
      <c r="A1076" s="58"/>
      <c r="B1076" s="59" t="s">
        <v>5137</v>
      </c>
      <c r="C1076" s="60" t="s">
        <v>5070</v>
      </c>
      <c r="D1076" s="60" t="s">
        <v>5138</v>
      </c>
      <c r="E1076" s="60" t="s">
        <v>5139</v>
      </c>
      <c r="F1076" s="60" t="s">
        <v>5140</v>
      </c>
      <c r="G1076" s="60" t="s">
        <v>5074</v>
      </c>
      <c r="H1076" s="61">
        <v>4.96788831E7</v>
      </c>
      <c r="I1076" s="58" t="s">
        <v>2365</v>
      </c>
      <c r="J1076" s="58" t="s">
        <v>5075</v>
      </c>
      <c r="K1076" s="58"/>
      <c r="L1076" s="58" t="s">
        <v>2373</v>
      </c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</row>
    <row r="1077">
      <c r="A1077" s="58"/>
      <c r="B1077" s="59" t="s">
        <v>5141</v>
      </c>
      <c r="C1077" s="60" t="s">
        <v>5070</v>
      </c>
      <c r="D1077" s="60" t="s">
        <v>5142</v>
      </c>
      <c r="E1077" s="60" t="s">
        <v>5143</v>
      </c>
      <c r="F1077" s="60" t="s">
        <v>5144</v>
      </c>
      <c r="G1077" s="60" t="s">
        <v>5096</v>
      </c>
      <c r="H1077" s="61">
        <v>8966541.38</v>
      </c>
      <c r="I1077" s="58" t="s">
        <v>2365</v>
      </c>
      <c r="J1077" s="58" t="s">
        <v>5075</v>
      </c>
      <c r="K1077" s="58"/>
      <c r="L1077" s="58" t="s">
        <v>2435</v>
      </c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</row>
    <row r="1078">
      <c r="A1078" s="58"/>
      <c r="B1078" s="59" t="s">
        <v>5145</v>
      </c>
      <c r="C1078" s="60" t="s">
        <v>5070</v>
      </c>
      <c r="D1078" s="60" t="s">
        <v>5146</v>
      </c>
      <c r="E1078" s="60" t="s">
        <v>5147</v>
      </c>
      <c r="F1078" s="60" t="s">
        <v>5148</v>
      </c>
      <c r="G1078" s="60" t="s">
        <v>5074</v>
      </c>
      <c r="H1078" s="61">
        <v>1.906983162E7</v>
      </c>
      <c r="I1078" s="58" t="s">
        <v>2365</v>
      </c>
      <c r="J1078" s="58" t="s">
        <v>5075</v>
      </c>
      <c r="K1078" s="58"/>
      <c r="L1078" s="58" t="s">
        <v>2373</v>
      </c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</row>
    <row r="1079">
      <c r="A1079" s="58"/>
      <c r="B1079" s="59" t="s">
        <v>5149</v>
      </c>
      <c r="C1079" s="60" t="s">
        <v>5070</v>
      </c>
      <c r="D1079" s="60" t="s">
        <v>5150</v>
      </c>
      <c r="E1079" s="60" t="s">
        <v>5151</v>
      </c>
      <c r="F1079" s="60" t="s">
        <v>5152</v>
      </c>
      <c r="G1079" s="60" t="s">
        <v>5074</v>
      </c>
      <c r="H1079" s="61">
        <v>2.94428907E7</v>
      </c>
      <c r="I1079" s="58" t="s">
        <v>2365</v>
      </c>
      <c r="J1079" s="58" t="s">
        <v>5075</v>
      </c>
      <c r="K1079" s="58"/>
      <c r="L1079" s="58" t="s">
        <v>2373</v>
      </c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</row>
    <row r="1080">
      <c r="A1080" s="58"/>
      <c r="B1080" s="59" t="s">
        <v>5153</v>
      </c>
      <c r="C1080" s="60" t="s">
        <v>5070</v>
      </c>
      <c r="D1080" s="60" t="s">
        <v>5154</v>
      </c>
      <c r="E1080" s="60" t="s">
        <v>5155</v>
      </c>
      <c r="F1080" s="60" t="s">
        <v>5156</v>
      </c>
      <c r="G1080" s="60" t="s">
        <v>5157</v>
      </c>
      <c r="H1080" s="61">
        <v>2649260.4</v>
      </c>
      <c r="I1080" s="58" t="s">
        <v>2365</v>
      </c>
      <c r="J1080" s="58" t="s">
        <v>5075</v>
      </c>
      <c r="K1080" s="58"/>
      <c r="L1080" s="58" t="s">
        <v>3321</v>
      </c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</row>
    <row r="1081">
      <c r="A1081" s="58"/>
      <c r="B1081" s="59" t="s">
        <v>5158</v>
      </c>
      <c r="C1081" s="60" t="s">
        <v>5070</v>
      </c>
      <c r="D1081" s="60" t="s">
        <v>5159</v>
      </c>
      <c r="E1081" s="60" t="s">
        <v>5160</v>
      </c>
      <c r="F1081" s="60" t="s">
        <v>5161</v>
      </c>
      <c r="G1081" s="60" t="s">
        <v>5074</v>
      </c>
      <c r="H1081" s="61">
        <v>7623476.4</v>
      </c>
      <c r="I1081" s="58" t="s">
        <v>2365</v>
      </c>
      <c r="J1081" s="58" t="s">
        <v>5075</v>
      </c>
      <c r="K1081" s="58"/>
      <c r="L1081" s="58" t="s">
        <v>2373</v>
      </c>
      <c r="M1081" s="58"/>
      <c r="N1081" s="58"/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</row>
    <row r="1082">
      <c r="A1082" s="58"/>
      <c r="B1082" s="59" t="s">
        <v>5162</v>
      </c>
      <c r="C1082" s="60" t="s">
        <v>5070</v>
      </c>
      <c r="D1082" s="60" t="s">
        <v>5163</v>
      </c>
      <c r="E1082" s="60" t="s">
        <v>5164</v>
      </c>
      <c r="F1082" s="60" t="s">
        <v>5165</v>
      </c>
      <c r="G1082" s="60" t="s">
        <v>5074</v>
      </c>
      <c r="H1082" s="61">
        <v>8616588.6</v>
      </c>
      <c r="I1082" s="58" t="s">
        <v>2365</v>
      </c>
      <c r="J1082" s="58" t="s">
        <v>5075</v>
      </c>
      <c r="K1082" s="58"/>
      <c r="L1082" s="58" t="s">
        <v>2373</v>
      </c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</row>
    <row r="1083">
      <c r="A1083" s="58"/>
      <c r="B1083" s="59" t="s">
        <v>5166</v>
      </c>
      <c r="C1083" s="60" t="s">
        <v>5070</v>
      </c>
      <c r="D1083" s="60" t="s">
        <v>5167</v>
      </c>
      <c r="E1083" s="60" t="s">
        <v>5168</v>
      </c>
      <c r="F1083" s="60" t="s">
        <v>5169</v>
      </c>
      <c r="G1083" s="60" t="s">
        <v>5074</v>
      </c>
      <c r="H1083" s="61">
        <v>9744093.0</v>
      </c>
      <c r="I1083" s="58" t="s">
        <v>2365</v>
      </c>
      <c r="J1083" s="58" t="s">
        <v>5075</v>
      </c>
      <c r="K1083" s="58"/>
      <c r="L1083" s="58" t="s">
        <v>2373</v>
      </c>
      <c r="M1083" s="58"/>
      <c r="N1083" s="58"/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</row>
    <row r="1084">
      <c r="A1084" s="58"/>
      <c r="B1084" s="59" t="s">
        <v>5170</v>
      </c>
      <c r="C1084" s="60" t="s">
        <v>5070</v>
      </c>
      <c r="D1084" s="60" t="s">
        <v>5171</v>
      </c>
      <c r="E1084" s="60" t="s">
        <v>5172</v>
      </c>
      <c r="F1084" s="60" t="s">
        <v>5173</v>
      </c>
      <c r="G1084" s="60" t="s">
        <v>5074</v>
      </c>
      <c r="H1084" s="61">
        <v>1.10527617E7</v>
      </c>
      <c r="I1084" s="58" t="s">
        <v>2365</v>
      </c>
      <c r="J1084" s="58" t="s">
        <v>5075</v>
      </c>
      <c r="K1084" s="58"/>
      <c r="L1084" s="58" t="s">
        <v>2373</v>
      </c>
      <c r="M1084" s="58"/>
      <c r="N1084" s="58"/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</row>
    <row r="1085">
      <c r="A1085" s="58"/>
      <c r="B1085" s="59" t="s">
        <v>5174</v>
      </c>
      <c r="C1085" s="60" t="s">
        <v>5070</v>
      </c>
      <c r="D1085" s="60" t="s">
        <v>5175</v>
      </c>
      <c r="E1085" s="60" t="s">
        <v>5176</v>
      </c>
      <c r="F1085" s="60" t="s">
        <v>5177</v>
      </c>
      <c r="G1085" s="60" t="s">
        <v>5074</v>
      </c>
      <c r="H1085" s="61">
        <v>5.798702754E7</v>
      </c>
      <c r="I1085" s="58" t="s">
        <v>2365</v>
      </c>
      <c r="J1085" s="58" t="s">
        <v>5075</v>
      </c>
      <c r="K1085" s="58"/>
      <c r="L1085" s="58" t="s">
        <v>2373</v>
      </c>
      <c r="M1085" s="58"/>
      <c r="N1085" s="58"/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</row>
    <row r="1086">
      <c r="A1086" s="58"/>
      <c r="B1086" s="59" t="s">
        <v>5178</v>
      </c>
      <c r="C1086" s="60" t="s">
        <v>5070</v>
      </c>
      <c r="D1086" s="60" t="s">
        <v>5179</v>
      </c>
      <c r="E1086" s="60" t="s">
        <v>5180</v>
      </c>
      <c r="F1086" s="60" t="s">
        <v>5181</v>
      </c>
      <c r="G1086" s="60" t="s">
        <v>5074</v>
      </c>
      <c r="H1086" s="61">
        <v>1.3000479E7</v>
      </c>
      <c r="I1086" s="58" t="s">
        <v>2365</v>
      </c>
      <c r="J1086" s="58" t="s">
        <v>5075</v>
      </c>
      <c r="K1086" s="58"/>
      <c r="L1086" s="58" t="s">
        <v>2373</v>
      </c>
      <c r="M1086" s="58"/>
      <c r="N1086" s="58"/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</row>
    <row r="1087">
      <c r="A1087" s="58"/>
      <c r="B1087" s="59" t="s">
        <v>5182</v>
      </c>
      <c r="C1087" s="60" t="s">
        <v>5070</v>
      </c>
      <c r="D1087" s="60" t="s">
        <v>5183</v>
      </c>
      <c r="E1087" s="60" t="s">
        <v>5184</v>
      </c>
      <c r="F1087" s="60" t="s">
        <v>5185</v>
      </c>
      <c r="G1087" s="60" t="s">
        <v>5074</v>
      </c>
      <c r="H1087" s="61">
        <v>2616471.0</v>
      </c>
      <c r="I1087" s="58" t="s">
        <v>2365</v>
      </c>
      <c r="J1087" s="58" t="s">
        <v>5075</v>
      </c>
      <c r="K1087" s="58"/>
      <c r="L1087" s="58" t="s">
        <v>2373</v>
      </c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</row>
    <row r="1088">
      <c r="A1088" s="58"/>
      <c r="B1088" s="59" t="s">
        <v>5186</v>
      </c>
      <c r="C1088" s="60" t="s">
        <v>5070</v>
      </c>
      <c r="D1088" s="60" t="s">
        <v>5187</v>
      </c>
      <c r="E1088" s="60" t="s">
        <v>5188</v>
      </c>
      <c r="F1088" s="60" t="s">
        <v>5189</v>
      </c>
      <c r="G1088" s="60" t="s">
        <v>5074</v>
      </c>
      <c r="H1088" s="61">
        <v>3.90165684E7</v>
      </c>
      <c r="I1088" s="58" t="s">
        <v>2365</v>
      </c>
      <c r="J1088" s="58" t="s">
        <v>5075</v>
      </c>
      <c r="K1088" s="58"/>
      <c r="L1088" s="58" t="s">
        <v>2373</v>
      </c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</row>
    <row r="1089">
      <c r="A1089" s="58"/>
      <c r="B1089" s="59" t="s">
        <v>5190</v>
      </c>
      <c r="C1089" s="60" t="s">
        <v>5070</v>
      </c>
      <c r="D1089" s="60" t="s">
        <v>5191</v>
      </c>
      <c r="E1089" s="60" t="s">
        <v>5192</v>
      </c>
      <c r="F1089" s="60" t="s">
        <v>5193</v>
      </c>
      <c r="G1089" s="60" t="s">
        <v>5096</v>
      </c>
      <c r="H1089" s="61">
        <v>2.57541966E7</v>
      </c>
      <c r="I1089" s="58" t="s">
        <v>2365</v>
      </c>
      <c r="J1089" s="58" t="s">
        <v>5075</v>
      </c>
      <c r="K1089" s="58"/>
      <c r="L1089" s="58" t="s">
        <v>2435</v>
      </c>
      <c r="M1089" s="58"/>
      <c r="N1089" s="58"/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</row>
    <row r="1090">
      <c r="A1090" s="58"/>
      <c r="B1090" s="59" t="s">
        <v>5194</v>
      </c>
      <c r="C1090" s="60" t="s">
        <v>5070</v>
      </c>
      <c r="D1090" s="60" t="s">
        <v>5195</v>
      </c>
      <c r="E1090" s="60" t="s">
        <v>5196</v>
      </c>
      <c r="F1090" s="60" t="s">
        <v>5197</v>
      </c>
      <c r="G1090" s="60" t="s">
        <v>5074</v>
      </c>
      <c r="H1090" s="61">
        <v>2.137751655E7</v>
      </c>
      <c r="I1090" s="58" t="s">
        <v>2365</v>
      </c>
      <c r="J1090" s="58" t="s">
        <v>5075</v>
      </c>
      <c r="K1090" s="58"/>
      <c r="L1090" s="58" t="s">
        <v>2373</v>
      </c>
      <c r="M1090" s="58"/>
      <c r="N1090" s="58"/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</row>
    <row r="1091">
      <c r="A1091" s="58"/>
      <c r="B1091" s="59" t="s">
        <v>5198</v>
      </c>
      <c r="C1091" s="60" t="s">
        <v>5070</v>
      </c>
      <c r="D1091" s="60" t="s">
        <v>5199</v>
      </c>
      <c r="E1091" s="60" t="s">
        <v>5200</v>
      </c>
      <c r="F1091" s="60" t="s">
        <v>5201</v>
      </c>
      <c r="G1091" s="60" t="s">
        <v>5074</v>
      </c>
      <c r="H1091" s="61">
        <v>3743076.0</v>
      </c>
      <c r="I1091" s="58" t="s">
        <v>2365</v>
      </c>
      <c r="J1091" s="58" t="s">
        <v>5075</v>
      </c>
      <c r="K1091" s="58"/>
      <c r="L1091" s="58" t="s">
        <v>2373</v>
      </c>
      <c r="M1091" s="58"/>
      <c r="N1091" s="58"/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</row>
    <row r="1092">
      <c r="A1092" s="58"/>
      <c r="B1092" s="59" t="s">
        <v>5202</v>
      </c>
      <c r="C1092" s="60" t="s">
        <v>5070</v>
      </c>
      <c r="D1092" s="60" t="s">
        <v>5203</v>
      </c>
      <c r="E1092" s="60" t="s">
        <v>5204</v>
      </c>
      <c r="F1092" s="60" t="s">
        <v>5205</v>
      </c>
      <c r="G1092" s="60" t="s">
        <v>5074</v>
      </c>
      <c r="H1092" s="61">
        <v>1.044246021E7</v>
      </c>
      <c r="I1092" s="58" t="s">
        <v>2365</v>
      </c>
      <c r="J1092" s="58" t="s">
        <v>5075</v>
      </c>
      <c r="K1092" s="58"/>
      <c r="L1092" s="58" t="s">
        <v>2373</v>
      </c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</row>
    <row r="1093">
      <c r="A1093" s="58"/>
      <c r="B1093" s="59" t="s">
        <v>5206</v>
      </c>
      <c r="C1093" s="60" t="s">
        <v>5070</v>
      </c>
      <c r="D1093" s="60" t="s">
        <v>5207</v>
      </c>
      <c r="E1093" s="60" t="s">
        <v>5208</v>
      </c>
      <c r="F1093" s="60" t="s">
        <v>5209</v>
      </c>
      <c r="G1093" s="60" t="s">
        <v>5074</v>
      </c>
      <c r="H1093" s="61">
        <v>1.241455941E7</v>
      </c>
      <c r="I1093" s="58" t="s">
        <v>2365</v>
      </c>
      <c r="J1093" s="58" t="s">
        <v>5075</v>
      </c>
      <c r="K1093" s="58"/>
      <c r="L1093" s="58" t="s">
        <v>2373</v>
      </c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</row>
    <row r="1094">
      <c r="A1094" s="58"/>
      <c r="B1094" s="59" t="s">
        <v>5210</v>
      </c>
      <c r="C1094" s="60" t="s">
        <v>5070</v>
      </c>
      <c r="D1094" s="60" t="s">
        <v>5211</v>
      </c>
      <c r="E1094" s="60" t="s">
        <v>5212</v>
      </c>
      <c r="F1094" s="60" t="s">
        <v>5213</v>
      </c>
      <c r="G1094" s="60" t="s">
        <v>5074</v>
      </c>
      <c r="H1094" s="61">
        <v>8.0337912E7</v>
      </c>
      <c r="I1094" s="58" t="s">
        <v>2365</v>
      </c>
      <c r="J1094" s="58" t="s">
        <v>5075</v>
      </c>
      <c r="K1094" s="58"/>
      <c r="L1094" s="58" t="s">
        <v>2373</v>
      </c>
      <c r="M1094" s="58"/>
      <c r="N1094" s="58"/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</row>
    <row r="1095">
      <c r="A1095" s="58"/>
      <c r="B1095" s="59" t="s">
        <v>5214</v>
      </c>
      <c r="C1095" s="60" t="s">
        <v>5070</v>
      </c>
      <c r="D1095" s="60" t="s">
        <v>5215</v>
      </c>
      <c r="E1095" s="60" t="s">
        <v>5216</v>
      </c>
      <c r="F1095" s="60" t="s">
        <v>5217</v>
      </c>
      <c r="G1095" s="60" t="s">
        <v>5096</v>
      </c>
      <c r="H1095" s="61">
        <v>1.718211132E7</v>
      </c>
      <c r="I1095" s="58" t="s">
        <v>2365</v>
      </c>
      <c r="J1095" s="58" t="s">
        <v>5075</v>
      </c>
      <c r="K1095" s="58"/>
      <c r="L1095" s="58" t="s">
        <v>2435</v>
      </c>
      <c r="M1095" s="58"/>
      <c r="N1095" s="58"/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</row>
    <row r="1096">
      <c r="A1096" s="58"/>
      <c r="B1096" s="59" t="s">
        <v>5218</v>
      </c>
      <c r="C1096" s="60" t="s">
        <v>5070</v>
      </c>
      <c r="D1096" s="60" t="s">
        <v>5219</v>
      </c>
      <c r="E1096" s="60" t="s">
        <v>5220</v>
      </c>
      <c r="F1096" s="60" t="s">
        <v>5221</v>
      </c>
      <c r="G1096" s="60" t="s">
        <v>5074</v>
      </c>
      <c r="H1096" s="61">
        <v>7907781.0</v>
      </c>
      <c r="I1096" s="58" t="s">
        <v>2365</v>
      </c>
      <c r="J1096" s="58" t="s">
        <v>5075</v>
      </c>
      <c r="K1096" s="58"/>
      <c r="L1096" s="58" t="s">
        <v>2373</v>
      </c>
      <c r="M1096" s="58"/>
      <c r="N1096" s="58"/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</row>
    <row r="1097">
      <c r="A1097" s="58"/>
      <c r="B1097" s="59" t="s">
        <v>5222</v>
      </c>
      <c r="C1097" s="60" t="s">
        <v>5070</v>
      </c>
      <c r="D1097" s="60" t="s">
        <v>5223</v>
      </c>
      <c r="E1097" s="60" t="s">
        <v>5224</v>
      </c>
      <c r="F1097" s="60" t="s">
        <v>5225</v>
      </c>
      <c r="G1097" s="60" t="s">
        <v>5074</v>
      </c>
      <c r="H1097" s="61">
        <v>4.25850534E7</v>
      </c>
      <c r="I1097" s="58" t="s">
        <v>2365</v>
      </c>
      <c r="J1097" s="58" t="s">
        <v>5075</v>
      </c>
      <c r="K1097" s="58"/>
      <c r="L1097" s="58" t="s">
        <v>2373</v>
      </c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</row>
    <row r="1098">
      <c r="A1098" s="58"/>
      <c r="B1098" s="59" t="s">
        <v>5226</v>
      </c>
      <c r="C1098" s="60" t="s">
        <v>5070</v>
      </c>
      <c r="D1098" s="60" t="s">
        <v>5227</v>
      </c>
      <c r="E1098" s="60" t="s">
        <v>5228</v>
      </c>
      <c r="F1098" s="60" t="s">
        <v>5229</v>
      </c>
      <c r="G1098" s="60" t="s">
        <v>5074</v>
      </c>
      <c r="H1098" s="61">
        <v>1.57718373E7</v>
      </c>
      <c r="I1098" s="58" t="s">
        <v>2365</v>
      </c>
      <c r="J1098" s="58" t="s">
        <v>5075</v>
      </c>
      <c r="K1098" s="58"/>
      <c r="L1098" s="58" t="s">
        <v>2373</v>
      </c>
      <c r="M1098" s="58"/>
      <c r="N1098" s="58"/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</row>
    <row r="1099">
      <c r="A1099" s="58"/>
      <c r="B1099" s="59" t="s">
        <v>5230</v>
      </c>
      <c r="C1099" s="60" t="s">
        <v>5070</v>
      </c>
      <c r="D1099" s="60" t="s">
        <v>5231</v>
      </c>
      <c r="E1099" s="60" t="s">
        <v>5232</v>
      </c>
      <c r="F1099" s="60" t="s">
        <v>5233</v>
      </c>
      <c r="G1099" s="60" t="s">
        <v>5074</v>
      </c>
      <c r="H1099" s="61">
        <v>8595828.0</v>
      </c>
      <c r="I1099" s="58" t="s">
        <v>2365</v>
      </c>
      <c r="J1099" s="58" t="s">
        <v>5075</v>
      </c>
      <c r="K1099" s="58"/>
      <c r="L1099" s="58" t="s">
        <v>2373</v>
      </c>
      <c r="M1099" s="58"/>
      <c r="N1099" s="58"/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</row>
    <row r="1100">
      <c r="A1100" s="26"/>
      <c r="B1100" s="27"/>
      <c r="C1100" s="26"/>
      <c r="D1100" s="26"/>
      <c r="E1100" s="26"/>
      <c r="F1100" s="26"/>
      <c r="G1100" s="26"/>
      <c r="H1100" s="26"/>
      <c r="I1100" s="26"/>
      <c r="J1100" s="26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</row>
    <row r="1101">
      <c r="A1101" s="26"/>
      <c r="B1101" s="27"/>
      <c r="C1101" s="26"/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</row>
    <row r="1102">
      <c r="A1102" s="26"/>
      <c r="B1102" s="27"/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</row>
    <row r="1103">
      <c r="A1103" s="26"/>
      <c r="B1103" s="27"/>
      <c r="C1103" s="26"/>
      <c r="D1103" s="26"/>
      <c r="E1103" s="26"/>
      <c r="F1103" s="26"/>
      <c r="G1103" s="26"/>
      <c r="H1103" s="26"/>
      <c r="I1103" s="26"/>
      <c r="J1103" s="26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</row>
    <row r="1104">
      <c r="A1104" s="26"/>
      <c r="B1104" s="27"/>
      <c r="C1104" s="26"/>
      <c r="D1104" s="26"/>
      <c r="E1104" s="26"/>
      <c r="F1104" s="26"/>
      <c r="G1104" s="26"/>
      <c r="H1104" s="26"/>
      <c r="I1104" s="26"/>
      <c r="J1104" s="26"/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</row>
    <row r="1105">
      <c r="A1105" s="26"/>
      <c r="B1105" s="52"/>
      <c r="C1105" s="26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</row>
    <row r="1106" ht="15.0" customHeight="1">
      <c r="A1106" s="26"/>
      <c r="B1106" s="59"/>
      <c r="C1106" s="26"/>
      <c r="D1106" s="26"/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</row>
    <row r="1107">
      <c r="A1107" s="26"/>
      <c r="C1107" s="26"/>
      <c r="D1107" s="26"/>
      <c r="E1107" s="26"/>
      <c r="F1107" s="26"/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</row>
    <row r="1108">
      <c r="A1108" s="26"/>
      <c r="C1108" s="26"/>
      <c r="D1108" s="26"/>
      <c r="E1108" s="26"/>
      <c r="F1108" s="26"/>
      <c r="G1108" s="26"/>
      <c r="H1108" s="26"/>
      <c r="I1108" s="26"/>
      <c r="J1108" s="26"/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</row>
    <row r="1109">
      <c r="A1109" s="26"/>
      <c r="C1109" s="26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</row>
    <row r="1110">
      <c r="A1110" s="26"/>
      <c r="C1110" s="26"/>
      <c r="D1110" s="26"/>
      <c r="E1110" s="26"/>
      <c r="F1110" s="26"/>
      <c r="G1110" s="26"/>
      <c r="H1110" s="26"/>
      <c r="I1110" s="26"/>
      <c r="J1110" s="26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</row>
    <row r="1111">
      <c r="A1111" s="26"/>
      <c r="C1111" s="26"/>
      <c r="D1111" s="26"/>
      <c r="E1111" s="26"/>
      <c r="F1111" s="26"/>
      <c r="G1111" s="26"/>
      <c r="H1111" s="26"/>
      <c r="I1111" s="26"/>
      <c r="J1111" s="26"/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</row>
    <row r="1112">
      <c r="A1112" s="26"/>
      <c r="C1112" s="26"/>
      <c r="D1112" s="26"/>
      <c r="E1112" s="26"/>
      <c r="F1112" s="26"/>
      <c r="G1112" s="26"/>
      <c r="H1112" s="26"/>
      <c r="I1112" s="26"/>
      <c r="J1112" s="26"/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</row>
    <row r="1113">
      <c r="A1113" s="26"/>
      <c r="C1113" s="26"/>
      <c r="D1113" s="26"/>
      <c r="E1113" s="26"/>
      <c r="F1113" s="26"/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</row>
    <row r="1114">
      <c r="A1114" s="26"/>
      <c r="C1114" s="26"/>
      <c r="D1114" s="26"/>
      <c r="E1114" s="26"/>
      <c r="F1114" s="26"/>
      <c r="G1114" s="26"/>
      <c r="H1114" s="26"/>
      <c r="I1114" s="26"/>
      <c r="J1114" s="26"/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</row>
    <row r="1115">
      <c r="A1115" s="26"/>
      <c r="C1115" s="26"/>
      <c r="D1115" s="26"/>
      <c r="E1115" s="26"/>
      <c r="F1115" s="26"/>
      <c r="G1115" s="26"/>
      <c r="H1115" s="26"/>
      <c r="I1115" s="26"/>
      <c r="J1115" s="26"/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</row>
    <row r="1116">
      <c r="A1116" s="26"/>
      <c r="C1116" s="26"/>
      <c r="D1116" s="26"/>
      <c r="E1116" s="26"/>
      <c r="F1116" s="26"/>
      <c r="G1116" s="26"/>
      <c r="H1116" s="26"/>
      <c r="I1116" s="26"/>
      <c r="J1116" s="26"/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</row>
    <row r="1117">
      <c r="A1117" s="26"/>
      <c r="C1117" s="26"/>
      <c r="D1117" s="26"/>
      <c r="E1117" s="26"/>
      <c r="F1117" s="26"/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</row>
    <row r="1118">
      <c r="A1118" s="26"/>
      <c r="C1118" s="26"/>
      <c r="D1118" s="26"/>
      <c r="E1118" s="26"/>
      <c r="F1118" s="26"/>
      <c r="G1118" s="26"/>
      <c r="H1118" s="26"/>
      <c r="I1118" s="26"/>
      <c r="J1118" s="26"/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</row>
    <row r="1119">
      <c r="A1119" s="26"/>
      <c r="C1119" s="26"/>
      <c r="D1119" s="26"/>
      <c r="E1119" s="26"/>
      <c r="F1119" s="26"/>
      <c r="G1119" s="26"/>
      <c r="H1119" s="26"/>
      <c r="I1119" s="26"/>
      <c r="J1119" s="26"/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  <c r="Z1119" s="26"/>
    </row>
    <row r="1120">
      <c r="A1120" s="26"/>
      <c r="C1120" s="26"/>
      <c r="D1120" s="26"/>
      <c r="E1120" s="26"/>
      <c r="F1120" s="26"/>
      <c r="G1120" s="26"/>
      <c r="H1120" s="26"/>
      <c r="I1120" s="26"/>
      <c r="J1120" s="26"/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</row>
    <row r="1121">
      <c r="A1121" s="26"/>
      <c r="C1121" s="26"/>
      <c r="D1121" s="26"/>
      <c r="E1121" s="26"/>
      <c r="F1121" s="26"/>
      <c r="G1121" s="26"/>
      <c r="H1121" s="26"/>
      <c r="I1121" s="26"/>
      <c r="J1121" s="26"/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</row>
    <row r="1122">
      <c r="A1122" s="26"/>
      <c r="C1122" s="26"/>
      <c r="D1122" s="26"/>
      <c r="E1122" s="26"/>
      <c r="F1122" s="26"/>
      <c r="G1122" s="26"/>
      <c r="H1122" s="26"/>
      <c r="I1122" s="26"/>
      <c r="J1122" s="26"/>
      <c r="K1122" s="26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</row>
    <row r="1123">
      <c r="A1123" s="26"/>
      <c r="C1123" s="26"/>
      <c r="D1123" s="26"/>
      <c r="E1123" s="26"/>
      <c r="F1123" s="26"/>
      <c r="G1123" s="26"/>
      <c r="H1123" s="26"/>
      <c r="I1123" s="26"/>
      <c r="J1123" s="26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</row>
    <row r="1124">
      <c r="A1124" s="26"/>
      <c r="C1124" s="26"/>
      <c r="D1124" s="26"/>
      <c r="E1124" s="26"/>
      <c r="F1124" s="26"/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6"/>
    </row>
    <row r="1125">
      <c r="A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</row>
    <row r="1126">
      <c r="A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</row>
    <row r="1127">
      <c r="A1127" s="26"/>
      <c r="C1127" s="26"/>
      <c r="D1127" s="26"/>
      <c r="E1127" s="26"/>
      <c r="F1127" s="26"/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</row>
    <row r="1128">
      <c r="A1128" s="26"/>
      <c r="C1128" s="26"/>
      <c r="D1128" s="26"/>
      <c r="E1128" s="26"/>
      <c r="F1128" s="26"/>
      <c r="G1128" s="26"/>
      <c r="H1128" s="26"/>
      <c r="I1128" s="26"/>
      <c r="J1128" s="26"/>
      <c r="K1128" s="26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</row>
    <row r="1129">
      <c r="A1129" s="26"/>
      <c r="C1129" s="26"/>
      <c r="D1129" s="26"/>
      <c r="E1129" s="26"/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</row>
    <row r="1130">
      <c r="A1130" s="26"/>
      <c r="C1130" s="26"/>
      <c r="D1130" s="26"/>
      <c r="E1130" s="26"/>
      <c r="F1130" s="26"/>
      <c r="G1130" s="26"/>
      <c r="H1130" s="26"/>
      <c r="I1130" s="26"/>
      <c r="J1130" s="26"/>
      <c r="K1130" s="26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</row>
    <row r="1131">
      <c r="A1131" s="26"/>
      <c r="C1131" s="26"/>
      <c r="D1131" s="26"/>
      <c r="E1131" s="26"/>
      <c r="F1131" s="26"/>
      <c r="G1131" s="26"/>
      <c r="H1131" s="26"/>
      <c r="I1131" s="26"/>
      <c r="J1131" s="26"/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</row>
    <row r="1132">
      <c r="A1132" s="26"/>
      <c r="C1132" s="26"/>
      <c r="D1132" s="26"/>
      <c r="E1132" s="26"/>
      <c r="F1132" s="26"/>
      <c r="G1132" s="26"/>
      <c r="H1132" s="26"/>
      <c r="I1132" s="26"/>
      <c r="J1132" s="26"/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</row>
    <row r="1133">
      <c r="A1133" s="26"/>
      <c r="C1133" s="26"/>
      <c r="D1133" s="26"/>
      <c r="E1133" s="26"/>
      <c r="F1133" s="26"/>
      <c r="G1133" s="26"/>
      <c r="H1133" s="26"/>
      <c r="I1133" s="26"/>
      <c r="J1133" s="26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</row>
    <row r="1134">
      <c r="A1134" s="26"/>
      <c r="C1134" s="26"/>
      <c r="D1134" s="26"/>
      <c r="E1134" s="26"/>
      <c r="F1134" s="26"/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6"/>
    </row>
    <row r="1135">
      <c r="A1135" s="26"/>
      <c r="C1135" s="26"/>
      <c r="D1135" s="26"/>
      <c r="E1135" s="26"/>
      <c r="F1135" s="26"/>
      <c r="G1135" s="26"/>
      <c r="H1135" s="26"/>
      <c r="I1135" s="26"/>
      <c r="J1135" s="26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</row>
    <row r="1136">
      <c r="A1136" s="26"/>
      <c r="C1136" s="26"/>
      <c r="D1136" s="26"/>
      <c r="E1136" s="26"/>
      <c r="F1136" s="26"/>
      <c r="G1136" s="26"/>
      <c r="H1136" s="26"/>
      <c r="I1136" s="26"/>
      <c r="J1136" s="26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6"/>
    </row>
    <row r="1137">
      <c r="A1137" s="26"/>
      <c r="C1137" s="26"/>
      <c r="D1137" s="26"/>
      <c r="E1137" s="26"/>
      <c r="F1137" s="26"/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</row>
    <row r="1138">
      <c r="A1138" s="26"/>
      <c r="C1138" s="26"/>
      <c r="D1138" s="26"/>
      <c r="E1138" s="26"/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</row>
    <row r="1139">
      <c r="A1139" s="26"/>
      <c r="C1139" s="26"/>
      <c r="D1139" s="26"/>
      <c r="E1139" s="26"/>
      <c r="F1139" s="26"/>
      <c r="G1139" s="26"/>
      <c r="H1139" s="26"/>
      <c r="I1139" s="26"/>
      <c r="J1139" s="26"/>
      <c r="K1139" s="26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</row>
    <row r="1140">
      <c r="A1140" s="26"/>
      <c r="C1140" s="26"/>
      <c r="D1140" s="26"/>
      <c r="E1140" s="26"/>
      <c r="F1140" s="26"/>
      <c r="G1140" s="26"/>
      <c r="H1140" s="26"/>
      <c r="I1140" s="26"/>
      <c r="J1140" s="26"/>
      <c r="K1140" s="26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</row>
    <row r="1141">
      <c r="A1141" s="26"/>
      <c r="C1141" s="26"/>
      <c r="D1141" s="26"/>
      <c r="E1141" s="26"/>
      <c r="F1141" s="26"/>
      <c r="G1141" s="26"/>
      <c r="H1141" s="26"/>
      <c r="I1141" s="26"/>
      <c r="J1141" s="26"/>
      <c r="K1141" s="26"/>
      <c r="L1141" s="26"/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</row>
    <row r="1142">
      <c r="A1142" s="26"/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</row>
    <row r="1143">
      <c r="A1143" s="26"/>
      <c r="C1143" s="26"/>
      <c r="D1143" s="26"/>
      <c r="E1143" s="26"/>
      <c r="F1143" s="26"/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6"/>
    </row>
    <row r="1144">
      <c r="A1144" s="26"/>
      <c r="C1144" s="26"/>
      <c r="D1144" s="26"/>
      <c r="E1144" s="26"/>
      <c r="F1144" s="26"/>
      <c r="G1144" s="26"/>
      <c r="H1144" s="26"/>
      <c r="I1144" s="26"/>
      <c r="J1144" s="26"/>
      <c r="K1144" s="26"/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6"/>
    </row>
    <row r="1145">
      <c r="A1145" s="26"/>
      <c r="C1145" s="26"/>
      <c r="D1145" s="26"/>
      <c r="E1145" s="26"/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</row>
    <row r="1146">
      <c r="A1146" s="26"/>
      <c r="C1146" s="26"/>
      <c r="D1146" s="26"/>
      <c r="E1146" s="26"/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</row>
    <row r="1147">
      <c r="A1147" s="26"/>
      <c r="C1147" s="26"/>
      <c r="D1147" s="26"/>
      <c r="E1147" s="26"/>
      <c r="F1147" s="26"/>
      <c r="G1147" s="26"/>
      <c r="H1147" s="26"/>
      <c r="I1147" s="26"/>
      <c r="J1147" s="26"/>
      <c r="K1147" s="26"/>
      <c r="L1147" s="26"/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</row>
    <row r="1148">
      <c r="A1148" s="26"/>
      <c r="C1148" s="26"/>
      <c r="D1148" s="26"/>
      <c r="E1148" s="26"/>
      <c r="F1148" s="26"/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  <c r="Z1148" s="26"/>
    </row>
    <row r="1149">
      <c r="A1149" s="26"/>
      <c r="C1149" s="26"/>
      <c r="D1149" s="26"/>
      <c r="E1149" s="26"/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</row>
    <row r="1150">
      <c r="A1150" s="26"/>
      <c r="C1150" s="26"/>
      <c r="D1150" s="26"/>
      <c r="E1150" s="26"/>
      <c r="F1150" s="26"/>
      <c r="G1150" s="26"/>
      <c r="H1150" s="26"/>
      <c r="I1150" s="26"/>
      <c r="J1150" s="26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6"/>
    </row>
    <row r="1151">
      <c r="A1151" s="26"/>
      <c r="C1151" s="26"/>
      <c r="D1151" s="26"/>
      <c r="E1151" s="26"/>
      <c r="F1151" s="26"/>
      <c r="G1151" s="26"/>
      <c r="H1151" s="26"/>
      <c r="I1151" s="26"/>
      <c r="J1151" s="26"/>
      <c r="K1151" s="26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6"/>
    </row>
    <row r="1152">
      <c r="A1152" s="26"/>
      <c r="C1152" s="26"/>
      <c r="D1152" s="26"/>
      <c r="E1152" s="26"/>
      <c r="F1152" s="26"/>
      <c r="G1152" s="26"/>
      <c r="H1152" s="26"/>
      <c r="I1152" s="26"/>
      <c r="J1152" s="26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</row>
    <row r="1153">
      <c r="A1153" s="26"/>
      <c r="C1153" s="26"/>
      <c r="D1153" s="26"/>
      <c r="E1153" s="26"/>
      <c r="F1153" s="26"/>
      <c r="G1153" s="26"/>
      <c r="H1153" s="26"/>
      <c r="I1153" s="26"/>
      <c r="J1153" s="26"/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6"/>
    </row>
    <row r="1154">
      <c r="A1154" s="26"/>
      <c r="C1154" s="26"/>
      <c r="D1154" s="26"/>
      <c r="E1154" s="26"/>
      <c r="F1154" s="26"/>
      <c r="G1154" s="26"/>
      <c r="H1154" s="26"/>
      <c r="I1154" s="26"/>
      <c r="J1154" s="26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</row>
    <row r="1155">
      <c r="A1155" s="26"/>
      <c r="C1155" s="26"/>
      <c r="D1155" s="26"/>
      <c r="E1155" s="26"/>
      <c r="F1155" s="26"/>
      <c r="G1155" s="26"/>
      <c r="H1155" s="26"/>
      <c r="I1155" s="26"/>
      <c r="J1155" s="26"/>
      <c r="K1155" s="26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</row>
    <row r="1156">
      <c r="A1156" s="26"/>
      <c r="C1156" s="26"/>
      <c r="D1156" s="26"/>
      <c r="E1156" s="26"/>
      <c r="F1156" s="26"/>
      <c r="G1156" s="26"/>
      <c r="H1156" s="26"/>
      <c r="I1156" s="26"/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  <c r="Z1156" s="26"/>
    </row>
    <row r="1157">
      <c r="A1157" s="26"/>
      <c r="C1157" s="26"/>
      <c r="D1157" s="26"/>
      <c r="E1157" s="26"/>
      <c r="F1157" s="26"/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  <c r="Z1157" s="26"/>
    </row>
    <row r="1158">
      <c r="A1158" s="26"/>
      <c r="C1158" s="26"/>
      <c r="D1158" s="26"/>
      <c r="E1158" s="26"/>
      <c r="F1158" s="26"/>
      <c r="G1158" s="26"/>
      <c r="H1158" s="26"/>
      <c r="I1158" s="26"/>
      <c r="J1158" s="26"/>
      <c r="K1158" s="26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6"/>
    </row>
    <row r="1159">
      <c r="A1159" s="26"/>
      <c r="C1159" s="26"/>
      <c r="D1159" s="26"/>
      <c r="E1159" s="26"/>
      <c r="F1159" s="26"/>
      <c r="G1159" s="26"/>
      <c r="H1159" s="26"/>
      <c r="I1159" s="26"/>
      <c r="J1159" s="26"/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6"/>
    </row>
    <row r="1160">
      <c r="A1160" s="26"/>
      <c r="C1160" s="26"/>
      <c r="D1160" s="26"/>
      <c r="E1160" s="26"/>
      <c r="F1160" s="26"/>
      <c r="G1160" s="26"/>
      <c r="H1160" s="26"/>
      <c r="I1160" s="26"/>
      <c r="J1160" s="26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</row>
    <row r="1161">
      <c r="A1161" s="26"/>
      <c r="C1161" s="26"/>
      <c r="D1161" s="26"/>
      <c r="E1161" s="26"/>
      <c r="F1161" s="26"/>
      <c r="G1161" s="26"/>
      <c r="H1161" s="26"/>
      <c r="I1161" s="26"/>
      <c r="J1161" s="26"/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</row>
    <row r="1162">
      <c r="A1162" s="26"/>
      <c r="C1162" s="26"/>
      <c r="D1162" s="26"/>
      <c r="E1162" s="26"/>
      <c r="F1162" s="26"/>
      <c r="G1162" s="26"/>
      <c r="H1162" s="26"/>
      <c r="I1162" s="26"/>
      <c r="J1162" s="26"/>
      <c r="K1162" s="26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</row>
    <row r="1163">
      <c r="A1163" s="26"/>
      <c r="C1163" s="26"/>
      <c r="D1163" s="26"/>
      <c r="E1163" s="26"/>
      <c r="F1163" s="26"/>
      <c r="G1163" s="26"/>
      <c r="H1163" s="26"/>
      <c r="I1163" s="26"/>
      <c r="J1163" s="26"/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</row>
    <row r="1164">
      <c r="A1164" s="26"/>
      <c r="C1164" s="26"/>
      <c r="D1164" s="26"/>
      <c r="E1164" s="26"/>
      <c r="F1164" s="26"/>
      <c r="G1164" s="26"/>
      <c r="H1164" s="26"/>
      <c r="I1164" s="26"/>
      <c r="J1164" s="26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</row>
    <row r="1165">
      <c r="A1165" s="26"/>
      <c r="C1165" s="26"/>
      <c r="D1165" s="26"/>
      <c r="E1165" s="26"/>
      <c r="F1165" s="26"/>
      <c r="G1165" s="26"/>
      <c r="H1165" s="26"/>
      <c r="I1165" s="26"/>
      <c r="J1165" s="26"/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</row>
    <row r="1166">
      <c r="A1166" s="26"/>
      <c r="C1166" s="26"/>
      <c r="D1166" s="26"/>
      <c r="E1166" s="26"/>
      <c r="F1166" s="26"/>
      <c r="G1166" s="26"/>
      <c r="H1166" s="26"/>
      <c r="I1166" s="26"/>
      <c r="J1166" s="26"/>
      <c r="K1166" s="26"/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</row>
    <row r="1167">
      <c r="A1167" s="26"/>
      <c r="C1167" s="26"/>
      <c r="D1167" s="26"/>
      <c r="E1167" s="26"/>
      <c r="F1167" s="26"/>
      <c r="G1167" s="26"/>
      <c r="H1167" s="26"/>
      <c r="I1167" s="26"/>
      <c r="J1167" s="26"/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</row>
    <row r="1168">
      <c r="A1168" s="26"/>
      <c r="C1168" s="26"/>
      <c r="D1168" s="26"/>
      <c r="E1168" s="26"/>
      <c r="F1168" s="26"/>
      <c r="G1168" s="26"/>
      <c r="H1168" s="26"/>
      <c r="I1168" s="26"/>
      <c r="J1168" s="26"/>
      <c r="K1168" s="26"/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  <c r="Z1168" s="26"/>
    </row>
    <row r="1169">
      <c r="A1169" s="26"/>
      <c r="C1169" s="26"/>
      <c r="D1169" s="26"/>
      <c r="E1169" s="26"/>
      <c r="F1169" s="26"/>
      <c r="G1169" s="26"/>
      <c r="H1169" s="26"/>
      <c r="I1169" s="26"/>
      <c r="J1169" s="26"/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</row>
    <row r="1170">
      <c r="A1170" s="26"/>
      <c r="C1170" s="26"/>
      <c r="D1170" s="26"/>
      <c r="E1170" s="26"/>
      <c r="F1170" s="26"/>
      <c r="G1170" s="26"/>
      <c r="H1170" s="26"/>
      <c r="I1170" s="26"/>
      <c r="J1170" s="26"/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</row>
    <row r="1171">
      <c r="A1171" s="26"/>
      <c r="C1171" s="26"/>
      <c r="D1171" s="26"/>
      <c r="E1171" s="26"/>
      <c r="F1171" s="26"/>
      <c r="G1171" s="26"/>
      <c r="H1171" s="26"/>
      <c r="I1171" s="26"/>
      <c r="J1171" s="26"/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</row>
    <row r="1172">
      <c r="A1172" s="26"/>
      <c r="C1172" s="26"/>
      <c r="D1172" s="26"/>
      <c r="E1172" s="26"/>
      <c r="F1172" s="26"/>
      <c r="G1172" s="26"/>
      <c r="H1172" s="26"/>
      <c r="I1172" s="26"/>
      <c r="J1172" s="26"/>
      <c r="K1172" s="26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  <c r="Z1172" s="26"/>
    </row>
    <row r="1173">
      <c r="A1173" s="26"/>
      <c r="C1173" s="26"/>
      <c r="D1173" s="26"/>
      <c r="E1173" s="26"/>
      <c r="F1173" s="26"/>
      <c r="G1173" s="26"/>
      <c r="H1173" s="26"/>
      <c r="I1173" s="26"/>
      <c r="J1173" s="26"/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  <c r="Z1173" s="26"/>
    </row>
    <row r="1174">
      <c r="A1174" s="26"/>
      <c r="C1174" s="26"/>
      <c r="D1174" s="26"/>
      <c r="E1174" s="26"/>
      <c r="F1174" s="26"/>
      <c r="G1174" s="26"/>
      <c r="H1174" s="26"/>
      <c r="I1174" s="26"/>
      <c r="J1174" s="26"/>
      <c r="K1174" s="26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  <c r="Z1174" s="26"/>
    </row>
    <row r="1175">
      <c r="A1175" s="26"/>
      <c r="C1175" s="26"/>
      <c r="D1175" s="26"/>
      <c r="E1175" s="26"/>
      <c r="F1175" s="26"/>
      <c r="G1175" s="26"/>
      <c r="H1175" s="26"/>
      <c r="I1175" s="26"/>
      <c r="J1175" s="26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</row>
    <row r="1176">
      <c r="A1176" s="26"/>
      <c r="C1176" s="26"/>
      <c r="D1176" s="26"/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</row>
    <row r="1177">
      <c r="A1177" s="26"/>
      <c r="C1177" s="26"/>
      <c r="D1177" s="26"/>
      <c r="E1177" s="26"/>
      <c r="F1177" s="26"/>
      <c r="G1177" s="26"/>
      <c r="H1177" s="26"/>
      <c r="I1177" s="26"/>
      <c r="J1177" s="26"/>
      <c r="K1177" s="26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  <c r="Z1177" s="26"/>
    </row>
    <row r="1178">
      <c r="A1178" s="26"/>
      <c r="C1178" s="26"/>
      <c r="D1178" s="26"/>
      <c r="E1178" s="26"/>
      <c r="F1178" s="26"/>
      <c r="G1178" s="26"/>
      <c r="H1178" s="26"/>
      <c r="I1178" s="26"/>
      <c r="J1178" s="26"/>
      <c r="K1178" s="26"/>
      <c r="L1178" s="26"/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  <c r="Z1178" s="26"/>
    </row>
    <row r="1179">
      <c r="A1179" s="26"/>
      <c r="C1179" s="26"/>
      <c r="D1179" s="26"/>
      <c r="E1179" s="26"/>
      <c r="F1179" s="26"/>
      <c r="G1179" s="26"/>
      <c r="H1179" s="26"/>
      <c r="I1179" s="26"/>
      <c r="J1179" s="26"/>
      <c r="K1179" s="26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  <c r="Z1179" s="26"/>
    </row>
    <row r="1180">
      <c r="A1180" s="26"/>
      <c r="C1180" s="26"/>
      <c r="D1180" s="26"/>
      <c r="E1180" s="26"/>
      <c r="F1180" s="26"/>
      <c r="G1180" s="26"/>
      <c r="H1180" s="26"/>
      <c r="I1180" s="26"/>
      <c r="J1180" s="26"/>
      <c r="K1180" s="26"/>
      <c r="L1180" s="26"/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  <c r="Z1180" s="26"/>
    </row>
    <row r="1181">
      <c r="A1181" s="26"/>
      <c r="C1181" s="26"/>
      <c r="D1181" s="26"/>
      <c r="E1181" s="26"/>
      <c r="F1181" s="26"/>
      <c r="G1181" s="26"/>
      <c r="H1181" s="26"/>
      <c r="I1181" s="26"/>
      <c r="J1181" s="26"/>
      <c r="K1181" s="26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</row>
    <row r="1182">
      <c r="A1182" s="26"/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</row>
    <row r="1183">
      <c r="A1183" s="26"/>
      <c r="C1183" s="26"/>
      <c r="D1183" s="26"/>
      <c r="E1183" s="26"/>
      <c r="F1183" s="26"/>
      <c r="G1183" s="26"/>
      <c r="H1183" s="26"/>
      <c r="I1183" s="26"/>
      <c r="J1183" s="26"/>
      <c r="K1183" s="26"/>
      <c r="L1183" s="26"/>
      <c r="M1183" s="26"/>
      <c r="N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  <c r="Z1183" s="26"/>
    </row>
    <row r="1184">
      <c r="A1184" s="26"/>
      <c r="C1184" s="26"/>
      <c r="D1184" s="26"/>
      <c r="E1184" s="26"/>
      <c r="F1184" s="26"/>
      <c r="G1184" s="26"/>
      <c r="H1184" s="26"/>
      <c r="I1184" s="26"/>
      <c r="J1184" s="26"/>
      <c r="K1184" s="26"/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  <c r="Z1184" s="26"/>
    </row>
    <row r="1185">
      <c r="A1185" s="26"/>
      <c r="C1185" s="26"/>
      <c r="D1185" s="26"/>
      <c r="E1185" s="26"/>
      <c r="F1185" s="26"/>
      <c r="G1185" s="26"/>
      <c r="H1185" s="26"/>
      <c r="I1185" s="26"/>
      <c r="J1185" s="26"/>
      <c r="K1185" s="26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</row>
    <row r="1186">
      <c r="A1186" s="26"/>
      <c r="C1186" s="26"/>
      <c r="D1186" s="26"/>
      <c r="E1186" s="26"/>
      <c r="F1186" s="26"/>
      <c r="G1186" s="26"/>
      <c r="H1186" s="26"/>
      <c r="I1186" s="26"/>
      <c r="J1186" s="26"/>
      <c r="K1186" s="26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</row>
    <row r="1187">
      <c r="A1187" s="26"/>
      <c r="C1187" s="26"/>
      <c r="D1187" s="26"/>
      <c r="E1187" s="26"/>
      <c r="F1187" s="26"/>
      <c r="G1187" s="26"/>
      <c r="H1187" s="26"/>
      <c r="I1187" s="26"/>
      <c r="J1187" s="26"/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</row>
    <row r="1188">
      <c r="A1188" s="26"/>
      <c r="C1188" s="26"/>
      <c r="D1188" s="26"/>
      <c r="E1188" s="26"/>
      <c r="F1188" s="26"/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</row>
    <row r="1189">
      <c r="A1189" s="26"/>
      <c r="C1189" s="26"/>
      <c r="D1189" s="26"/>
      <c r="E1189" s="26"/>
      <c r="F1189" s="26"/>
      <c r="G1189" s="26"/>
      <c r="H1189" s="26"/>
      <c r="I1189" s="26"/>
      <c r="J1189" s="26"/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</row>
    <row r="1190">
      <c r="A1190" s="26"/>
      <c r="C1190" s="26"/>
      <c r="D1190" s="26"/>
      <c r="E1190" s="26"/>
      <c r="F1190" s="26"/>
      <c r="G1190" s="26"/>
      <c r="H1190" s="26"/>
      <c r="I1190" s="26"/>
      <c r="J1190" s="26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</row>
    <row r="1191">
      <c r="A1191" s="26"/>
      <c r="C1191" s="26"/>
      <c r="D1191" s="26"/>
      <c r="E1191" s="26"/>
      <c r="F1191" s="26"/>
      <c r="G1191" s="26"/>
      <c r="H1191" s="26"/>
      <c r="I1191" s="26"/>
      <c r="J1191" s="26"/>
      <c r="K1191" s="26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</row>
    <row r="1192">
      <c r="A1192" s="26"/>
      <c r="C1192" s="26"/>
      <c r="D1192" s="26"/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</row>
    <row r="1193">
      <c r="A1193" s="26"/>
      <c r="C1193" s="26"/>
      <c r="D1193" s="26"/>
      <c r="E1193" s="26"/>
      <c r="F1193" s="26"/>
      <c r="G1193" s="26"/>
      <c r="H1193" s="26"/>
      <c r="I1193" s="26"/>
      <c r="J1193" s="26"/>
      <c r="K1193" s="26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</row>
    <row r="1194">
      <c r="A1194" s="26"/>
      <c r="C1194" s="26"/>
      <c r="D1194" s="26"/>
      <c r="E1194" s="26"/>
      <c r="F1194" s="26"/>
      <c r="G1194" s="26"/>
      <c r="H1194" s="26"/>
      <c r="I1194" s="26"/>
      <c r="J1194" s="26"/>
      <c r="K1194" s="26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</row>
    <row r="1195">
      <c r="A1195" s="26"/>
      <c r="C1195" s="26"/>
      <c r="D1195" s="26"/>
      <c r="E1195" s="26"/>
      <c r="F1195" s="26"/>
      <c r="G1195" s="26"/>
      <c r="H1195" s="26"/>
      <c r="I1195" s="26"/>
      <c r="J1195" s="26"/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  <c r="Z1195" s="26"/>
    </row>
    <row r="1196">
      <c r="A1196" s="26"/>
      <c r="C1196" s="26"/>
      <c r="D1196" s="26"/>
      <c r="E1196" s="26"/>
      <c r="F1196" s="26"/>
      <c r="G1196" s="26"/>
      <c r="H1196" s="26"/>
      <c r="I1196" s="26"/>
      <c r="J1196" s="26"/>
      <c r="K1196" s="26"/>
      <c r="L1196" s="26"/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  <c r="Z1196" s="26"/>
    </row>
    <row r="1197">
      <c r="A1197" s="26"/>
      <c r="C1197" s="26"/>
      <c r="D1197" s="26"/>
      <c r="E1197" s="26"/>
      <c r="F1197" s="26"/>
      <c r="G1197" s="26"/>
      <c r="H1197" s="26"/>
      <c r="I1197" s="26"/>
      <c r="J1197" s="26"/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  <c r="Z1197" s="26"/>
    </row>
    <row r="1198">
      <c r="A1198" s="26"/>
      <c r="C1198" s="26"/>
      <c r="D1198" s="26"/>
      <c r="E1198" s="26"/>
      <c r="F1198" s="26"/>
      <c r="G1198" s="26"/>
      <c r="H1198" s="26"/>
      <c r="I1198" s="26"/>
      <c r="J1198" s="26"/>
      <c r="K1198" s="26"/>
      <c r="L1198" s="26"/>
      <c r="M1198" s="26"/>
      <c r="N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  <c r="Z1198" s="26"/>
    </row>
    <row r="1199">
      <c r="A1199" s="26"/>
      <c r="C1199" s="26"/>
      <c r="D1199" s="26"/>
      <c r="E1199" s="26"/>
      <c r="F1199" s="26"/>
      <c r="G1199" s="26"/>
      <c r="H1199" s="26"/>
      <c r="I1199" s="26"/>
      <c r="J1199" s="26"/>
      <c r="K1199" s="26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  <c r="Z1199" s="26"/>
    </row>
    <row r="1200">
      <c r="A1200" s="26"/>
      <c r="C1200" s="26"/>
      <c r="D1200" s="26"/>
      <c r="E1200" s="26"/>
      <c r="F1200" s="26"/>
      <c r="G1200" s="26"/>
      <c r="H1200" s="26"/>
      <c r="I1200" s="26"/>
      <c r="J1200" s="26"/>
      <c r="K1200" s="26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  <c r="Z1200" s="26"/>
    </row>
    <row r="1201">
      <c r="A1201" s="26"/>
      <c r="C1201" s="26"/>
      <c r="D1201" s="26"/>
      <c r="E1201" s="26"/>
      <c r="F1201" s="26"/>
      <c r="G1201" s="26"/>
      <c r="H1201" s="26"/>
      <c r="I1201" s="26"/>
      <c r="J1201" s="26"/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</row>
    <row r="1202">
      <c r="A1202" s="26"/>
      <c r="C1202" s="26"/>
      <c r="D1202" s="26"/>
      <c r="E1202" s="26"/>
      <c r="F1202" s="26"/>
      <c r="G1202" s="26"/>
      <c r="H1202" s="26"/>
      <c r="I1202" s="26"/>
      <c r="J1202" s="26"/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</row>
    <row r="1203">
      <c r="A1203" s="26"/>
      <c r="C1203" s="26"/>
      <c r="D1203" s="26"/>
      <c r="E1203" s="26"/>
      <c r="F1203" s="26"/>
      <c r="G1203" s="26"/>
      <c r="H1203" s="26"/>
      <c r="I1203" s="26"/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</row>
    <row r="1204">
      <c r="A1204" s="26"/>
      <c r="C1204" s="26"/>
      <c r="D1204" s="26"/>
      <c r="E1204" s="26"/>
      <c r="F1204" s="26"/>
      <c r="G1204" s="26"/>
      <c r="H1204" s="26"/>
      <c r="I1204" s="26"/>
      <c r="J1204" s="26"/>
      <c r="K1204" s="26"/>
      <c r="L1204" s="26"/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</row>
    <row r="1205">
      <c r="A1205" s="26"/>
      <c r="C1205" s="26"/>
      <c r="D1205" s="26"/>
      <c r="E1205" s="26"/>
      <c r="F1205" s="26"/>
      <c r="G1205" s="26"/>
      <c r="H1205" s="26"/>
      <c r="I1205" s="26"/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</row>
    <row r="1206">
      <c r="A1206" s="26"/>
      <c r="C1206" s="26"/>
      <c r="D1206" s="26"/>
      <c r="E1206" s="26"/>
      <c r="F1206" s="26"/>
      <c r="G1206" s="26"/>
      <c r="H1206" s="26"/>
      <c r="I1206" s="26"/>
      <c r="J1206" s="26"/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</row>
    <row r="1207">
      <c r="A1207" s="26"/>
      <c r="C1207" s="26"/>
      <c r="D1207" s="26"/>
      <c r="E1207" s="26"/>
      <c r="F1207" s="26"/>
      <c r="G1207" s="26"/>
      <c r="H1207" s="26"/>
      <c r="I1207" s="26"/>
      <c r="J1207" s="26"/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</row>
    <row r="1208">
      <c r="A1208" s="26"/>
      <c r="C1208" s="26"/>
      <c r="D1208" s="26"/>
      <c r="E1208" s="26"/>
      <c r="F1208" s="26"/>
      <c r="G1208" s="26"/>
      <c r="H1208" s="26"/>
      <c r="I1208" s="26"/>
      <c r="J1208" s="26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</row>
    <row r="1209">
      <c r="A1209" s="26"/>
      <c r="C1209" s="26"/>
      <c r="D1209" s="26"/>
      <c r="E1209" s="26"/>
      <c r="F1209" s="26"/>
      <c r="G1209" s="26"/>
      <c r="H1209" s="26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</row>
    <row r="1210">
      <c r="A1210" s="26"/>
      <c r="C1210" s="26"/>
      <c r="D1210" s="26"/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</row>
    <row r="1211">
      <c r="A1211" s="26"/>
      <c r="C1211" s="26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</row>
    <row r="1212">
      <c r="A1212" s="26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</row>
    <row r="1213">
      <c r="A1213" s="26"/>
      <c r="C1213" s="26"/>
      <c r="D1213" s="26"/>
      <c r="E1213" s="26"/>
      <c r="F1213" s="26"/>
      <c r="G1213" s="26"/>
      <c r="H1213" s="26"/>
      <c r="I1213" s="26"/>
      <c r="J1213" s="26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</row>
    <row r="1214">
      <c r="A1214" s="26"/>
      <c r="C1214" s="26"/>
      <c r="D1214" s="26"/>
      <c r="E1214" s="26"/>
      <c r="F1214" s="26"/>
      <c r="G1214" s="26"/>
      <c r="H1214" s="26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</row>
    <row r="1215">
      <c r="A1215" s="26"/>
      <c r="C1215" s="26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</row>
    <row r="1216">
      <c r="A1216" s="26"/>
      <c r="C1216" s="26"/>
      <c r="D1216" s="26"/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</row>
    <row r="1217">
      <c r="A1217" s="26"/>
      <c r="C1217" s="26"/>
      <c r="D1217" s="26"/>
      <c r="E1217" s="26"/>
      <c r="F1217" s="26"/>
      <c r="G1217" s="26"/>
      <c r="H1217" s="26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</row>
    <row r="1218">
      <c r="A1218" s="26"/>
      <c r="C1218" s="26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</row>
    <row r="1219">
      <c r="A1219" s="26"/>
      <c r="C1219" s="26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</row>
    <row r="1220">
      <c r="A1220" s="26"/>
      <c r="C1220" s="26"/>
      <c r="D1220" s="26"/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</row>
    <row r="1221">
      <c r="A1221" s="26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</row>
    <row r="1222">
      <c r="A1222" s="26"/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</row>
    <row r="1223">
      <c r="A1223" s="26"/>
      <c r="C1223" s="26"/>
      <c r="D1223" s="26"/>
      <c r="E1223" s="26"/>
      <c r="F1223" s="26"/>
      <c r="G1223" s="26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</row>
    <row r="1224">
      <c r="A1224" s="26"/>
      <c r="C1224" s="26"/>
      <c r="D1224" s="26"/>
      <c r="E1224" s="26"/>
      <c r="F1224" s="26"/>
      <c r="G1224" s="26"/>
      <c r="H1224" s="26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</row>
    <row r="1225">
      <c r="A1225" s="26"/>
      <c r="C1225" s="26"/>
      <c r="D1225" s="26"/>
      <c r="E1225" s="26"/>
      <c r="F1225" s="26"/>
      <c r="G1225" s="26"/>
      <c r="H1225" s="26"/>
      <c r="I1225" s="26"/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</row>
    <row r="1226">
      <c r="A1226" s="26"/>
      <c r="C1226" s="26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</row>
    <row r="1227">
      <c r="A1227" s="26"/>
      <c r="C1227" s="26"/>
      <c r="D1227" s="26"/>
      <c r="E1227" s="26"/>
      <c r="F1227" s="26"/>
      <c r="G1227" s="26"/>
      <c r="H1227" s="26"/>
      <c r="I1227" s="26"/>
      <c r="J1227" s="26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</row>
    <row r="1228">
      <c r="A1228" s="26"/>
      <c r="C1228" s="26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</row>
    <row r="1229">
      <c r="A1229" s="26"/>
      <c r="C1229" s="26"/>
      <c r="D1229" s="26"/>
      <c r="E1229" s="26"/>
      <c r="F1229" s="26"/>
      <c r="G1229" s="26"/>
      <c r="H1229" s="26"/>
      <c r="I1229" s="26"/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</row>
    <row r="1230">
      <c r="A1230" s="26"/>
      <c r="C1230" s="26"/>
      <c r="D1230" s="26"/>
      <c r="E1230" s="26"/>
      <c r="F1230" s="26"/>
      <c r="G1230" s="26"/>
      <c r="H1230" s="26"/>
      <c r="I1230" s="26"/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</row>
    <row r="1231">
      <c r="A1231" s="26"/>
      <c r="C1231" s="26"/>
      <c r="D1231" s="26"/>
      <c r="E1231" s="26"/>
      <c r="F1231" s="26"/>
      <c r="G1231" s="26"/>
      <c r="H1231" s="26"/>
      <c r="I1231" s="26"/>
      <c r="J1231" s="26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</row>
    <row r="1232">
      <c r="A1232" s="26"/>
      <c r="C1232" s="26"/>
      <c r="D1232" s="26"/>
      <c r="E1232" s="26"/>
      <c r="F1232" s="26"/>
      <c r="G1232" s="26"/>
      <c r="H1232" s="26"/>
      <c r="I1232" s="26"/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</row>
    <row r="1233">
      <c r="A1233" s="26"/>
      <c r="C1233" s="26"/>
      <c r="D1233" s="26"/>
      <c r="E1233" s="26"/>
      <c r="F1233" s="26"/>
      <c r="G1233" s="26"/>
      <c r="H1233" s="26"/>
      <c r="I1233" s="26"/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</row>
    <row r="1234">
      <c r="A1234" s="26"/>
      <c r="C1234" s="26"/>
      <c r="D1234" s="26"/>
      <c r="E1234" s="26"/>
      <c r="F1234" s="26"/>
      <c r="G1234" s="26"/>
      <c r="H1234" s="26"/>
      <c r="I1234" s="26"/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</row>
    <row r="1235">
      <c r="A1235" s="26"/>
      <c r="C1235" s="26"/>
      <c r="D1235" s="26"/>
      <c r="E1235" s="26"/>
      <c r="F1235" s="26"/>
      <c r="G1235" s="26"/>
      <c r="H1235" s="26"/>
      <c r="I1235" s="26"/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</row>
    <row r="1236">
      <c r="A1236" s="26"/>
      <c r="C1236" s="26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</row>
    <row r="1237">
      <c r="A1237" s="26"/>
      <c r="C1237" s="26"/>
      <c r="D1237" s="26"/>
      <c r="E1237" s="26"/>
      <c r="F1237" s="26"/>
      <c r="G1237" s="26"/>
      <c r="H1237" s="26"/>
      <c r="I1237" s="26"/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</row>
    <row r="1238">
      <c r="A1238" s="26"/>
      <c r="C1238" s="26"/>
      <c r="D1238" s="26"/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</row>
    <row r="1239">
      <c r="A1239" s="26"/>
      <c r="C1239" s="26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</row>
    <row r="1240">
      <c r="A1240" s="26"/>
      <c r="C1240" s="26"/>
      <c r="D1240" s="26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</row>
    <row r="1241">
      <c r="A1241" s="26"/>
      <c r="C1241" s="26"/>
      <c r="D1241" s="26"/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</row>
    <row r="1242">
      <c r="A1242" s="26"/>
      <c r="C1242" s="26"/>
      <c r="D1242" s="26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</row>
    <row r="1243">
      <c r="A1243" s="26"/>
      <c r="C1243" s="26"/>
      <c r="D1243" s="26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</row>
    <row r="1244">
      <c r="A1244" s="26"/>
      <c r="C1244" s="26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</row>
    <row r="1245">
      <c r="A1245" s="26"/>
      <c r="C1245" s="26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</row>
    <row r="1246">
      <c r="A1246" s="26"/>
      <c r="C1246" s="26"/>
      <c r="D1246" s="26"/>
      <c r="E1246" s="26"/>
      <c r="F1246" s="26"/>
      <c r="G1246" s="26"/>
      <c r="H1246" s="26"/>
      <c r="I1246" s="26"/>
      <c r="J1246" s="26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</row>
    <row r="1247">
      <c r="A1247" s="26"/>
      <c r="C1247" s="26"/>
      <c r="D1247" s="26"/>
      <c r="E1247" s="26"/>
      <c r="F1247" s="26"/>
      <c r="G1247" s="26"/>
      <c r="H1247" s="26"/>
      <c r="I1247" s="26"/>
      <c r="J1247" s="26"/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/>
    </row>
    <row r="1248">
      <c r="A1248" s="26"/>
      <c r="C1248" s="26"/>
      <c r="D1248" s="26"/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/>
    </row>
    <row r="1249">
      <c r="A1249" s="26"/>
      <c r="C1249" s="26"/>
      <c r="D1249" s="26"/>
      <c r="E1249" s="26"/>
      <c r="F1249" s="26"/>
      <c r="G1249" s="26"/>
      <c r="H1249" s="26"/>
      <c r="I1249" s="26"/>
      <c r="J1249" s="26"/>
      <c r="K1249" s="26"/>
      <c r="L1249" s="26"/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/>
    </row>
    <row r="1250">
      <c r="A1250" s="26"/>
      <c r="C1250" s="26"/>
      <c r="D1250" s="26"/>
      <c r="E1250" s="26"/>
      <c r="F1250" s="26"/>
      <c r="G1250" s="26"/>
      <c r="H1250" s="26"/>
      <c r="I1250" s="26"/>
      <c r="J1250" s="26"/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</row>
    <row r="1251">
      <c r="A1251" s="26"/>
      <c r="C1251" s="26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</row>
    <row r="1252">
      <c r="A1252" s="26"/>
      <c r="C1252" s="26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</row>
    <row r="1253">
      <c r="A1253" s="26"/>
      <c r="C1253" s="26"/>
      <c r="D1253" s="26"/>
      <c r="E1253" s="26"/>
      <c r="F1253" s="26"/>
      <c r="G1253" s="26"/>
      <c r="H1253" s="26"/>
      <c r="I1253" s="26"/>
      <c r="J1253" s="26"/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/>
    </row>
    <row r="1254">
      <c r="A1254" s="26"/>
      <c r="C1254" s="26"/>
      <c r="D1254" s="26"/>
      <c r="E1254" s="26"/>
      <c r="F1254" s="26"/>
      <c r="G1254" s="26"/>
      <c r="H1254" s="26"/>
      <c r="I1254" s="26"/>
      <c r="J1254" s="26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</row>
    <row r="1255">
      <c r="A1255" s="26"/>
      <c r="C1255" s="26"/>
      <c r="D1255" s="26"/>
      <c r="E1255" s="26"/>
      <c r="F1255" s="26"/>
      <c r="G1255" s="26"/>
      <c r="H1255" s="26"/>
      <c r="I1255" s="26"/>
      <c r="J1255" s="26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</row>
    <row r="1256">
      <c r="A1256" s="26"/>
      <c r="C1256" s="26"/>
      <c r="D1256" s="26"/>
      <c r="E1256" s="26"/>
      <c r="F1256" s="26"/>
      <c r="G1256" s="26"/>
      <c r="H1256" s="26"/>
      <c r="I1256" s="26"/>
      <c r="J1256" s="26"/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</row>
    <row r="1257">
      <c r="A1257" s="26"/>
      <c r="C1257" s="26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/>
    </row>
    <row r="1258">
      <c r="A1258" s="26"/>
      <c r="C1258" s="26"/>
      <c r="D1258" s="26"/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</row>
    <row r="1259">
      <c r="A1259" s="26"/>
      <c r="C1259" s="26"/>
      <c r="D1259" s="26"/>
      <c r="E1259" s="26"/>
      <c r="F1259" s="26"/>
      <c r="G1259" s="26"/>
      <c r="H1259" s="26"/>
      <c r="I1259" s="26"/>
      <c r="J1259" s="26"/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/>
    </row>
    <row r="1260">
      <c r="A1260" s="26"/>
      <c r="C1260" s="26"/>
      <c r="D1260" s="26"/>
      <c r="E1260" s="26"/>
      <c r="F1260" s="26"/>
      <c r="G1260" s="26"/>
      <c r="H1260" s="26"/>
      <c r="I1260" s="26"/>
      <c r="J1260" s="26"/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</row>
    <row r="1261">
      <c r="A1261" s="26"/>
      <c r="C1261" s="26"/>
      <c r="D1261" s="26"/>
      <c r="E1261" s="26"/>
      <c r="F1261" s="26"/>
      <c r="G1261" s="26"/>
      <c r="H1261" s="26"/>
      <c r="I1261" s="26"/>
      <c r="J1261" s="26"/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</row>
    <row r="1262">
      <c r="A1262" s="26"/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</row>
    <row r="1263">
      <c r="A1263" s="26"/>
      <c r="C1263" s="26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</row>
    <row r="1264">
      <c r="A1264" s="26"/>
      <c r="C1264" s="26"/>
      <c r="D1264" s="26"/>
      <c r="E1264" s="26"/>
      <c r="F1264" s="26"/>
      <c r="G1264" s="26"/>
      <c r="H1264" s="26"/>
      <c r="I1264" s="26"/>
      <c r="J1264" s="26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</row>
    <row r="1265">
      <c r="A1265" s="26"/>
      <c r="C1265" s="26"/>
      <c r="D1265" s="26"/>
      <c r="E1265" s="26"/>
      <c r="F1265" s="26"/>
      <c r="G1265" s="26"/>
      <c r="H1265" s="26"/>
      <c r="I1265" s="26"/>
      <c r="J1265" s="26"/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</row>
    <row r="1266">
      <c r="A1266" s="26"/>
      <c r="C1266" s="26"/>
      <c r="D1266" s="26"/>
      <c r="E1266" s="26"/>
      <c r="F1266" s="26"/>
      <c r="G1266" s="26"/>
      <c r="H1266" s="26"/>
      <c r="I1266" s="26"/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</row>
    <row r="1267">
      <c r="A1267" s="26"/>
      <c r="C1267" s="26"/>
      <c r="D1267" s="26"/>
      <c r="E1267" s="26"/>
      <c r="F1267" s="26"/>
      <c r="G1267" s="26"/>
      <c r="H1267" s="26"/>
      <c r="I1267" s="26"/>
      <c r="J1267" s="26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</row>
    <row r="1268">
      <c r="A1268" s="26"/>
      <c r="C1268" s="26"/>
      <c r="D1268" s="26"/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</row>
    <row r="1269">
      <c r="A1269" s="26"/>
      <c r="C1269" s="26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</row>
    <row r="1270">
      <c r="A1270" s="26"/>
      <c r="C1270" s="26"/>
      <c r="D1270" s="26"/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</row>
    <row r="1271">
      <c r="A1271" s="26"/>
      <c r="C1271" s="26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</row>
    <row r="1272">
      <c r="A1272" s="26"/>
      <c r="C1272" s="26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</row>
    <row r="1273">
      <c r="A1273" s="26"/>
      <c r="C1273" s="26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</row>
    <row r="1274">
      <c r="A1274" s="26"/>
      <c r="C1274" s="26"/>
      <c r="D1274" s="26"/>
      <c r="E1274" s="26"/>
      <c r="F1274" s="26"/>
      <c r="G1274" s="26"/>
      <c r="H1274" s="26"/>
      <c r="I1274" s="26"/>
      <c r="J1274" s="26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</row>
    <row r="1275">
      <c r="A1275" s="26"/>
      <c r="C1275" s="26"/>
      <c r="D1275" s="26"/>
      <c r="E1275" s="26"/>
      <c r="F1275" s="26"/>
      <c r="G1275" s="26"/>
      <c r="H1275" s="26"/>
      <c r="I1275" s="26"/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</row>
    <row r="1276">
      <c r="A1276" s="26"/>
      <c r="C1276" s="26"/>
      <c r="D1276" s="26"/>
      <c r="E1276" s="26"/>
      <c r="F1276" s="26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</row>
    <row r="1277">
      <c r="A1277" s="26"/>
      <c r="C1277" s="26"/>
      <c r="D1277" s="26"/>
      <c r="E1277" s="26"/>
      <c r="F1277" s="26"/>
      <c r="G1277" s="26"/>
      <c r="H1277" s="26"/>
      <c r="I1277" s="26"/>
      <c r="J1277" s="26"/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/>
    </row>
    <row r="1278">
      <c r="A1278" s="26"/>
      <c r="C1278" s="26"/>
      <c r="D1278" s="26"/>
      <c r="E1278" s="26"/>
      <c r="F1278" s="26"/>
      <c r="G1278" s="26"/>
      <c r="H1278" s="26"/>
      <c r="I1278" s="26"/>
      <c r="J1278" s="26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/>
    </row>
    <row r="1279">
      <c r="A1279" s="26"/>
      <c r="C1279" s="26"/>
      <c r="D1279" s="26"/>
      <c r="E1279" s="26"/>
      <c r="F1279" s="26"/>
      <c r="G1279" s="26"/>
      <c r="H1279" s="26"/>
      <c r="I1279" s="26"/>
      <c r="J1279" s="26"/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</row>
    <row r="1280">
      <c r="A1280" s="26"/>
      <c r="C1280" s="26"/>
      <c r="D1280" s="26"/>
      <c r="E1280" s="26"/>
      <c r="F1280" s="26"/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</row>
    <row r="1281">
      <c r="A1281" s="26"/>
      <c r="C1281" s="26"/>
      <c r="D1281" s="26"/>
      <c r="E1281" s="26"/>
      <c r="F1281" s="26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</row>
    <row r="1282">
      <c r="A1282" s="26"/>
      <c r="C1282" s="26"/>
      <c r="D1282" s="26"/>
      <c r="E1282" s="26"/>
      <c r="F1282" s="26"/>
      <c r="G1282" s="26"/>
      <c r="H1282" s="26"/>
      <c r="I1282" s="26"/>
      <c r="J1282" s="26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</row>
    <row r="1283">
      <c r="A1283" s="26"/>
      <c r="C1283" s="26"/>
      <c r="D1283" s="26"/>
      <c r="E1283" s="26"/>
      <c r="F1283" s="26"/>
      <c r="G1283" s="26"/>
      <c r="H1283" s="26"/>
      <c r="I1283" s="26"/>
      <c r="J1283" s="26"/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/>
    </row>
    <row r="1284">
      <c r="A1284" s="26"/>
      <c r="C1284" s="26"/>
      <c r="D1284" s="26"/>
      <c r="E1284" s="26"/>
      <c r="F1284" s="26"/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6"/>
    </row>
    <row r="1285">
      <c r="A1285" s="26"/>
      <c r="C1285" s="26"/>
      <c r="D1285" s="26"/>
      <c r="E1285" s="26"/>
      <c r="F1285" s="26"/>
      <c r="G1285" s="26"/>
      <c r="H1285" s="26"/>
      <c r="I1285" s="26"/>
      <c r="J1285" s="26"/>
      <c r="K1285" s="26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6"/>
    </row>
    <row r="1286">
      <c r="A1286" s="26"/>
      <c r="C1286" s="26"/>
      <c r="D1286" s="26"/>
      <c r="E1286" s="26"/>
      <c r="F1286" s="26"/>
      <c r="G1286" s="26"/>
      <c r="H1286" s="26"/>
      <c r="I1286" s="26"/>
      <c r="J1286" s="26"/>
      <c r="K1286" s="26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  <c r="Z1286" s="26"/>
    </row>
    <row r="1287">
      <c r="A1287" s="26"/>
      <c r="C1287" s="26"/>
      <c r="D1287" s="26"/>
      <c r="E1287" s="26"/>
      <c r="F1287" s="26"/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/>
    </row>
    <row r="1288">
      <c r="A1288" s="26"/>
      <c r="C1288" s="26"/>
      <c r="D1288" s="26"/>
      <c r="E1288" s="26"/>
      <c r="F1288" s="26"/>
      <c r="G1288" s="26"/>
      <c r="H1288" s="26"/>
      <c r="I1288" s="26"/>
      <c r="J1288" s="26"/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</row>
    <row r="1289">
      <c r="A1289" s="26"/>
      <c r="C1289" s="26"/>
      <c r="D1289" s="26"/>
      <c r="E1289" s="26"/>
      <c r="F1289" s="26"/>
      <c r="G1289" s="26"/>
      <c r="H1289" s="26"/>
      <c r="I1289" s="26"/>
      <c r="J1289" s="26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6"/>
    </row>
    <row r="1290">
      <c r="A1290" s="26"/>
      <c r="C1290" s="26"/>
      <c r="D1290" s="26"/>
      <c r="E1290" s="26"/>
      <c r="F1290" s="26"/>
      <c r="G1290" s="26"/>
      <c r="H1290" s="26"/>
      <c r="I1290" s="26"/>
      <c r="J1290" s="26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6"/>
    </row>
    <row r="1291">
      <c r="A1291" s="26"/>
      <c r="C1291" s="26"/>
      <c r="D1291" s="26"/>
      <c r="E1291" s="26"/>
      <c r="F1291" s="26"/>
      <c r="G1291" s="26"/>
      <c r="H1291" s="26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6"/>
    </row>
    <row r="1292">
      <c r="A1292" s="26"/>
      <c r="C1292" s="26"/>
      <c r="D1292" s="26"/>
      <c r="E1292" s="26"/>
      <c r="F1292" s="26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6"/>
    </row>
    <row r="1293">
      <c r="A1293" s="26"/>
      <c r="C1293" s="26"/>
      <c r="D1293" s="26"/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/>
    </row>
    <row r="1294">
      <c r="A1294" s="26"/>
      <c r="C1294" s="26"/>
      <c r="D1294" s="26"/>
      <c r="E1294" s="26"/>
      <c r="F1294" s="26"/>
      <c r="G1294" s="26"/>
      <c r="H1294" s="26"/>
      <c r="I1294" s="26"/>
      <c r="J1294" s="26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6"/>
    </row>
    <row r="1295">
      <c r="A1295" s="26"/>
      <c r="C1295" s="26"/>
      <c r="D1295" s="26"/>
      <c r="E1295" s="26"/>
      <c r="F1295" s="26"/>
      <c r="G1295" s="26"/>
      <c r="H1295" s="26"/>
      <c r="I1295" s="26"/>
      <c r="J1295" s="26"/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</row>
    <row r="1296">
      <c r="A1296" s="26"/>
      <c r="C1296" s="26"/>
      <c r="D1296" s="26"/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</row>
    <row r="1297">
      <c r="A1297" s="26"/>
      <c r="C1297" s="26"/>
      <c r="D1297" s="26"/>
      <c r="E1297" s="26"/>
      <c r="F1297" s="26"/>
      <c r="G1297" s="26"/>
      <c r="H1297" s="26"/>
      <c r="I1297" s="26"/>
      <c r="J1297" s="26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</row>
    <row r="1298">
      <c r="A1298" s="26"/>
      <c r="C1298" s="26"/>
      <c r="D1298" s="26"/>
      <c r="E1298" s="26"/>
      <c r="F1298" s="26"/>
      <c r="G1298" s="26"/>
      <c r="H1298" s="26"/>
      <c r="I1298" s="26"/>
      <c r="J1298" s="26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</row>
    <row r="1299">
      <c r="A1299" s="26"/>
      <c r="C1299" s="26"/>
      <c r="D1299" s="26"/>
      <c r="E1299" s="26"/>
      <c r="F1299" s="26"/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</row>
  </sheetData>
  <autoFilter ref="$B$4:$L$1099"/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5.0"/>
    <col customWidth="1" min="3" max="3" width="32.75"/>
    <col customWidth="1" min="4" max="8" width="15.0"/>
    <col customWidth="1" min="9" max="9" width="9.5"/>
    <col customWidth="1" min="10" max="10" width="26.88"/>
    <col customWidth="1" min="11" max="11" width="7.75"/>
    <col customWidth="1" min="12" max="26" width="7.63"/>
  </cols>
  <sheetData>
    <row r="1">
      <c r="A1" s="26"/>
      <c r="B1" s="27" t="s">
        <v>547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21.0" customHeight="1">
      <c r="A2" s="65"/>
      <c r="B2" s="8" t="s">
        <v>526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21.0" customHeight="1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26"/>
      <c r="B4" s="48" t="s">
        <v>687</v>
      </c>
      <c r="C4" s="48" t="s">
        <v>688</v>
      </c>
      <c r="D4" s="49" t="s">
        <v>689</v>
      </c>
      <c r="E4" s="49" t="s">
        <v>690</v>
      </c>
      <c r="F4" s="48" t="s">
        <v>691</v>
      </c>
      <c r="G4" s="48" t="s">
        <v>1844</v>
      </c>
      <c r="H4" s="48" t="s">
        <v>1465</v>
      </c>
      <c r="I4" s="51" t="s">
        <v>555</v>
      </c>
      <c r="J4" s="51" t="s">
        <v>558</v>
      </c>
      <c r="K4" s="51" t="s">
        <v>1846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idden="1">
      <c r="A5" s="26"/>
      <c r="B5" s="53" t="s">
        <v>575</v>
      </c>
      <c r="C5" s="53" t="s">
        <v>1848</v>
      </c>
      <c r="D5" s="53" t="s">
        <v>730</v>
      </c>
      <c r="E5" s="53" t="s">
        <v>1849</v>
      </c>
      <c r="F5" s="53" t="s">
        <v>730</v>
      </c>
      <c r="G5" s="53" t="s">
        <v>1850</v>
      </c>
      <c r="H5" s="54">
        <v>2.2092549312E9</v>
      </c>
      <c r="I5" s="26" t="s">
        <v>5234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idden="1">
      <c r="A6" s="26"/>
      <c r="B6" s="53" t="s">
        <v>575</v>
      </c>
      <c r="C6" s="53" t="s">
        <v>1852</v>
      </c>
      <c r="D6" s="53" t="s">
        <v>2065</v>
      </c>
      <c r="E6" s="53" t="s">
        <v>5235</v>
      </c>
      <c r="F6" s="53" t="s">
        <v>2065</v>
      </c>
      <c r="G6" s="53" t="s">
        <v>1854</v>
      </c>
      <c r="H6" s="54">
        <v>0.0</v>
      </c>
      <c r="I6" s="26" t="s">
        <v>1851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idden="1">
      <c r="A7" s="26"/>
      <c r="B7" s="53" t="s">
        <v>575</v>
      </c>
      <c r="C7" s="53" t="s">
        <v>1852</v>
      </c>
      <c r="D7" s="53" t="s">
        <v>2065</v>
      </c>
      <c r="E7" s="53" t="s">
        <v>5236</v>
      </c>
      <c r="F7" s="53" t="s">
        <v>2065</v>
      </c>
      <c r="G7" s="53" t="s">
        <v>1859</v>
      </c>
      <c r="H7" s="54">
        <v>0.0</v>
      </c>
      <c r="I7" s="26" t="s">
        <v>1851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idden="1">
      <c r="A8" s="26"/>
      <c r="B8" s="53" t="s">
        <v>575</v>
      </c>
      <c r="C8" s="53" t="s">
        <v>1852</v>
      </c>
      <c r="D8" s="53" t="s">
        <v>695</v>
      </c>
      <c r="E8" s="53" t="s">
        <v>1853</v>
      </c>
      <c r="F8" s="53" t="s">
        <v>695</v>
      </c>
      <c r="G8" s="53" t="s">
        <v>1854</v>
      </c>
      <c r="H8" s="54">
        <v>7.6905840444E8</v>
      </c>
      <c r="I8" s="26" t="s">
        <v>1851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idden="1">
      <c r="A9" s="26"/>
      <c r="B9" s="53" t="s">
        <v>575</v>
      </c>
      <c r="C9" s="53" t="s">
        <v>1852</v>
      </c>
      <c r="D9" s="53" t="s">
        <v>695</v>
      </c>
      <c r="E9" s="53" t="s">
        <v>1858</v>
      </c>
      <c r="F9" s="53" t="s">
        <v>695</v>
      </c>
      <c r="G9" s="53" t="s">
        <v>1859</v>
      </c>
      <c r="H9" s="54">
        <v>2.1603515362E8</v>
      </c>
      <c r="I9" s="26" t="s">
        <v>1851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idden="1">
      <c r="A10" s="26"/>
      <c r="B10" s="53" t="s">
        <v>575</v>
      </c>
      <c r="C10" s="53" t="s">
        <v>1852</v>
      </c>
      <c r="D10" s="53" t="s">
        <v>695</v>
      </c>
      <c r="E10" s="53" t="s">
        <v>1861</v>
      </c>
      <c r="F10" s="53" t="s">
        <v>695</v>
      </c>
      <c r="G10" s="53" t="s">
        <v>1862</v>
      </c>
      <c r="H10" s="54">
        <v>3.080680896E7</v>
      </c>
      <c r="I10" s="26" t="s">
        <v>1851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idden="1">
      <c r="A11" s="26"/>
      <c r="B11" s="53" t="s">
        <v>575</v>
      </c>
      <c r="C11" s="53" t="s">
        <v>1852</v>
      </c>
      <c r="D11" s="53" t="s">
        <v>742</v>
      </c>
      <c r="E11" s="53" t="s">
        <v>1864</v>
      </c>
      <c r="F11" s="53" t="s">
        <v>742</v>
      </c>
      <c r="G11" s="53" t="s">
        <v>1854</v>
      </c>
      <c r="H11" s="54">
        <v>1.8060194293E8</v>
      </c>
      <c r="I11" s="26" t="s">
        <v>1851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idden="1">
      <c r="A12" s="26"/>
      <c r="B12" s="53" t="s">
        <v>575</v>
      </c>
      <c r="C12" s="53" t="s">
        <v>1852</v>
      </c>
      <c r="D12" s="53" t="s">
        <v>742</v>
      </c>
      <c r="E12" s="53" t="s">
        <v>1865</v>
      </c>
      <c r="F12" s="53" t="s">
        <v>742</v>
      </c>
      <c r="G12" s="53" t="s">
        <v>1859</v>
      </c>
      <c r="H12" s="54">
        <v>7.421873186E7</v>
      </c>
      <c r="I12" s="26" t="s">
        <v>1851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idden="1">
      <c r="A13" s="26"/>
      <c r="B13" s="53" t="s">
        <v>575</v>
      </c>
      <c r="C13" s="53" t="s">
        <v>1852</v>
      </c>
      <c r="D13" s="53" t="s">
        <v>744</v>
      </c>
      <c r="E13" s="53" t="s">
        <v>5237</v>
      </c>
      <c r="F13" s="53" t="s">
        <v>744</v>
      </c>
      <c r="G13" s="53" t="s">
        <v>1854</v>
      </c>
      <c r="H13" s="54">
        <v>0.0</v>
      </c>
      <c r="I13" s="26" t="s">
        <v>1851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idden="1">
      <c r="A14" s="26"/>
      <c r="B14" s="53" t="s">
        <v>575</v>
      </c>
      <c r="C14" s="53" t="s">
        <v>1852</v>
      </c>
      <c r="D14" s="53" t="s">
        <v>744</v>
      </c>
      <c r="E14" s="53" t="s">
        <v>5238</v>
      </c>
      <c r="F14" s="53" t="s">
        <v>744</v>
      </c>
      <c r="G14" s="53" t="s">
        <v>1859</v>
      </c>
      <c r="H14" s="54">
        <v>0.0</v>
      </c>
      <c r="I14" s="26" t="s">
        <v>1851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idden="1">
      <c r="A15" s="26"/>
      <c r="B15" s="53" t="s">
        <v>575</v>
      </c>
      <c r="C15" s="53" t="s">
        <v>1852</v>
      </c>
      <c r="D15" s="53" t="s">
        <v>705</v>
      </c>
      <c r="E15" s="53" t="s">
        <v>1866</v>
      </c>
      <c r="F15" s="53" t="s">
        <v>705</v>
      </c>
      <c r="G15" s="53" t="s">
        <v>1854</v>
      </c>
      <c r="H15" s="54">
        <v>8.144296615E7</v>
      </c>
      <c r="I15" s="26" t="s">
        <v>1851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idden="1">
      <c r="A16" s="26"/>
      <c r="B16" s="53" t="s">
        <v>575</v>
      </c>
      <c r="C16" s="53" t="s">
        <v>1852</v>
      </c>
      <c r="D16" s="53" t="s">
        <v>705</v>
      </c>
      <c r="E16" s="53" t="s">
        <v>1867</v>
      </c>
      <c r="F16" s="53" t="s">
        <v>705</v>
      </c>
      <c r="G16" s="53" t="s">
        <v>1859</v>
      </c>
      <c r="H16" s="54">
        <v>3.147677928E7</v>
      </c>
      <c r="I16" s="26" t="s">
        <v>1851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idden="1">
      <c r="A17" s="26"/>
      <c r="B17" s="53" t="s">
        <v>575</v>
      </c>
      <c r="C17" s="53" t="s">
        <v>1852</v>
      </c>
      <c r="D17" s="53" t="s">
        <v>749</v>
      </c>
      <c r="E17" s="53" t="s">
        <v>1868</v>
      </c>
      <c r="F17" s="53" t="s">
        <v>749</v>
      </c>
      <c r="G17" s="53" t="s">
        <v>1854</v>
      </c>
      <c r="H17" s="54">
        <v>1.1408621387E8</v>
      </c>
      <c r="I17" s="26" t="s">
        <v>1851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idden="1">
      <c r="A18" s="26"/>
      <c r="B18" s="53" t="s">
        <v>575</v>
      </c>
      <c r="C18" s="53" t="s">
        <v>1852</v>
      </c>
      <c r="D18" s="53" t="s">
        <v>749</v>
      </c>
      <c r="E18" s="53" t="s">
        <v>1869</v>
      </c>
      <c r="F18" s="53" t="s">
        <v>749</v>
      </c>
      <c r="G18" s="53" t="s">
        <v>1859</v>
      </c>
      <c r="H18" s="54">
        <v>6025349.2</v>
      </c>
      <c r="I18" s="26" t="s">
        <v>1851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idden="1">
      <c r="A19" s="26"/>
      <c r="B19" s="53" t="s">
        <v>575</v>
      </c>
      <c r="C19" s="53" t="s">
        <v>1852</v>
      </c>
      <c r="D19" s="53" t="s">
        <v>751</v>
      </c>
      <c r="E19" s="53" t="s">
        <v>1870</v>
      </c>
      <c r="F19" s="53" t="s">
        <v>751</v>
      </c>
      <c r="G19" s="53" t="s">
        <v>1854</v>
      </c>
      <c r="H19" s="54">
        <v>2.155220067E7</v>
      </c>
      <c r="I19" s="26" t="s">
        <v>1851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idden="1">
      <c r="A20" s="26"/>
      <c r="B20" s="53" t="s">
        <v>575</v>
      </c>
      <c r="C20" s="53" t="s">
        <v>1852</v>
      </c>
      <c r="D20" s="53" t="s">
        <v>751</v>
      </c>
      <c r="E20" s="53" t="s">
        <v>1871</v>
      </c>
      <c r="F20" s="53" t="s">
        <v>751</v>
      </c>
      <c r="G20" s="53" t="s">
        <v>1859</v>
      </c>
      <c r="H20" s="54">
        <v>1386148.24</v>
      </c>
      <c r="I20" s="26" t="s">
        <v>1851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idden="1">
      <c r="A21" s="26"/>
      <c r="B21" s="53" t="s">
        <v>575</v>
      </c>
      <c r="C21" s="53" t="s">
        <v>1852</v>
      </c>
      <c r="D21" s="53" t="s">
        <v>699</v>
      </c>
      <c r="E21" s="53" t="s">
        <v>1872</v>
      </c>
      <c r="F21" s="53" t="s">
        <v>699</v>
      </c>
      <c r="G21" s="53" t="s">
        <v>1854</v>
      </c>
      <c r="H21" s="54">
        <v>2.118305917E8</v>
      </c>
      <c r="I21" s="26" t="s">
        <v>1851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idden="1">
      <c r="A22" s="26"/>
      <c r="B22" s="53" t="s">
        <v>575</v>
      </c>
      <c r="C22" s="53" t="s">
        <v>1852</v>
      </c>
      <c r="D22" s="53" t="s">
        <v>699</v>
      </c>
      <c r="E22" s="53" t="s">
        <v>1873</v>
      </c>
      <c r="F22" s="53" t="s">
        <v>699</v>
      </c>
      <c r="G22" s="53" t="s">
        <v>1859</v>
      </c>
      <c r="H22" s="54">
        <v>4.100524856E7</v>
      </c>
      <c r="I22" s="26" t="s">
        <v>1851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idden="1">
      <c r="A23" s="26"/>
      <c r="B23" s="53" t="s">
        <v>575</v>
      </c>
      <c r="C23" s="53" t="s">
        <v>1852</v>
      </c>
      <c r="D23" s="53" t="s">
        <v>699</v>
      </c>
      <c r="E23" s="53" t="s">
        <v>1874</v>
      </c>
      <c r="F23" s="53" t="s">
        <v>699</v>
      </c>
      <c r="G23" s="53" t="s">
        <v>1862</v>
      </c>
      <c r="H23" s="54">
        <v>8948120.72</v>
      </c>
      <c r="I23" s="26" t="s">
        <v>1851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idden="1">
      <c r="A24" s="26"/>
      <c r="B24" s="53" t="s">
        <v>575</v>
      </c>
      <c r="C24" s="53" t="s">
        <v>1852</v>
      </c>
      <c r="D24" s="53" t="s">
        <v>757</v>
      </c>
      <c r="E24" s="53" t="s">
        <v>1875</v>
      </c>
      <c r="F24" s="53" t="s">
        <v>757</v>
      </c>
      <c r="G24" s="53" t="s">
        <v>1854</v>
      </c>
      <c r="H24" s="54">
        <v>1.02446162E8</v>
      </c>
      <c r="I24" s="26" t="s">
        <v>1851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idden="1">
      <c r="A25" s="26"/>
      <c r="B25" s="53" t="s">
        <v>575</v>
      </c>
      <c r="C25" s="53" t="s">
        <v>1852</v>
      </c>
      <c r="D25" s="53" t="s">
        <v>757</v>
      </c>
      <c r="E25" s="53" t="s">
        <v>1876</v>
      </c>
      <c r="F25" s="53" t="s">
        <v>757</v>
      </c>
      <c r="G25" s="53" t="s">
        <v>1859</v>
      </c>
      <c r="H25" s="54">
        <v>3.895838256E7</v>
      </c>
      <c r="I25" s="26" t="s">
        <v>1851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idden="1">
      <c r="A26" s="26"/>
      <c r="B26" s="53" t="s">
        <v>575</v>
      </c>
      <c r="C26" s="53" t="s">
        <v>1852</v>
      </c>
      <c r="D26" s="53" t="s">
        <v>757</v>
      </c>
      <c r="E26" s="53" t="s">
        <v>1877</v>
      </c>
      <c r="F26" s="53" t="s">
        <v>757</v>
      </c>
      <c r="G26" s="53" t="s">
        <v>1862</v>
      </c>
      <c r="H26" s="54">
        <v>3.60293243E7</v>
      </c>
      <c r="I26" s="26" t="s">
        <v>1851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idden="1">
      <c r="A27" s="26"/>
      <c r="B27" s="53" t="s">
        <v>575</v>
      </c>
      <c r="C27" s="53" t="s">
        <v>1852</v>
      </c>
      <c r="D27" s="53" t="s">
        <v>759</v>
      </c>
      <c r="E27" s="53" t="s">
        <v>1878</v>
      </c>
      <c r="F27" s="53" t="s">
        <v>759</v>
      </c>
      <c r="G27" s="53" t="s">
        <v>1854</v>
      </c>
      <c r="H27" s="54">
        <v>0.0</v>
      </c>
      <c r="I27" s="26" t="s">
        <v>1851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idden="1">
      <c r="A28" s="26"/>
      <c r="B28" s="53" t="s">
        <v>575</v>
      </c>
      <c r="C28" s="53" t="s">
        <v>1852</v>
      </c>
      <c r="D28" s="53" t="s">
        <v>759</v>
      </c>
      <c r="E28" s="53" t="s">
        <v>1878</v>
      </c>
      <c r="F28" s="53" t="s">
        <v>759</v>
      </c>
      <c r="G28" s="53" t="s">
        <v>1854</v>
      </c>
      <c r="H28" s="54">
        <v>3940743.17</v>
      </c>
      <c r="I28" s="26" t="s">
        <v>1851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idden="1">
      <c r="A29" s="26"/>
      <c r="B29" s="53" t="s">
        <v>575</v>
      </c>
      <c r="C29" s="53" t="s">
        <v>1852</v>
      </c>
      <c r="D29" s="53" t="s">
        <v>759</v>
      </c>
      <c r="E29" s="53" t="s">
        <v>5239</v>
      </c>
      <c r="F29" s="53" t="s">
        <v>759</v>
      </c>
      <c r="G29" s="53" t="s">
        <v>1859</v>
      </c>
      <c r="H29" s="54">
        <v>0.0</v>
      </c>
      <c r="I29" s="26" t="s">
        <v>1851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idden="1">
      <c r="A30" s="26"/>
      <c r="B30" s="53" t="s">
        <v>575</v>
      </c>
      <c r="C30" s="53" t="s">
        <v>1852</v>
      </c>
      <c r="D30" s="53" t="s">
        <v>761</v>
      </c>
      <c r="E30" s="53" t="s">
        <v>1879</v>
      </c>
      <c r="F30" s="53" t="s">
        <v>761</v>
      </c>
      <c r="G30" s="53" t="s">
        <v>1854</v>
      </c>
      <c r="H30" s="54">
        <v>3.5236091345E8</v>
      </c>
      <c r="I30" s="26" t="s">
        <v>1851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idden="1">
      <c r="A31" s="26"/>
      <c r="B31" s="53" t="s">
        <v>575</v>
      </c>
      <c r="C31" s="53" t="s">
        <v>1852</v>
      </c>
      <c r="D31" s="53" t="s">
        <v>761</v>
      </c>
      <c r="E31" s="53" t="s">
        <v>1880</v>
      </c>
      <c r="F31" s="53" t="s">
        <v>761</v>
      </c>
      <c r="G31" s="53" t="s">
        <v>1859</v>
      </c>
      <c r="H31" s="54">
        <v>7.83302672E7</v>
      </c>
      <c r="I31" s="26" t="s">
        <v>1851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idden="1">
      <c r="A32" s="26"/>
      <c r="B32" s="53" t="s">
        <v>575</v>
      </c>
      <c r="C32" s="53" t="s">
        <v>1852</v>
      </c>
      <c r="D32" s="53" t="s">
        <v>761</v>
      </c>
      <c r="E32" s="53" t="s">
        <v>1881</v>
      </c>
      <c r="F32" s="53" t="s">
        <v>761</v>
      </c>
      <c r="G32" s="53" t="s">
        <v>1862</v>
      </c>
      <c r="H32" s="54">
        <v>1.0706232033E8</v>
      </c>
      <c r="I32" s="26" t="s">
        <v>1851</v>
      </c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idden="1">
      <c r="A33" s="26"/>
      <c r="B33" s="53" t="s">
        <v>575</v>
      </c>
      <c r="C33" s="53" t="s">
        <v>1852</v>
      </c>
      <c r="D33" s="53" t="s">
        <v>763</v>
      </c>
      <c r="E33" s="53" t="s">
        <v>1882</v>
      </c>
      <c r="F33" s="53" t="s">
        <v>763</v>
      </c>
      <c r="G33" s="53" t="s">
        <v>1854</v>
      </c>
      <c r="H33" s="54">
        <v>9.1295551532E8</v>
      </c>
      <c r="I33" s="26" t="s">
        <v>1851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idden="1">
      <c r="A34" s="26"/>
      <c r="B34" s="53" t="s">
        <v>575</v>
      </c>
      <c r="C34" s="53" t="s">
        <v>1852</v>
      </c>
      <c r="D34" s="53" t="s">
        <v>763</v>
      </c>
      <c r="E34" s="53" t="s">
        <v>1883</v>
      </c>
      <c r="F34" s="53" t="s">
        <v>763</v>
      </c>
      <c r="G34" s="53" t="s">
        <v>1859</v>
      </c>
      <c r="H34" s="54">
        <v>6.3714724797E8</v>
      </c>
      <c r="I34" s="26" t="s">
        <v>1851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idden="1">
      <c r="A35" s="26"/>
      <c r="B35" s="53" t="s">
        <v>575</v>
      </c>
      <c r="C35" s="53" t="s">
        <v>1852</v>
      </c>
      <c r="D35" s="53" t="s">
        <v>763</v>
      </c>
      <c r="E35" s="53" t="s">
        <v>1884</v>
      </c>
      <c r="F35" s="53" t="s">
        <v>763</v>
      </c>
      <c r="G35" s="53" t="s">
        <v>1862</v>
      </c>
      <c r="H35" s="54">
        <v>4.7790788897E8</v>
      </c>
      <c r="I35" s="26" t="s">
        <v>1851</v>
      </c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idden="1">
      <c r="A36" s="26"/>
      <c r="B36" s="53" t="s">
        <v>575</v>
      </c>
      <c r="C36" s="53" t="s">
        <v>1852</v>
      </c>
      <c r="D36" s="53" t="s">
        <v>763</v>
      </c>
      <c r="E36" s="53" t="s">
        <v>1885</v>
      </c>
      <c r="F36" s="53" t="s">
        <v>763</v>
      </c>
      <c r="G36" s="53" t="s">
        <v>1886</v>
      </c>
      <c r="H36" s="54">
        <v>2.264514888E7</v>
      </c>
      <c r="I36" s="26" t="s">
        <v>1851</v>
      </c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idden="1">
      <c r="A37" s="26"/>
      <c r="B37" s="53" t="s">
        <v>575</v>
      </c>
      <c r="C37" s="53" t="s">
        <v>1852</v>
      </c>
      <c r="D37" s="53" t="s">
        <v>765</v>
      </c>
      <c r="E37" s="53" t="s">
        <v>1888</v>
      </c>
      <c r="F37" s="53" t="s">
        <v>765</v>
      </c>
      <c r="G37" s="53" t="s">
        <v>1854</v>
      </c>
      <c r="H37" s="54">
        <v>9.190728684E7</v>
      </c>
      <c r="I37" s="26" t="s">
        <v>1851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idden="1">
      <c r="A38" s="26"/>
      <c r="B38" s="53" t="s">
        <v>575</v>
      </c>
      <c r="C38" s="53" t="s">
        <v>1852</v>
      </c>
      <c r="D38" s="53" t="s">
        <v>765</v>
      </c>
      <c r="E38" s="53" t="s">
        <v>1889</v>
      </c>
      <c r="F38" s="53" t="s">
        <v>765</v>
      </c>
      <c r="G38" s="53" t="s">
        <v>1859</v>
      </c>
      <c r="H38" s="54">
        <v>1.50661296E7</v>
      </c>
      <c r="I38" s="26" t="s">
        <v>1851</v>
      </c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idden="1">
      <c r="A39" s="26"/>
      <c r="B39" s="53" t="s">
        <v>575</v>
      </c>
      <c r="C39" s="53" t="s">
        <v>1852</v>
      </c>
      <c r="D39" s="53" t="s">
        <v>765</v>
      </c>
      <c r="E39" s="53" t="s">
        <v>1890</v>
      </c>
      <c r="F39" s="53" t="s">
        <v>765</v>
      </c>
      <c r="G39" s="53" t="s">
        <v>1862</v>
      </c>
      <c r="H39" s="54">
        <v>6989165.34</v>
      </c>
      <c r="I39" s="26" t="s">
        <v>1851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idden="1">
      <c r="A40" s="26"/>
      <c r="B40" s="53" t="s">
        <v>575</v>
      </c>
      <c r="C40" s="53" t="s">
        <v>1852</v>
      </c>
      <c r="D40" s="53" t="s">
        <v>768</v>
      </c>
      <c r="E40" s="53" t="s">
        <v>1891</v>
      </c>
      <c r="F40" s="53" t="s">
        <v>768</v>
      </c>
      <c r="G40" s="53" t="s">
        <v>1854</v>
      </c>
      <c r="H40" s="54">
        <v>1.7776341128E8</v>
      </c>
      <c r="I40" s="26" t="s">
        <v>1851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idden="1">
      <c r="A41" s="26"/>
      <c r="B41" s="53" t="s">
        <v>575</v>
      </c>
      <c r="C41" s="53" t="s">
        <v>1852</v>
      </c>
      <c r="D41" s="53" t="s">
        <v>768</v>
      </c>
      <c r="E41" s="53" t="s">
        <v>1892</v>
      </c>
      <c r="F41" s="53" t="s">
        <v>768</v>
      </c>
      <c r="G41" s="53" t="s">
        <v>1859</v>
      </c>
      <c r="H41" s="54">
        <v>2.736721856E7</v>
      </c>
      <c r="I41" s="26" t="s">
        <v>1851</v>
      </c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idden="1">
      <c r="A42" s="26"/>
      <c r="B42" s="53" t="s">
        <v>575</v>
      </c>
      <c r="C42" s="53" t="s">
        <v>1852</v>
      </c>
      <c r="D42" s="53" t="s">
        <v>768</v>
      </c>
      <c r="E42" s="53" t="s">
        <v>5240</v>
      </c>
      <c r="F42" s="53" t="s">
        <v>768</v>
      </c>
      <c r="G42" s="53" t="s">
        <v>1862</v>
      </c>
      <c r="H42" s="54">
        <v>0.0</v>
      </c>
      <c r="I42" s="26" t="s">
        <v>1851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idden="1">
      <c r="A43" s="26"/>
      <c r="B43" s="53" t="s">
        <v>575</v>
      </c>
      <c r="C43" s="53" t="s">
        <v>1852</v>
      </c>
      <c r="D43" s="53" t="s">
        <v>768</v>
      </c>
      <c r="E43" s="53" t="s">
        <v>1893</v>
      </c>
      <c r="F43" s="53" t="s">
        <v>768</v>
      </c>
      <c r="G43" s="53" t="s">
        <v>1886</v>
      </c>
      <c r="H43" s="54">
        <v>3.631515342E7</v>
      </c>
      <c r="I43" s="26" t="s">
        <v>1851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idden="1">
      <c r="A44" s="26"/>
      <c r="B44" s="53" t="s">
        <v>575</v>
      </c>
      <c r="C44" s="53" t="s">
        <v>1852</v>
      </c>
      <c r="D44" s="53" t="s">
        <v>770</v>
      </c>
      <c r="E44" s="53" t="s">
        <v>1894</v>
      </c>
      <c r="F44" s="53" t="s">
        <v>770</v>
      </c>
      <c r="G44" s="53" t="s">
        <v>1854</v>
      </c>
      <c r="H44" s="54">
        <v>9.042649434E7</v>
      </c>
      <c r="I44" s="26" t="s">
        <v>1851</v>
      </c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idden="1">
      <c r="A45" s="26"/>
      <c r="B45" s="53" t="s">
        <v>575</v>
      </c>
      <c r="C45" s="53" t="s">
        <v>1852</v>
      </c>
      <c r="D45" s="53" t="s">
        <v>770</v>
      </c>
      <c r="E45" s="53" t="s">
        <v>1895</v>
      </c>
      <c r="F45" s="53" t="s">
        <v>770</v>
      </c>
      <c r="G45" s="53" t="s">
        <v>1859</v>
      </c>
      <c r="H45" s="54">
        <v>1.2104244E7</v>
      </c>
      <c r="I45" s="26" t="s">
        <v>1851</v>
      </c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idden="1">
      <c r="A46" s="26"/>
      <c r="B46" s="53" t="s">
        <v>575</v>
      </c>
      <c r="C46" s="53" t="s">
        <v>1852</v>
      </c>
      <c r="D46" s="53" t="s">
        <v>772</v>
      </c>
      <c r="E46" s="53" t="s">
        <v>1896</v>
      </c>
      <c r="F46" s="53" t="s">
        <v>772</v>
      </c>
      <c r="G46" s="53" t="s">
        <v>1854</v>
      </c>
      <c r="H46" s="54">
        <v>3.70533345E7</v>
      </c>
      <c r="I46" s="26" t="s">
        <v>1851</v>
      </c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idden="1">
      <c r="A47" s="26"/>
      <c r="B47" s="53" t="s">
        <v>575</v>
      </c>
      <c r="C47" s="53" t="s">
        <v>1852</v>
      </c>
      <c r="D47" s="53" t="s">
        <v>772</v>
      </c>
      <c r="E47" s="53" t="s">
        <v>1897</v>
      </c>
      <c r="F47" s="53" t="s">
        <v>772</v>
      </c>
      <c r="G47" s="53" t="s">
        <v>1859</v>
      </c>
      <c r="H47" s="54">
        <v>1311384.0</v>
      </c>
      <c r="I47" s="26" t="s">
        <v>1851</v>
      </c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idden="1">
      <c r="A48" s="26"/>
      <c r="B48" s="53" t="s">
        <v>575</v>
      </c>
      <c r="C48" s="53" t="s">
        <v>1852</v>
      </c>
      <c r="D48" s="53" t="s">
        <v>726</v>
      </c>
      <c r="E48" s="53" t="s">
        <v>1898</v>
      </c>
      <c r="F48" s="53" t="s">
        <v>726</v>
      </c>
      <c r="G48" s="53" t="s">
        <v>1854</v>
      </c>
      <c r="H48" s="54">
        <v>4.959004869E7</v>
      </c>
      <c r="I48" s="26" t="s">
        <v>1851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idden="1">
      <c r="A49" s="26"/>
      <c r="B49" s="53" t="s">
        <v>575</v>
      </c>
      <c r="C49" s="53" t="s">
        <v>1852</v>
      </c>
      <c r="D49" s="53" t="s">
        <v>726</v>
      </c>
      <c r="E49" s="53" t="s">
        <v>1899</v>
      </c>
      <c r="F49" s="53" t="s">
        <v>726</v>
      </c>
      <c r="G49" s="53" t="s">
        <v>1859</v>
      </c>
      <c r="H49" s="54">
        <v>4.134943232E7</v>
      </c>
      <c r="I49" s="26" t="s">
        <v>1851</v>
      </c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idden="1">
      <c r="A50" s="26"/>
      <c r="B50" s="53" t="s">
        <v>575</v>
      </c>
      <c r="C50" s="53" t="s">
        <v>1852</v>
      </c>
      <c r="D50" s="53" t="s">
        <v>774</v>
      </c>
      <c r="E50" s="53" t="s">
        <v>1900</v>
      </c>
      <c r="F50" s="53" t="s">
        <v>929</v>
      </c>
      <c r="G50" s="53" t="s">
        <v>1854</v>
      </c>
      <c r="H50" s="54">
        <v>1.8031061385E8</v>
      </c>
      <c r="I50" s="26" t="s">
        <v>1851</v>
      </c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idden="1">
      <c r="A51" s="26"/>
      <c r="B51" s="53" t="s">
        <v>575</v>
      </c>
      <c r="C51" s="53" t="s">
        <v>1852</v>
      </c>
      <c r="D51" s="53" t="s">
        <v>774</v>
      </c>
      <c r="E51" s="53" t="s">
        <v>1901</v>
      </c>
      <c r="F51" s="53" t="s">
        <v>929</v>
      </c>
      <c r="G51" s="53" t="s">
        <v>1859</v>
      </c>
      <c r="H51" s="54">
        <v>4.965141974E7</v>
      </c>
      <c r="I51" s="26" t="s">
        <v>1851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idden="1">
      <c r="A52" s="26"/>
      <c r="B52" s="53" t="s">
        <v>575</v>
      </c>
      <c r="C52" s="53" t="s">
        <v>1852</v>
      </c>
      <c r="D52" s="53" t="s">
        <v>774</v>
      </c>
      <c r="E52" s="53" t="s">
        <v>1902</v>
      </c>
      <c r="F52" s="53" t="s">
        <v>929</v>
      </c>
      <c r="G52" s="53" t="s">
        <v>1862</v>
      </c>
      <c r="H52" s="54">
        <v>9259683.48</v>
      </c>
      <c r="I52" s="26" t="s">
        <v>1851</v>
      </c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idden="1">
      <c r="A53" s="26"/>
      <c r="B53" s="53" t="s">
        <v>575</v>
      </c>
      <c r="C53" s="53" t="s">
        <v>1852</v>
      </c>
      <c r="D53" s="53" t="s">
        <v>776</v>
      </c>
      <c r="E53" s="53" t="s">
        <v>1903</v>
      </c>
      <c r="F53" s="53" t="s">
        <v>776</v>
      </c>
      <c r="G53" s="53" t="s">
        <v>1854</v>
      </c>
      <c r="H53" s="54">
        <v>6.4624705737E8</v>
      </c>
      <c r="I53" s="26" t="s">
        <v>1851</v>
      </c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idden="1">
      <c r="A54" s="26"/>
      <c r="B54" s="53" t="s">
        <v>575</v>
      </c>
      <c r="C54" s="53" t="s">
        <v>1852</v>
      </c>
      <c r="D54" s="53" t="s">
        <v>776</v>
      </c>
      <c r="E54" s="53" t="s">
        <v>1904</v>
      </c>
      <c r="F54" s="53" t="s">
        <v>776</v>
      </c>
      <c r="G54" s="53" t="s">
        <v>1859</v>
      </c>
      <c r="H54" s="54">
        <v>1.7893298202E8</v>
      </c>
      <c r="I54" s="26" t="s">
        <v>1851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idden="1">
      <c r="A55" s="26"/>
      <c r="B55" s="53" t="s">
        <v>575</v>
      </c>
      <c r="C55" s="53" t="s">
        <v>1852</v>
      </c>
      <c r="D55" s="53" t="s">
        <v>776</v>
      </c>
      <c r="E55" s="53" t="s">
        <v>1905</v>
      </c>
      <c r="F55" s="53" t="s">
        <v>776</v>
      </c>
      <c r="G55" s="53" t="s">
        <v>1862</v>
      </c>
      <c r="H55" s="54">
        <v>1.1516274489E8</v>
      </c>
      <c r="I55" s="26" t="s">
        <v>1851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idden="1">
      <c r="A56" s="26"/>
      <c r="B56" s="53" t="s">
        <v>575</v>
      </c>
      <c r="C56" s="53" t="s">
        <v>1852</v>
      </c>
      <c r="D56" s="53" t="s">
        <v>776</v>
      </c>
      <c r="E56" s="53" t="s">
        <v>1906</v>
      </c>
      <c r="F56" s="53" t="s">
        <v>776</v>
      </c>
      <c r="G56" s="53" t="s">
        <v>1886</v>
      </c>
      <c r="H56" s="54">
        <v>1.0924306029E8</v>
      </c>
      <c r="I56" s="26" t="s">
        <v>1851</v>
      </c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idden="1">
      <c r="A57" s="26"/>
      <c r="B57" s="53" t="s">
        <v>575</v>
      </c>
      <c r="C57" s="53" t="s">
        <v>1852</v>
      </c>
      <c r="D57" s="53" t="s">
        <v>720</v>
      </c>
      <c r="E57" s="53" t="s">
        <v>1907</v>
      </c>
      <c r="F57" s="53" t="s">
        <v>720</v>
      </c>
      <c r="G57" s="53" t="s">
        <v>1854</v>
      </c>
      <c r="H57" s="54">
        <v>2.7066146562E8</v>
      </c>
      <c r="I57" s="26" t="s">
        <v>1851</v>
      </c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idden="1">
      <c r="A58" s="26"/>
      <c r="B58" s="53" t="s">
        <v>575</v>
      </c>
      <c r="C58" s="53" t="s">
        <v>1852</v>
      </c>
      <c r="D58" s="53" t="s">
        <v>720</v>
      </c>
      <c r="E58" s="53" t="s">
        <v>1908</v>
      </c>
      <c r="F58" s="53" t="s">
        <v>720</v>
      </c>
      <c r="G58" s="53" t="s">
        <v>1859</v>
      </c>
      <c r="H58" s="54">
        <v>6.895328176E7</v>
      </c>
      <c r="I58" s="26" t="s">
        <v>1851</v>
      </c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idden="1">
      <c r="A59" s="26"/>
      <c r="B59" s="53" t="s">
        <v>575</v>
      </c>
      <c r="C59" s="53" t="s">
        <v>1852</v>
      </c>
      <c r="D59" s="53" t="s">
        <v>720</v>
      </c>
      <c r="E59" s="53" t="s">
        <v>1909</v>
      </c>
      <c r="F59" s="53" t="s">
        <v>720</v>
      </c>
      <c r="G59" s="53" t="s">
        <v>1862</v>
      </c>
      <c r="H59" s="54">
        <v>2.458874605E7</v>
      </c>
      <c r="I59" s="26" t="s">
        <v>1851</v>
      </c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idden="1">
      <c r="A60" s="26"/>
      <c r="B60" s="53" t="s">
        <v>575</v>
      </c>
      <c r="C60" s="53" t="s">
        <v>1852</v>
      </c>
      <c r="D60" s="53" t="s">
        <v>779</v>
      </c>
      <c r="E60" s="53" t="s">
        <v>1910</v>
      </c>
      <c r="F60" s="53" t="s">
        <v>779</v>
      </c>
      <c r="G60" s="53" t="s">
        <v>1854</v>
      </c>
      <c r="H60" s="54">
        <v>6.392272705E7</v>
      </c>
      <c r="I60" s="26" t="s">
        <v>1851</v>
      </c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idden="1">
      <c r="A61" s="26"/>
      <c r="B61" s="53" t="s">
        <v>575</v>
      </c>
      <c r="C61" s="53" t="s">
        <v>1852</v>
      </c>
      <c r="D61" s="53" t="s">
        <v>779</v>
      </c>
      <c r="E61" s="53" t="s">
        <v>1911</v>
      </c>
      <c r="F61" s="53" t="s">
        <v>779</v>
      </c>
      <c r="G61" s="53" t="s">
        <v>1859</v>
      </c>
      <c r="H61" s="54">
        <v>2.77375896E7</v>
      </c>
      <c r="I61" s="26" t="s">
        <v>1851</v>
      </c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idden="1">
      <c r="A62" s="26"/>
      <c r="B62" s="53" t="s">
        <v>575</v>
      </c>
      <c r="C62" s="53" t="s">
        <v>1852</v>
      </c>
      <c r="D62" s="53" t="s">
        <v>779</v>
      </c>
      <c r="E62" s="53" t="s">
        <v>1912</v>
      </c>
      <c r="F62" s="53" t="s">
        <v>779</v>
      </c>
      <c r="G62" s="53" t="s">
        <v>1862</v>
      </c>
      <c r="H62" s="54">
        <v>2767597.74</v>
      </c>
      <c r="I62" s="26" t="s">
        <v>1851</v>
      </c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idden="1">
      <c r="A63" s="26"/>
      <c r="B63" s="53" t="s">
        <v>575</v>
      </c>
      <c r="C63" s="53" t="s">
        <v>1852</v>
      </c>
      <c r="D63" s="53" t="s">
        <v>783</v>
      </c>
      <c r="E63" s="53" t="s">
        <v>1913</v>
      </c>
      <c r="F63" s="53" t="s">
        <v>783</v>
      </c>
      <c r="G63" s="53" t="s">
        <v>1854</v>
      </c>
      <c r="H63" s="54">
        <v>4.676666722E7</v>
      </c>
      <c r="I63" s="26" t="s">
        <v>1851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idden="1">
      <c r="A64" s="26"/>
      <c r="B64" s="53" t="s">
        <v>575</v>
      </c>
      <c r="C64" s="53" t="s">
        <v>1852</v>
      </c>
      <c r="D64" s="53" t="s">
        <v>783</v>
      </c>
      <c r="E64" s="53" t="s">
        <v>1914</v>
      </c>
      <c r="F64" s="53" t="s">
        <v>783</v>
      </c>
      <c r="G64" s="53" t="s">
        <v>1859</v>
      </c>
      <c r="H64" s="54">
        <v>1.083302568E7</v>
      </c>
      <c r="I64" s="26" t="s">
        <v>1851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idden="1">
      <c r="A65" s="26"/>
      <c r="B65" s="53" t="s">
        <v>575</v>
      </c>
      <c r="C65" s="53" t="s">
        <v>1852</v>
      </c>
      <c r="D65" s="53" t="s">
        <v>783</v>
      </c>
      <c r="E65" s="53" t="s">
        <v>1915</v>
      </c>
      <c r="F65" s="53" t="s">
        <v>783</v>
      </c>
      <c r="G65" s="53" t="s">
        <v>1862</v>
      </c>
      <c r="H65" s="54">
        <v>4200515.1</v>
      </c>
      <c r="I65" s="26" t="s">
        <v>1851</v>
      </c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idden="1">
      <c r="A66" s="26"/>
      <c r="B66" s="53" t="s">
        <v>575</v>
      </c>
      <c r="C66" s="53" t="s">
        <v>1852</v>
      </c>
      <c r="D66" s="53" t="s">
        <v>708</v>
      </c>
      <c r="E66" s="53" t="s">
        <v>1916</v>
      </c>
      <c r="F66" s="53" t="s">
        <v>708</v>
      </c>
      <c r="G66" s="53" t="s">
        <v>1854</v>
      </c>
      <c r="H66" s="54">
        <v>1.8231703763E8</v>
      </c>
      <c r="I66" s="26" t="s">
        <v>1851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idden="1">
      <c r="A67" s="26"/>
      <c r="B67" s="53" t="s">
        <v>575</v>
      </c>
      <c r="C67" s="53" t="s">
        <v>1852</v>
      </c>
      <c r="D67" s="53" t="s">
        <v>708</v>
      </c>
      <c r="E67" s="53" t="s">
        <v>1917</v>
      </c>
      <c r="F67" s="53" t="s">
        <v>708</v>
      </c>
      <c r="G67" s="53" t="s">
        <v>1859</v>
      </c>
      <c r="H67" s="54">
        <v>4.123918072E7</v>
      </c>
      <c r="I67" s="26" t="s">
        <v>1851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idden="1">
      <c r="A68" s="26"/>
      <c r="B68" s="53" t="s">
        <v>575</v>
      </c>
      <c r="C68" s="53" t="s">
        <v>1852</v>
      </c>
      <c r="D68" s="53" t="s">
        <v>708</v>
      </c>
      <c r="E68" s="53" t="s">
        <v>1918</v>
      </c>
      <c r="F68" s="53" t="s">
        <v>708</v>
      </c>
      <c r="G68" s="53" t="s">
        <v>1862</v>
      </c>
      <c r="H68" s="54">
        <v>1.496032755E7</v>
      </c>
      <c r="I68" s="26" t="s">
        <v>1851</v>
      </c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idden="1">
      <c r="A69" s="26"/>
      <c r="B69" s="53" t="s">
        <v>575</v>
      </c>
      <c r="C69" s="53" t="s">
        <v>1852</v>
      </c>
      <c r="D69" s="53" t="s">
        <v>788</v>
      </c>
      <c r="E69" s="53" t="s">
        <v>1919</v>
      </c>
      <c r="F69" s="53" t="s">
        <v>788</v>
      </c>
      <c r="G69" s="53" t="s">
        <v>1854</v>
      </c>
      <c r="H69" s="54">
        <v>7.9962575663E8</v>
      </c>
      <c r="I69" s="26" t="s">
        <v>1851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idden="1">
      <c r="A70" s="26"/>
      <c r="B70" s="53" t="s">
        <v>575</v>
      </c>
      <c r="C70" s="53" t="s">
        <v>1852</v>
      </c>
      <c r="D70" s="53" t="s">
        <v>788</v>
      </c>
      <c r="E70" s="53" t="s">
        <v>1920</v>
      </c>
      <c r="F70" s="53" t="s">
        <v>788</v>
      </c>
      <c r="G70" s="53" t="s">
        <v>1859</v>
      </c>
      <c r="H70" s="54">
        <v>2.9422865498E8</v>
      </c>
      <c r="I70" s="26" t="s">
        <v>1851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idden="1">
      <c r="A71" s="26"/>
      <c r="B71" s="53" t="s">
        <v>575</v>
      </c>
      <c r="C71" s="53" t="s">
        <v>1852</v>
      </c>
      <c r="D71" s="53" t="s">
        <v>788</v>
      </c>
      <c r="E71" s="53" t="s">
        <v>1921</v>
      </c>
      <c r="F71" s="53" t="s">
        <v>788</v>
      </c>
      <c r="G71" s="53" t="s">
        <v>1862</v>
      </c>
      <c r="H71" s="54">
        <v>1.1140921647E8</v>
      </c>
      <c r="I71" s="26" t="s">
        <v>1851</v>
      </c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idden="1">
      <c r="A72" s="26"/>
      <c r="B72" s="53" t="s">
        <v>575</v>
      </c>
      <c r="C72" s="53" t="s">
        <v>1852</v>
      </c>
      <c r="D72" s="53" t="s">
        <v>788</v>
      </c>
      <c r="E72" s="53" t="s">
        <v>1922</v>
      </c>
      <c r="F72" s="53" t="s">
        <v>788</v>
      </c>
      <c r="G72" s="53" t="s">
        <v>1886</v>
      </c>
      <c r="H72" s="54">
        <v>2.281999133E7</v>
      </c>
      <c r="I72" s="26" t="s">
        <v>1851</v>
      </c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idden="1">
      <c r="A73" s="26"/>
      <c r="B73" s="53" t="s">
        <v>575</v>
      </c>
      <c r="C73" s="53" t="s">
        <v>1852</v>
      </c>
      <c r="D73" s="53" t="s">
        <v>790</v>
      </c>
      <c r="E73" s="53" t="s">
        <v>1923</v>
      </c>
      <c r="F73" s="53" t="s">
        <v>790</v>
      </c>
      <c r="G73" s="53" t="s">
        <v>1854</v>
      </c>
      <c r="H73" s="54">
        <v>3.456270909E7</v>
      </c>
      <c r="I73" s="26" t="s">
        <v>1851</v>
      </c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idden="1">
      <c r="A74" s="26"/>
      <c r="B74" s="53" t="s">
        <v>575</v>
      </c>
      <c r="C74" s="53" t="s">
        <v>1852</v>
      </c>
      <c r="D74" s="53" t="s">
        <v>790</v>
      </c>
      <c r="E74" s="53" t="s">
        <v>1924</v>
      </c>
      <c r="F74" s="53" t="s">
        <v>790</v>
      </c>
      <c r="G74" s="53" t="s">
        <v>1859</v>
      </c>
      <c r="H74" s="54">
        <v>6925060.96</v>
      </c>
      <c r="I74" s="26" t="s">
        <v>1851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idden="1">
      <c r="A75" s="26"/>
      <c r="B75" s="53" t="s">
        <v>575</v>
      </c>
      <c r="C75" s="53" t="s">
        <v>1852</v>
      </c>
      <c r="D75" s="53" t="s">
        <v>790</v>
      </c>
      <c r="E75" s="53" t="s">
        <v>5241</v>
      </c>
      <c r="F75" s="53" t="s">
        <v>790</v>
      </c>
      <c r="G75" s="53" t="s">
        <v>1862</v>
      </c>
      <c r="H75" s="54">
        <v>0.0</v>
      </c>
      <c r="I75" s="26" t="s">
        <v>1851</v>
      </c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idden="1">
      <c r="A76" s="26"/>
      <c r="B76" s="53" t="s">
        <v>575</v>
      </c>
      <c r="C76" s="53" t="s">
        <v>1852</v>
      </c>
      <c r="D76" s="53" t="s">
        <v>792</v>
      </c>
      <c r="E76" s="53" t="s">
        <v>1925</v>
      </c>
      <c r="F76" s="53" t="s">
        <v>792</v>
      </c>
      <c r="G76" s="53" t="s">
        <v>1854</v>
      </c>
      <c r="H76" s="54">
        <v>5.376374276E7</v>
      </c>
      <c r="I76" s="26" t="s">
        <v>1851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idden="1">
      <c r="A77" s="26"/>
      <c r="B77" s="53" t="s">
        <v>575</v>
      </c>
      <c r="C77" s="53" t="s">
        <v>1852</v>
      </c>
      <c r="D77" s="53" t="s">
        <v>792</v>
      </c>
      <c r="E77" s="53" t="s">
        <v>1926</v>
      </c>
      <c r="F77" s="53" t="s">
        <v>792</v>
      </c>
      <c r="G77" s="53" t="s">
        <v>1859</v>
      </c>
      <c r="H77" s="54">
        <v>1.837919624E7</v>
      </c>
      <c r="I77" s="26" t="s">
        <v>1851</v>
      </c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idden="1">
      <c r="A78" s="26"/>
      <c r="B78" s="53" t="s">
        <v>575</v>
      </c>
      <c r="C78" s="53" t="s">
        <v>1852</v>
      </c>
      <c r="D78" s="53" t="s">
        <v>792</v>
      </c>
      <c r="E78" s="53" t="s">
        <v>5242</v>
      </c>
      <c r="F78" s="53" t="s">
        <v>792</v>
      </c>
      <c r="G78" s="53" t="s">
        <v>1862</v>
      </c>
      <c r="H78" s="54">
        <v>0.0</v>
      </c>
      <c r="I78" s="26" t="s">
        <v>1851</v>
      </c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idden="1">
      <c r="A79" s="26"/>
      <c r="B79" s="53" t="s">
        <v>575</v>
      </c>
      <c r="C79" s="53" t="s">
        <v>1852</v>
      </c>
      <c r="D79" s="53" t="s">
        <v>1927</v>
      </c>
      <c r="E79" s="53" t="s">
        <v>1928</v>
      </c>
      <c r="F79" s="53" t="s">
        <v>1927</v>
      </c>
      <c r="G79" s="53" t="s">
        <v>1854</v>
      </c>
      <c r="H79" s="54">
        <v>2.262067899E7</v>
      </c>
      <c r="I79" s="26" t="s">
        <v>1851</v>
      </c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idden="1">
      <c r="A80" s="26"/>
      <c r="B80" s="53" t="s">
        <v>575</v>
      </c>
      <c r="C80" s="53" t="s">
        <v>1852</v>
      </c>
      <c r="D80" s="53" t="s">
        <v>1927</v>
      </c>
      <c r="E80" s="53" t="s">
        <v>1929</v>
      </c>
      <c r="F80" s="53" t="s">
        <v>1927</v>
      </c>
      <c r="G80" s="53" t="s">
        <v>1859</v>
      </c>
      <c r="H80" s="54">
        <v>3926799.2</v>
      </c>
      <c r="I80" s="26" t="s">
        <v>1851</v>
      </c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idden="1">
      <c r="A81" s="26"/>
      <c r="B81" s="53" t="s">
        <v>575</v>
      </c>
      <c r="C81" s="53" t="s">
        <v>1852</v>
      </c>
      <c r="D81" s="53" t="s">
        <v>1639</v>
      </c>
      <c r="E81" s="53" t="s">
        <v>1930</v>
      </c>
      <c r="F81" s="53" t="s">
        <v>876</v>
      </c>
      <c r="G81" s="53" t="s">
        <v>1854</v>
      </c>
      <c r="H81" s="54">
        <v>2.18050320216E9</v>
      </c>
      <c r="I81" s="26" t="s">
        <v>1851</v>
      </c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idden="1">
      <c r="A82" s="26"/>
      <c r="B82" s="53" t="s">
        <v>575</v>
      </c>
      <c r="C82" s="53" t="s">
        <v>1852</v>
      </c>
      <c r="D82" s="53" t="s">
        <v>1639</v>
      </c>
      <c r="E82" s="53" t="s">
        <v>1931</v>
      </c>
      <c r="F82" s="53" t="s">
        <v>876</v>
      </c>
      <c r="G82" s="53" t="s">
        <v>1859</v>
      </c>
      <c r="H82" s="54">
        <v>1.30008222524E9</v>
      </c>
      <c r="I82" s="26" t="s">
        <v>1851</v>
      </c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idden="1">
      <c r="A83" s="26"/>
      <c r="B83" s="53" t="s">
        <v>575</v>
      </c>
      <c r="C83" s="53" t="s">
        <v>1852</v>
      </c>
      <c r="D83" s="53" t="s">
        <v>1639</v>
      </c>
      <c r="E83" s="53" t="s">
        <v>1932</v>
      </c>
      <c r="F83" s="53" t="s">
        <v>876</v>
      </c>
      <c r="G83" s="53" t="s">
        <v>1862</v>
      </c>
      <c r="H83" s="54">
        <v>1.04016973401E9</v>
      </c>
      <c r="I83" s="26" t="s">
        <v>1851</v>
      </c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idden="1">
      <c r="A84" s="26"/>
      <c r="B84" s="53" t="s">
        <v>575</v>
      </c>
      <c r="C84" s="53" t="s">
        <v>1852</v>
      </c>
      <c r="D84" s="53" t="s">
        <v>794</v>
      </c>
      <c r="E84" s="53" t="s">
        <v>5243</v>
      </c>
      <c r="F84" s="53" t="s">
        <v>794</v>
      </c>
      <c r="G84" s="53" t="s">
        <v>1854</v>
      </c>
      <c r="H84" s="54">
        <v>0.0</v>
      </c>
      <c r="I84" s="26" t="s">
        <v>1851</v>
      </c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idden="1">
      <c r="A85" s="26"/>
      <c r="B85" s="53" t="s">
        <v>575</v>
      </c>
      <c r="C85" s="53" t="s">
        <v>1852</v>
      </c>
      <c r="D85" s="53" t="s">
        <v>794</v>
      </c>
      <c r="E85" s="53" t="s">
        <v>5244</v>
      </c>
      <c r="F85" s="53" t="s">
        <v>794</v>
      </c>
      <c r="G85" s="53" t="s">
        <v>1859</v>
      </c>
      <c r="H85" s="54">
        <v>0.0</v>
      </c>
      <c r="I85" s="26" t="s">
        <v>1851</v>
      </c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idden="1">
      <c r="A86" s="26"/>
      <c r="B86" s="53" t="s">
        <v>575</v>
      </c>
      <c r="C86" s="53" t="s">
        <v>1852</v>
      </c>
      <c r="D86" s="53" t="s">
        <v>794</v>
      </c>
      <c r="E86" s="53" t="s">
        <v>5245</v>
      </c>
      <c r="F86" s="53" t="s">
        <v>794</v>
      </c>
      <c r="G86" s="53" t="s">
        <v>1862</v>
      </c>
      <c r="H86" s="54">
        <v>0.0</v>
      </c>
      <c r="I86" s="26" t="s">
        <v>1851</v>
      </c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idden="1">
      <c r="A87" s="26"/>
      <c r="B87" s="53" t="s">
        <v>575</v>
      </c>
      <c r="C87" s="53" t="s">
        <v>1852</v>
      </c>
      <c r="D87" s="53" t="s">
        <v>796</v>
      </c>
      <c r="E87" s="53" t="s">
        <v>1933</v>
      </c>
      <c r="F87" s="53" t="s">
        <v>796</v>
      </c>
      <c r="G87" s="53" t="s">
        <v>1854</v>
      </c>
      <c r="H87" s="54">
        <v>3.276847119E7</v>
      </c>
      <c r="I87" s="26" t="s">
        <v>1851</v>
      </c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idden="1">
      <c r="A88" s="26"/>
      <c r="B88" s="53" t="s">
        <v>575</v>
      </c>
      <c r="C88" s="53" t="s">
        <v>1852</v>
      </c>
      <c r="D88" s="53" t="s">
        <v>796</v>
      </c>
      <c r="E88" s="53" t="s">
        <v>1934</v>
      </c>
      <c r="F88" s="53" t="s">
        <v>796</v>
      </c>
      <c r="G88" s="53" t="s">
        <v>1859</v>
      </c>
      <c r="H88" s="54">
        <v>5230588.0</v>
      </c>
      <c r="I88" s="26" t="s">
        <v>1851</v>
      </c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idden="1">
      <c r="A89" s="26"/>
      <c r="B89" s="53" t="s">
        <v>575</v>
      </c>
      <c r="C89" s="53" t="s">
        <v>1852</v>
      </c>
      <c r="D89" s="53" t="s">
        <v>953</v>
      </c>
      <c r="E89" s="53" t="s">
        <v>1935</v>
      </c>
      <c r="F89" s="53" t="s">
        <v>953</v>
      </c>
      <c r="G89" s="53" t="s">
        <v>1854</v>
      </c>
      <c r="H89" s="54">
        <v>1.1469291012E8</v>
      </c>
      <c r="I89" s="26" t="s">
        <v>1851</v>
      </c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idden="1">
      <c r="A90" s="26"/>
      <c r="B90" s="53" t="s">
        <v>575</v>
      </c>
      <c r="C90" s="53" t="s">
        <v>1852</v>
      </c>
      <c r="D90" s="53" t="s">
        <v>953</v>
      </c>
      <c r="E90" s="53" t="s">
        <v>1936</v>
      </c>
      <c r="F90" s="53" t="s">
        <v>953</v>
      </c>
      <c r="G90" s="53" t="s">
        <v>1859</v>
      </c>
      <c r="H90" s="54">
        <v>2.237059864E7</v>
      </c>
      <c r="I90" s="26" t="s">
        <v>1851</v>
      </c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idden="1">
      <c r="A91" s="26"/>
      <c r="B91" s="53" t="s">
        <v>575</v>
      </c>
      <c r="C91" s="53" t="s">
        <v>1852</v>
      </c>
      <c r="D91" s="53" t="s">
        <v>804</v>
      </c>
      <c r="E91" s="53" t="s">
        <v>1937</v>
      </c>
      <c r="F91" s="53" t="s">
        <v>804</v>
      </c>
      <c r="G91" s="53" t="s">
        <v>1854</v>
      </c>
      <c r="H91" s="54">
        <v>7653204.65</v>
      </c>
      <c r="I91" s="26" t="s">
        <v>1851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idden="1">
      <c r="A92" s="26"/>
      <c r="B92" s="53" t="s">
        <v>575</v>
      </c>
      <c r="C92" s="53" t="s">
        <v>1852</v>
      </c>
      <c r="D92" s="53" t="s">
        <v>804</v>
      </c>
      <c r="E92" s="53" t="s">
        <v>1938</v>
      </c>
      <c r="F92" s="53" t="s">
        <v>804</v>
      </c>
      <c r="G92" s="53" t="s">
        <v>1859</v>
      </c>
      <c r="H92" s="54">
        <v>3073502.72</v>
      </c>
      <c r="I92" s="26" t="s">
        <v>1851</v>
      </c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idden="1">
      <c r="A93" s="26"/>
      <c r="B93" s="53" t="s">
        <v>575</v>
      </c>
      <c r="C93" s="53" t="s">
        <v>1852</v>
      </c>
      <c r="D93" s="53" t="s">
        <v>806</v>
      </c>
      <c r="E93" s="53" t="s">
        <v>1939</v>
      </c>
      <c r="F93" s="53" t="s">
        <v>806</v>
      </c>
      <c r="G93" s="53" t="s">
        <v>1854</v>
      </c>
      <c r="H93" s="54">
        <v>2.183785058E7</v>
      </c>
      <c r="I93" s="26" t="s">
        <v>1851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idden="1">
      <c r="A94" s="26"/>
      <c r="B94" s="53" t="s">
        <v>575</v>
      </c>
      <c r="C94" s="53" t="s">
        <v>1852</v>
      </c>
      <c r="D94" s="53" t="s">
        <v>806</v>
      </c>
      <c r="E94" s="53" t="s">
        <v>5246</v>
      </c>
      <c r="F94" s="53" t="s">
        <v>806</v>
      </c>
      <c r="G94" s="53" t="s">
        <v>1859</v>
      </c>
      <c r="H94" s="54">
        <v>0.0</v>
      </c>
      <c r="I94" s="26" t="s">
        <v>1851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idden="1">
      <c r="A95" s="26"/>
      <c r="B95" s="53" t="s">
        <v>575</v>
      </c>
      <c r="C95" s="53" t="s">
        <v>1852</v>
      </c>
      <c r="D95" s="53" t="s">
        <v>810</v>
      </c>
      <c r="E95" s="53" t="s">
        <v>1940</v>
      </c>
      <c r="F95" s="53" t="s">
        <v>810</v>
      </c>
      <c r="G95" s="53" t="s">
        <v>1854</v>
      </c>
      <c r="H95" s="54">
        <v>4.0697577393E8</v>
      </c>
      <c r="I95" s="26" t="s">
        <v>1851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idden="1">
      <c r="A96" s="26"/>
      <c r="B96" s="53" t="s">
        <v>575</v>
      </c>
      <c r="C96" s="53" t="s">
        <v>1852</v>
      </c>
      <c r="D96" s="53" t="s">
        <v>810</v>
      </c>
      <c r="E96" s="53" t="s">
        <v>1941</v>
      </c>
      <c r="F96" s="53" t="s">
        <v>810</v>
      </c>
      <c r="G96" s="53" t="s">
        <v>1859</v>
      </c>
      <c r="H96" s="54">
        <v>8.525287758E7</v>
      </c>
      <c r="I96" s="26" t="s">
        <v>1851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idden="1">
      <c r="A97" s="26"/>
      <c r="B97" s="53" t="s">
        <v>575</v>
      </c>
      <c r="C97" s="53" t="s">
        <v>1852</v>
      </c>
      <c r="D97" s="53" t="s">
        <v>812</v>
      </c>
      <c r="E97" s="53" t="s">
        <v>1942</v>
      </c>
      <c r="F97" s="53" t="s">
        <v>812</v>
      </c>
      <c r="G97" s="53" t="s">
        <v>1854</v>
      </c>
      <c r="H97" s="54">
        <v>2.511322177E7</v>
      </c>
      <c r="I97" s="26" t="s">
        <v>1851</v>
      </c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idden="1">
      <c r="A98" s="26"/>
      <c r="B98" s="53" t="s">
        <v>575</v>
      </c>
      <c r="C98" s="53" t="s">
        <v>1852</v>
      </c>
      <c r="D98" s="53" t="s">
        <v>812</v>
      </c>
      <c r="E98" s="53" t="s">
        <v>1943</v>
      </c>
      <c r="F98" s="53" t="s">
        <v>812</v>
      </c>
      <c r="G98" s="53" t="s">
        <v>1859</v>
      </c>
      <c r="H98" s="54">
        <v>3297124.8</v>
      </c>
      <c r="I98" s="26" t="s">
        <v>1851</v>
      </c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idden="1">
      <c r="A99" s="26"/>
      <c r="B99" s="53" t="s">
        <v>575</v>
      </c>
      <c r="C99" s="53" t="s">
        <v>1852</v>
      </c>
      <c r="D99" s="53" t="s">
        <v>816</v>
      </c>
      <c r="E99" s="53" t="s">
        <v>1944</v>
      </c>
      <c r="F99" s="53" t="s">
        <v>816</v>
      </c>
      <c r="G99" s="53" t="s">
        <v>1854</v>
      </c>
      <c r="H99" s="54">
        <v>9.430602818E7</v>
      </c>
      <c r="I99" s="26" t="s">
        <v>1851</v>
      </c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idden="1">
      <c r="A100" s="26"/>
      <c r="B100" s="53" t="s">
        <v>575</v>
      </c>
      <c r="C100" s="53" t="s">
        <v>1852</v>
      </c>
      <c r="D100" s="53" t="s">
        <v>816</v>
      </c>
      <c r="E100" s="53" t="s">
        <v>1945</v>
      </c>
      <c r="F100" s="53" t="s">
        <v>816</v>
      </c>
      <c r="G100" s="53" t="s">
        <v>1859</v>
      </c>
      <c r="H100" s="54">
        <v>3.021735776E7</v>
      </c>
      <c r="I100" s="26" t="s">
        <v>1851</v>
      </c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idden="1">
      <c r="A101" s="26"/>
      <c r="B101" s="53" t="s">
        <v>575</v>
      </c>
      <c r="C101" s="53" t="s">
        <v>1852</v>
      </c>
      <c r="D101" s="53" t="s">
        <v>816</v>
      </c>
      <c r="E101" s="53" t="s">
        <v>1946</v>
      </c>
      <c r="F101" s="53" t="s">
        <v>816</v>
      </c>
      <c r="G101" s="53" t="s">
        <v>1862</v>
      </c>
      <c r="H101" s="54">
        <v>6.876629502E7</v>
      </c>
      <c r="I101" s="26" t="s">
        <v>1851</v>
      </c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idden="1">
      <c r="A102" s="26"/>
      <c r="B102" s="53" t="s">
        <v>575</v>
      </c>
      <c r="C102" s="53" t="s">
        <v>1852</v>
      </c>
      <c r="D102" s="53" t="s">
        <v>818</v>
      </c>
      <c r="E102" s="53" t="s">
        <v>1947</v>
      </c>
      <c r="F102" s="53" t="s">
        <v>818</v>
      </c>
      <c r="G102" s="53" t="s">
        <v>1854</v>
      </c>
      <c r="H102" s="54">
        <v>6137431.3</v>
      </c>
      <c r="I102" s="26" t="s">
        <v>1851</v>
      </c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idden="1">
      <c r="A103" s="26"/>
      <c r="B103" s="53" t="s">
        <v>575</v>
      </c>
      <c r="C103" s="53" t="s">
        <v>1852</v>
      </c>
      <c r="D103" s="53" t="s">
        <v>818</v>
      </c>
      <c r="E103" s="53" t="s">
        <v>1948</v>
      </c>
      <c r="F103" s="53" t="s">
        <v>818</v>
      </c>
      <c r="G103" s="53" t="s">
        <v>1859</v>
      </c>
      <c r="H103" s="54">
        <v>7783431.68</v>
      </c>
      <c r="I103" s="26" t="s">
        <v>1851</v>
      </c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idden="1">
      <c r="A104" s="26"/>
      <c r="B104" s="53" t="s">
        <v>575</v>
      </c>
      <c r="C104" s="53" t="s">
        <v>1852</v>
      </c>
      <c r="D104" s="53" t="s">
        <v>818</v>
      </c>
      <c r="E104" s="53" t="s">
        <v>5247</v>
      </c>
      <c r="F104" s="53" t="s">
        <v>818</v>
      </c>
      <c r="G104" s="53" t="s">
        <v>1862</v>
      </c>
      <c r="H104" s="54">
        <v>0.0</v>
      </c>
      <c r="I104" s="26" t="s">
        <v>1851</v>
      </c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idden="1">
      <c r="A105" s="26"/>
      <c r="B105" s="53" t="s">
        <v>575</v>
      </c>
      <c r="C105" s="53" t="s">
        <v>1852</v>
      </c>
      <c r="D105" s="53" t="s">
        <v>5248</v>
      </c>
      <c r="E105" s="53" t="s">
        <v>5249</v>
      </c>
      <c r="F105" s="53" t="s">
        <v>5248</v>
      </c>
      <c r="G105" s="53" t="s">
        <v>1854</v>
      </c>
      <c r="H105" s="54">
        <v>0.0</v>
      </c>
      <c r="I105" s="26" t="s">
        <v>1851</v>
      </c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idden="1">
      <c r="A106" s="26"/>
      <c r="B106" s="53" t="s">
        <v>575</v>
      </c>
      <c r="C106" s="53" t="s">
        <v>1852</v>
      </c>
      <c r="D106" s="53" t="s">
        <v>824</v>
      </c>
      <c r="E106" s="53" t="s">
        <v>1949</v>
      </c>
      <c r="F106" s="53" t="s">
        <v>824</v>
      </c>
      <c r="G106" s="53" t="s">
        <v>1854</v>
      </c>
      <c r="H106" s="54">
        <v>3081997.1</v>
      </c>
      <c r="I106" s="26" t="s">
        <v>1851</v>
      </c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idden="1">
      <c r="A107" s="26"/>
      <c r="B107" s="53" t="s">
        <v>575</v>
      </c>
      <c r="C107" s="53" t="s">
        <v>1852</v>
      </c>
      <c r="D107" s="53" t="s">
        <v>824</v>
      </c>
      <c r="E107" s="53" t="s">
        <v>5250</v>
      </c>
      <c r="F107" s="53" t="s">
        <v>824</v>
      </c>
      <c r="G107" s="53" t="s">
        <v>1859</v>
      </c>
      <c r="H107" s="54">
        <v>0.0</v>
      </c>
      <c r="I107" s="26" t="s">
        <v>1851</v>
      </c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idden="1">
      <c r="A108" s="26"/>
      <c r="B108" s="53" t="s">
        <v>575</v>
      </c>
      <c r="C108" s="53" t="s">
        <v>1852</v>
      </c>
      <c r="D108" s="53" t="s">
        <v>826</v>
      </c>
      <c r="E108" s="53" t="s">
        <v>5251</v>
      </c>
      <c r="F108" s="53" t="s">
        <v>826</v>
      </c>
      <c r="G108" s="53" t="s">
        <v>1854</v>
      </c>
      <c r="H108" s="54">
        <v>0.0</v>
      </c>
      <c r="I108" s="26" t="s">
        <v>1851</v>
      </c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idden="1">
      <c r="A109" s="26"/>
      <c r="B109" s="53" t="s">
        <v>575</v>
      </c>
      <c r="C109" s="53" t="s">
        <v>1852</v>
      </c>
      <c r="D109" s="53" t="s">
        <v>826</v>
      </c>
      <c r="E109" s="53" t="s">
        <v>5252</v>
      </c>
      <c r="F109" s="53" t="s">
        <v>826</v>
      </c>
      <c r="G109" s="53" t="s">
        <v>1859</v>
      </c>
      <c r="H109" s="54">
        <v>0.0</v>
      </c>
      <c r="I109" s="26" t="s">
        <v>1851</v>
      </c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idden="1">
      <c r="A110" s="26"/>
      <c r="B110" s="53" t="s">
        <v>575</v>
      </c>
      <c r="C110" s="53" t="s">
        <v>1852</v>
      </c>
      <c r="D110" s="53" t="s">
        <v>828</v>
      </c>
      <c r="E110" s="53" t="s">
        <v>1950</v>
      </c>
      <c r="F110" s="53" t="s">
        <v>828</v>
      </c>
      <c r="G110" s="53" t="s">
        <v>1854</v>
      </c>
      <c r="H110" s="54">
        <v>1.64942232E7</v>
      </c>
      <c r="I110" s="26" t="s">
        <v>1851</v>
      </c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idden="1">
      <c r="A111" s="26"/>
      <c r="B111" s="53" t="s">
        <v>575</v>
      </c>
      <c r="C111" s="53" t="s">
        <v>1852</v>
      </c>
      <c r="D111" s="53" t="s">
        <v>828</v>
      </c>
      <c r="E111" s="53" t="s">
        <v>1951</v>
      </c>
      <c r="F111" s="53" t="s">
        <v>828</v>
      </c>
      <c r="G111" s="53" t="s">
        <v>1859</v>
      </c>
      <c r="H111" s="54">
        <v>1.32196072E7</v>
      </c>
      <c r="I111" s="26" t="s">
        <v>1851</v>
      </c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idden="1">
      <c r="A112" s="26"/>
      <c r="B112" s="53" t="s">
        <v>575</v>
      </c>
      <c r="C112" s="53" t="s">
        <v>1852</v>
      </c>
      <c r="D112" s="53" t="s">
        <v>828</v>
      </c>
      <c r="E112" s="53" t="s">
        <v>5253</v>
      </c>
      <c r="F112" s="53" t="s">
        <v>828</v>
      </c>
      <c r="G112" s="53" t="s">
        <v>1862</v>
      </c>
      <c r="H112" s="54">
        <v>0.0</v>
      </c>
      <c r="I112" s="26" t="s">
        <v>1851</v>
      </c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idden="1">
      <c r="A113" s="26"/>
      <c r="B113" s="53" t="s">
        <v>575</v>
      </c>
      <c r="C113" s="53" t="s">
        <v>1852</v>
      </c>
      <c r="D113" s="53" t="s">
        <v>830</v>
      </c>
      <c r="E113" s="53" t="s">
        <v>1952</v>
      </c>
      <c r="F113" s="53" t="s">
        <v>830</v>
      </c>
      <c r="G113" s="53" t="s">
        <v>1854</v>
      </c>
      <c r="H113" s="54">
        <v>8.6482848298E8</v>
      </c>
      <c r="I113" s="26" t="s">
        <v>1851</v>
      </c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idden="1">
      <c r="A114" s="26"/>
      <c r="B114" s="53" t="s">
        <v>575</v>
      </c>
      <c r="C114" s="53" t="s">
        <v>1852</v>
      </c>
      <c r="D114" s="53" t="s">
        <v>830</v>
      </c>
      <c r="E114" s="53" t="s">
        <v>1953</v>
      </c>
      <c r="F114" s="53" t="s">
        <v>830</v>
      </c>
      <c r="G114" s="53" t="s">
        <v>1859</v>
      </c>
      <c r="H114" s="54">
        <v>1.6675302046E8</v>
      </c>
      <c r="I114" s="26" t="s">
        <v>1851</v>
      </c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idden="1">
      <c r="A115" s="26"/>
      <c r="B115" s="53" t="s">
        <v>575</v>
      </c>
      <c r="C115" s="53" t="s">
        <v>1852</v>
      </c>
      <c r="D115" s="53" t="s">
        <v>834</v>
      </c>
      <c r="E115" s="53" t="s">
        <v>1954</v>
      </c>
      <c r="F115" s="53" t="s">
        <v>834</v>
      </c>
      <c r="G115" s="53" t="s">
        <v>1854</v>
      </c>
      <c r="H115" s="54">
        <v>2.2877415074E8</v>
      </c>
      <c r="I115" s="26" t="s">
        <v>1851</v>
      </c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idden="1">
      <c r="A116" s="26"/>
      <c r="B116" s="53" t="s">
        <v>575</v>
      </c>
      <c r="C116" s="53" t="s">
        <v>1852</v>
      </c>
      <c r="D116" s="53" t="s">
        <v>834</v>
      </c>
      <c r="E116" s="53" t="s">
        <v>1955</v>
      </c>
      <c r="F116" s="53" t="s">
        <v>834</v>
      </c>
      <c r="G116" s="53" t="s">
        <v>1859</v>
      </c>
      <c r="H116" s="54">
        <v>5.326863048E7</v>
      </c>
      <c r="I116" s="26" t="s">
        <v>1851</v>
      </c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idden="1">
      <c r="A117" s="26"/>
      <c r="B117" s="53" t="s">
        <v>575</v>
      </c>
      <c r="C117" s="53" t="s">
        <v>1852</v>
      </c>
      <c r="D117" s="53" t="s">
        <v>836</v>
      </c>
      <c r="E117" s="53" t="s">
        <v>1956</v>
      </c>
      <c r="F117" s="53" t="s">
        <v>836</v>
      </c>
      <c r="G117" s="53" t="s">
        <v>1854</v>
      </c>
      <c r="H117" s="54">
        <v>5.838344299E7</v>
      </c>
      <c r="I117" s="26" t="s">
        <v>1851</v>
      </c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idden="1">
      <c r="A118" s="26"/>
      <c r="B118" s="53" t="s">
        <v>575</v>
      </c>
      <c r="C118" s="53" t="s">
        <v>1852</v>
      </c>
      <c r="D118" s="53" t="s">
        <v>836</v>
      </c>
      <c r="E118" s="53" t="s">
        <v>1957</v>
      </c>
      <c r="F118" s="53" t="s">
        <v>836</v>
      </c>
      <c r="G118" s="53" t="s">
        <v>1859</v>
      </c>
      <c r="H118" s="54">
        <v>1.374321528E7</v>
      </c>
      <c r="I118" s="26" t="s">
        <v>1851</v>
      </c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idden="1">
      <c r="A119" s="26"/>
      <c r="B119" s="53" t="s">
        <v>575</v>
      </c>
      <c r="C119" s="53" t="s">
        <v>1852</v>
      </c>
      <c r="D119" s="53" t="s">
        <v>836</v>
      </c>
      <c r="E119" s="53" t="s">
        <v>5254</v>
      </c>
      <c r="F119" s="53" t="s">
        <v>836</v>
      </c>
      <c r="G119" s="53" t="s">
        <v>1862</v>
      </c>
      <c r="H119" s="54">
        <v>0.0</v>
      </c>
      <c r="I119" s="26" t="s">
        <v>1851</v>
      </c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idden="1">
      <c r="A120" s="26"/>
      <c r="B120" s="53" t="s">
        <v>575</v>
      </c>
      <c r="C120" s="53" t="s">
        <v>1852</v>
      </c>
      <c r="D120" s="53" t="s">
        <v>1958</v>
      </c>
      <c r="E120" s="53" t="s">
        <v>1959</v>
      </c>
      <c r="F120" s="53" t="s">
        <v>1958</v>
      </c>
      <c r="G120" s="53" t="s">
        <v>1854</v>
      </c>
      <c r="H120" s="54">
        <v>1.17582556E7</v>
      </c>
      <c r="I120" s="26" t="s">
        <v>1851</v>
      </c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idden="1">
      <c r="A121" s="26"/>
      <c r="B121" s="53" t="s">
        <v>575</v>
      </c>
      <c r="C121" s="53" t="s">
        <v>1852</v>
      </c>
      <c r="D121" s="53" t="s">
        <v>1958</v>
      </c>
      <c r="E121" s="53" t="s">
        <v>5255</v>
      </c>
      <c r="F121" s="53" t="s">
        <v>1958</v>
      </c>
      <c r="G121" s="53" t="s">
        <v>1859</v>
      </c>
      <c r="H121" s="54">
        <v>0.0</v>
      </c>
      <c r="I121" s="26" t="s">
        <v>1851</v>
      </c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idden="1">
      <c r="A122" s="26"/>
      <c r="B122" s="53" t="s">
        <v>575</v>
      </c>
      <c r="C122" s="53" t="s">
        <v>1852</v>
      </c>
      <c r="D122" s="53" t="s">
        <v>710</v>
      </c>
      <c r="E122" s="53" t="s">
        <v>1960</v>
      </c>
      <c r="F122" s="53" t="s">
        <v>1028</v>
      </c>
      <c r="G122" s="53" t="s">
        <v>1854</v>
      </c>
      <c r="H122" s="54">
        <v>7.01947246E7</v>
      </c>
      <c r="I122" s="26" t="s">
        <v>1851</v>
      </c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idden="1">
      <c r="A123" s="26"/>
      <c r="B123" s="53" t="s">
        <v>575</v>
      </c>
      <c r="C123" s="53" t="s">
        <v>1852</v>
      </c>
      <c r="D123" s="53" t="s">
        <v>710</v>
      </c>
      <c r="E123" s="53" t="s">
        <v>1961</v>
      </c>
      <c r="F123" s="53" t="s">
        <v>1028</v>
      </c>
      <c r="G123" s="53" t="s">
        <v>1859</v>
      </c>
      <c r="H123" s="54">
        <v>1.27721368E7</v>
      </c>
      <c r="I123" s="26" t="s">
        <v>1851</v>
      </c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idden="1">
      <c r="A124" s="26"/>
      <c r="B124" s="53" t="s">
        <v>575</v>
      </c>
      <c r="C124" s="53" t="s">
        <v>1852</v>
      </c>
      <c r="D124" s="53" t="s">
        <v>710</v>
      </c>
      <c r="E124" s="53" t="s">
        <v>1962</v>
      </c>
      <c r="F124" s="53" t="s">
        <v>1028</v>
      </c>
      <c r="G124" s="53" t="s">
        <v>1862</v>
      </c>
      <c r="H124" s="54">
        <v>2669697.6</v>
      </c>
      <c r="I124" s="26" t="s">
        <v>1851</v>
      </c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idden="1">
      <c r="A125" s="26"/>
      <c r="B125" s="53" t="s">
        <v>575</v>
      </c>
      <c r="C125" s="53" t="s">
        <v>1852</v>
      </c>
      <c r="D125" s="53" t="s">
        <v>710</v>
      </c>
      <c r="E125" s="53" t="s">
        <v>5256</v>
      </c>
      <c r="F125" s="53" t="s">
        <v>710</v>
      </c>
      <c r="G125" s="53" t="s">
        <v>1854</v>
      </c>
      <c r="H125" s="54">
        <v>0.0</v>
      </c>
      <c r="I125" s="26" t="s">
        <v>1851</v>
      </c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idden="1">
      <c r="A126" s="26"/>
      <c r="B126" s="53" t="s">
        <v>575</v>
      </c>
      <c r="C126" s="53" t="s">
        <v>1852</v>
      </c>
      <c r="D126" s="53" t="s">
        <v>710</v>
      </c>
      <c r="E126" s="53" t="s">
        <v>5257</v>
      </c>
      <c r="F126" s="53" t="s">
        <v>710</v>
      </c>
      <c r="G126" s="53" t="s">
        <v>1859</v>
      </c>
      <c r="H126" s="54">
        <v>0.0</v>
      </c>
      <c r="I126" s="26" t="s">
        <v>1851</v>
      </c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idden="1">
      <c r="A127" s="26"/>
      <c r="B127" s="53" t="s">
        <v>575</v>
      </c>
      <c r="C127" s="53" t="s">
        <v>1852</v>
      </c>
      <c r="D127" s="53" t="s">
        <v>1139</v>
      </c>
      <c r="E127" s="53" t="s">
        <v>1963</v>
      </c>
      <c r="F127" s="53" t="s">
        <v>1139</v>
      </c>
      <c r="G127" s="53" t="s">
        <v>1854</v>
      </c>
      <c r="H127" s="54">
        <v>6.3352424116E8</v>
      </c>
      <c r="I127" s="26" t="s">
        <v>1851</v>
      </c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idden="1">
      <c r="A128" s="26"/>
      <c r="B128" s="53" t="s">
        <v>575</v>
      </c>
      <c r="C128" s="53" t="s">
        <v>1852</v>
      </c>
      <c r="D128" s="53" t="s">
        <v>1139</v>
      </c>
      <c r="E128" s="53" t="s">
        <v>1964</v>
      </c>
      <c r="F128" s="53" t="s">
        <v>1139</v>
      </c>
      <c r="G128" s="53" t="s">
        <v>1859</v>
      </c>
      <c r="H128" s="54">
        <v>3.4732739418E8</v>
      </c>
      <c r="I128" s="26" t="s">
        <v>1851</v>
      </c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idden="1">
      <c r="A129" s="26"/>
      <c r="B129" s="53" t="s">
        <v>575</v>
      </c>
      <c r="C129" s="53" t="s">
        <v>1852</v>
      </c>
      <c r="D129" s="53" t="s">
        <v>1139</v>
      </c>
      <c r="E129" s="53" t="s">
        <v>1965</v>
      </c>
      <c r="F129" s="53" t="s">
        <v>1139</v>
      </c>
      <c r="G129" s="53" t="s">
        <v>1862</v>
      </c>
      <c r="H129" s="54">
        <v>1.0963801551E8</v>
      </c>
      <c r="I129" s="26" t="s">
        <v>1851</v>
      </c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idden="1">
      <c r="A130" s="26"/>
      <c r="B130" s="53" t="s">
        <v>575</v>
      </c>
      <c r="C130" s="53" t="s">
        <v>1852</v>
      </c>
      <c r="D130" s="53" t="s">
        <v>1139</v>
      </c>
      <c r="E130" s="53" t="s">
        <v>1966</v>
      </c>
      <c r="F130" s="53" t="s">
        <v>1139</v>
      </c>
      <c r="G130" s="53" t="s">
        <v>1886</v>
      </c>
      <c r="H130" s="54">
        <v>3.541793373E7</v>
      </c>
      <c r="I130" s="26" t="s">
        <v>1851</v>
      </c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idden="1">
      <c r="A131" s="26"/>
      <c r="B131" s="53" t="s">
        <v>575</v>
      </c>
      <c r="C131" s="53" t="s">
        <v>1852</v>
      </c>
      <c r="D131" s="53" t="s">
        <v>842</v>
      </c>
      <c r="E131" s="53" t="s">
        <v>1967</v>
      </c>
      <c r="F131" s="53" t="s">
        <v>842</v>
      </c>
      <c r="G131" s="53" t="s">
        <v>1854</v>
      </c>
      <c r="H131" s="54">
        <v>2.846909702E7</v>
      </c>
      <c r="I131" s="26" t="s">
        <v>1851</v>
      </c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idden="1">
      <c r="A132" s="26"/>
      <c r="B132" s="53" t="s">
        <v>575</v>
      </c>
      <c r="C132" s="53" t="s">
        <v>1852</v>
      </c>
      <c r="D132" s="53" t="s">
        <v>842</v>
      </c>
      <c r="E132" s="53" t="s">
        <v>1968</v>
      </c>
      <c r="F132" s="53" t="s">
        <v>842</v>
      </c>
      <c r="G132" s="53" t="s">
        <v>1859</v>
      </c>
      <c r="H132" s="54">
        <v>4265141.12</v>
      </c>
      <c r="I132" s="26" t="s">
        <v>1851</v>
      </c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idden="1">
      <c r="A133" s="26"/>
      <c r="B133" s="53" t="s">
        <v>575</v>
      </c>
      <c r="C133" s="53" t="s">
        <v>1852</v>
      </c>
      <c r="D133" s="53" t="s">
        <v>842</v>
      </c>
      <c r="E133" s="53" t="s">
        <v>1969</v>
      </c>
      <c r="F133" s="53" t="s">
        <v>842</v>
      </c>
      <c r="G133" s="53" t="s">
        <v>1862</v>
      </c>
      <c r="H133" s="54">
        <v>5168429.0</v>
      </c>
      <c r="I133" s="26" t="s">
        <v>1851</v>
      </c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idden="1">
      <c r="A134" s="26"/>
      <c r="B134" s="53" t="s">
        <v>575</v>
      </c>
      <c r="C134" s="53" t="s">
        <v>1852</v>
      </c>
      <c r="D134" s="53" t="s">
        <v>844</v>
      </c>
      <c r="E134" s="53" t="s">
        <v>1970</v>
      </c>
      <c r="F134" s="53" t="s">
        <v>844</v>
      </c>
      <c r="G134" s="53" t="s">
        <v>1854</v>
      </c>
      <c r="H134" s="54">
        <v>2.073370026E7</v>
      </c>
      <c r="I134" s="26" t="s">
        <v>1851</v>
      </c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idden="1">
      <c r="A135" s="26"/>
      <c r="B135" s="53" t="s">
        <v>575</v>
      </c>
      <c r="C135" s="53" t="s">
        <v>1852</v>
      </c>
      <c r="D135" s="53" t="s">
        <v>844</v>
      </c>
      <c r="E135" s="53" t="s">
        <v>1971</v>
      </c>
      <c r="F135" s="53" t="s">
        <v>844</v>
      </c>
      <c r="G135" s="53" t="s">
        <v>1859</v>
      </c>
      <c r="H135" s="54">
        <v>2.840130504E7</v>
      </c>
      <c r="I135" s="26" t="s">
        <v>1851</v>
      </c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idden="1">
      <c r="A136" s="26"/>
      <c r="B136" s="53" t="s">
        <v>575</v>
      </c>
      <c r="C136" s="53" t="s">
        <v>1852</v>
      </c>
      <c r="D136" s="53" t="s">
        <v>844</v>
      </c>
      <c r="E136" s="53" t="s">
        <v>1972</v>
      </c>
      <c r="F136" s="53" t="s">
        <v>844</v>
      </c>
      <c r="G136" s="53" t="s">
        <v>1862</v>
      </c>
      <c r="H136" s="54">
        <v>4.294123364E7</v>
      </c>
      <c r="I136" s="26" t="s">
        <v>1851</v>
      </c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idden="1">
      <c r="A137" s="26"/>
      <c r="B137" s="53" t="s">
        <v>575</v>
      </c>
      <c r="C137" s="53" t="s">
        <v>1852</v>
      </c>
      <c r="D137" s="53" t="s">
        <v>848</v>
      </c>
      <c r="E137" s="53" t="s">
        <v>1973</v>
      </c>
      <c r="F137" s="53" t="s">
        <v>848</v>
      </c>
      <c r="G137" s="53" t="s">
        <v>1854</v>
      </c>
      <c r="H137" s="54">
        <v>1.32806219E7</v>
      </c>
      <c r="I137" s="26" t="s">
        <v>1851</v>
      </c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idden="1">
      <c r="A138" s="26"/>
      <c r="B138" s="53" t="s">
        <v>575</v>
      </c>
      <c r="C138" s="53" t="s">
        <v>1852</v>
      </c>
      <c r="D138" s="53" t="s">
        <v>848</v>
      </c>
      <c r="E138" s="53" t="s">
        <v>5258</v>
      </c>
      <c r="F138" s="53" t="s">
        <v>848</v>
      </c>
      <c r="G138" s="53" t="s">
        <v>1859</v>
      </c>
      <c r="H138" s="54">
        <v>0.0</v>
      </c>
      <c r="I138" s="26" t="s">
        <v>1851</v>
      </c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idden="1">
      <c r="A139" s="26"/>
      <c r="B139" s="53" t="s">
        <v>575</v>
      </c>
      <c r="C139" s="53" t="s">
        <v>1852</v>
      </c>
      <c r="D139" s="53" t="s">
        <v>850</v>
      </c>
      <c r="E139" s="53" t="s">
        <v>1974</v>
      </c>
      <c r="F139" s="53" t="s">
        <v>850</v>
      </c>
      <c r="G139" s="53" t="s">
        <v>1854</v>
      </c>
      <c r="H139" s="54">
        <v>6.982388868E7</v>
      </c>
      <c r="I139" s="26" t="s">
        <v>1851</v>
      </c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idden="1">
      <c r="A140" s="26"/>
      <c r="B140" s="53" t="s">
        <v>575</v>
      </c>
      <c r="C140" s="53" t="s">
        <v>1852</v>
      </c>
      <c r="D140" s="53" t="s">
        <v>850</v>
      </c>
      <c r="E140" s="53" t="s">
        <v>1975</v>
      </c>
      <c r="F140" s="53" t="s">
        <v>850</v>
      </c>
      <c r="G140" s="53" t="s">
        <v>1859</v>
      </c>
      <c r="H140" s="54">
        <v>1.489496288E7</v>
      </c>
      <c r="I140" s="26" t="s">
        <v>1851</v>
      </c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idden="1">
      <c r="A141" s="26"/>
      <c r="B141" s="53" t="s">
        <v>575</v>
      </c>
      <c r="C141" s="53" t="s">
        <v>1852</v>
      </c>
      <c r="D141" s="53" t="s">
        <v>850</v>
      </c>
      <c r="E141" s="53" t="s">
        <v>1976</v>
      </c>
      <c r="F141" s="53" t="s">
        <v>850</v>
      </c>
      <c r="G141" s="53" t="s">
        <v>1862</v>
      </c>
      <c r="H141" s="54">
        <v>6742333.8</v>
      </c>
      <c r="I141" s="26" t="s">
        <v>1851</v>
      </c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idden="1">
      <c r="A142" s="26"/>
      <c r="B142" s="53" t="s">
        <v>575</v>
      </c>
      <c r="C142" s="53" t="s">
        <v>1852</v>
      </c>
      <c r="D142" s="53" t="s">
        <v>852</v>
      </c>
      <c r="E142" s="53" t="s">
        <v>1977</v>
      </c>
      <c r="F142" s="53" t="s">
        <v>852</v>
      </c>
      <c r="G142" s="53" t="s">
        <v>1854</v>
      </c>
      <c r="H142" s="54">
        <v>4.248816117E7</v>
      </c>
      <c r="I142" s="26" t="s">
        <v>1851</v>
      </c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idden="1">
      <c r="A143" s="26"/>
      <c r="B143" s="53" t="s">
        <v>575</v>
      </c>
      <c r="C143" s="53" t="s">
        <v>1852</v>
      </c>
      <c r="D143" s="53" t="s">
        <v>852</v>
      </c>
      <c r="E143" s="53" t="s">
        <v>1978</v>
      </c>
      <c r="F143" s="53" t="s">
        <v>852</v>
      </c>
      <c r="G143" s="53" t="s">
        <v>1859</v>
      </c>
      <c r="H143" s="54">
        <v>4170007.2</v>
      </c>
      <c r="I143" s="26" t="s">
        <v>1851</v>
      </c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idden="1">
      <c r="A144" s="26"/>
      <c r="B144" s="53" t="s">
        <v>575</v>
      </c>
      <c r="C144" s="53" t="s">
        <v>1852</v>
      </c>
      <c r="D144" s="53" t="s">
        <v>1979</v>
      </c>
      <c r="E144" s="53" t="s">
        <v>1980</v>
      </c>
      <c r="F144" s="53" t="s">
        <v>1979</v>
      </c>
      <c r="G144" s="53" t="s">
        <v>1854</v>
      </c>
      <c r="H144" s="54">
        <v>5.62233822192E9</v>
      </c>
      <c r="I144" s="26" t="s">
        <v>1851</v>
      </c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idden="1">
      <c r="A145" s="26"/>
      <c r="B145" s="53" t="s">
        <v>575</v>
      </c>
      <c r="C145" s="53" t="s">
        <v>1852</v>
      </c>
      <c r="D145" s="53" t="s">
        <v>1979</v>
      </c>
      <c r="E145" s="53" t="s">
        <v>1981</v>
      </c>
      <c r="F145" s="53" t="s">
        <v>1979</v>
      </c>
      <c r="G145" s="53" t="s">
        <v>1859</v>
      </c>
      <c r="H145" s="54">
        <v>3.7489034952E9</v>
      </c>
      <c r="I145" s="26" t="s">
        <v>1851</v>
      </c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idden="1">
      <c r="A146" s="26"/>
      <c r="B146" s="53" t="s">
        <v>575</v>
      </c>
      <c r="C146" s="53" t="s">
        <v>1852</v>
      </c>
      <c r="D146" s="53" t="s">
        <v>1979</v>
      </c>
      <c r="E146" s="53" t="s">
        <v>1982</v>
      </c>
      <c r="F146" s="53" t="s">
        <v>1979</v>
      </c>
      <c r="G146" s="53" t="s">
        <v>1862</v>
      </c>
      <c r="H146" s="54">
        <v>2.0759867385E9</v>
      </c>
      <c r="I146" s="26" t="s">
        <v>1851</v>
      </c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idden="1">
      <c r="A147" s="26"/>
      <c r="B147" s="53" t="s">
        <v>575</v>
      </c>
      <c r="C147" s="53" t="s">
        <v>1852</v>
      </c>
      <c r="D147" s="53" t="s">
        <v>1979</v>
      </c>
      <c r="E147" s="53" t="s">
        <v>1983</v>
      </c>
      <c r="F147" s="53" t="s">
        <v>1979</v>
      </c>
      <c r="G147" s="53" t="s">
        <v>1984</v>
      </c>
      <c r="H147" s="54">
        <v>5.019261718E8</v>
      </c>
      <c r="I147" s="26" t="s">
        <v>1851</v>
      </c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idden="1">
      <c r="A148" s="26"/>
      <c r="B148" s="53" t="s">
        <v>575</v>
      </c>
      <c r="C148" s="53" t="s">
        <v>1852</v>
      </c>
      <c r="D148" s="53" t="s">
        <v>858</v>
      </c>
      <c r="E148" s="53" t="s">
        <v>1986</v>
      </c>
      <c r="F148" s="53" t="s">
        <v>858</v>
      </c>
      <c r="G148" s="53" t="s">
        <v>1854</v>
      </c>
      <c r="H148" s="54">
        <v>1.275582308E7</v>
      </c>
      <c r="I148" s="26" t="s">
        <v>1851</v>
      </c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idden="1">
      <c r="A149" s="26"/>
      <c r="B149" s="53" t="s">
        <v>575</v>
      </c>
      <c r="C149" s="53" t="s">
        <v>1852</v>
      </c>
      <c r="D149" s="53" t="s">
        <v>858</v>
      </c>
      <c r="E149" s="53" t="s">
        <v>5259</v>
      </c>
      <c r="F149" s="53" t="s">
        <v>858</v>
      </c>
      <c r="G149" s="53" t="s">
        <v>1859</v>
      </c>
      <c r="H149" s="54">
        <v>0.0</v>
      </c>
      <c r="I149" s="26" t="s">
        <v>1851</v>
      </c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idden="1">
      <c r="A150" s="26"/>
      <c r="B150" s="53" t="s">
        <v>575</v>
      </c>
      <c r="C150" s="53" t="s">
        <v>1852</v>
      </c>
      <c r="D150" s="53" t="s">
        <v>862</v>
      </c>
      <c r="E150" s="53" t="s">
        <v>1987</v>
      </c>
      <c r="F150" s="53" t="s">
        <v>862</v>
      </c>
      <c r="G150" s="53" t="s">
        <v>1854</v>
      </c>
      <c r="H150" s="54">
        <v>1.4390854933E8</v>
      </c>
      <c r="I150" s="26" t="s">
        <v>1851</v>
      </c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idden="1">
      <c r="A151" s="26"/>
      <c r="B151" s="53" t="s">
        <v>575</v>
      </c>
      <c r="C151" s="53" t="s">
        <v>1852</v>
      </c>
      <c r="D151" s="53" t="s">
        <v>862</v>
      </c>
      <c r="E151" s="53" t="s">
        <v>1988</v>
      </c>
      <c r="F151" s="53" t="s">
        <v>862</v>
      </c>
      <c r="G151" s="53" t="s">
        <v>1859</v>
      </c>
      <c r="H151" s="54">
        <v>7.891615608E7</v>
      </c>
      <c r="I151" s="26" t="s">
        <v>1851</v>
      </c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idden="1">
      <c r="A152" s="26"/>
      <c r="B152" s="53" t="s">
        <v>575</v>
      </c>
      <c r="C152" s="53" t="s">
        <v>1852</v>
      </c>
      <c r="D152" s="53" t="s">
        <v>862</v>
      </c>
      <c r="E152" s="53" t="s">
        <v>1989</v>
      </c>
      <c r="F152" s="53" t="s">
        <v>862</v>
      </c>
      <c r="G152" s="53" t="s">
        <v>1862</v>
      </c>
      <c r="H152" s="54">
        <v>1.09876005E7</v>
      </c>
      <c r="I152" s="26" t="s">
        <v>1851</v>
      </c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idden="1">
      <c r="A153" s="26"/>
      <c r="B153" s="53" t="s">
        <v>575</v>
      </c>
      <c r="C153" s="53" t="s">
        <v>1852</v>
      </c>
      <c r="D153" s="53" t="s">
        <v>730</v>
      </c>
      <c r="E153" s="53" t="s">
        <v>1990</v>
      </c>
      <c r="F153" s="53" t="s">
        <v>730</v>
      </c>
      <c r="G153" s="53" t="s">
        <v>1854</v>
      </c>
      <c r="H153" s="54">
        <v>5.207649146E7</v>
      </c>
      <c r="I153" s="26" t="s">
        <v>1851</v>
      </c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idden="1">
      <c r="A154" s="26"/>
      <c r="B154" s="53" t="s">
        <v>575</v>
      </c>
      <c r="C154" s="53" t="s">
        <v>1852</v>
      </c>
      <c r="D154" s="53" t="s">
        <v>713</v>
      </c>
      <c r="E154" s="53" t="s">
        <v>1991</v>
      </c>
      <c r="F154" s="53" t="s">
        <v>713</v>
      </c>
      <c r="G154" s="53" t="s">
        <v>1854</v>
      </c>
      <c r="H154" s="54">
        <v>5.595683821E7</v>
      </c>
      <c r="I154" s="26" t="s">
        <v>1851</v>
      </c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idden="1">
      <c r="A155" s="26"/>
      <c r="B155" s="53" t="s">
        <v>575</v>
      </c>
      <c r="C155" s="53" t="s">
        <v>1852</v>
      </c>
      <c r="D155" s="53" t="s">
        <v>713</v>
      </c>
      <c r="E155" s="53" t="s">
        <v>1992</v>
      </c>
      <c r="F155" s="53" t="s">
        <v>713</v>
      </c>
      <c r="G155" s="53" t="s">
        <v>1859</v>
      </c>
      <c r="H155" s="54">
        <v>1.826980112E7</v>
      </c>
      <c r="I155" s="26" t="s">
        <v>1851</v>
      </c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idden="1">
      <c r="A156" s="26"/>
      <c r="B156" s="53" t="s">
        <v>575</v>
      </c>
      <c r="C156" s="53" t="s">
        <v>1852</v>
      </c>
      <c r="D156" s="53" t="s">
        <v>715</v>
      </c>
      <c r="E156" s="53" t="s">
        <v>5260</v>
      </c>
      <c r="F156" s="53" t="s">
        <v>715</v>
      </c>
      <c r="G156" s="53" t="s">
        <v>1854</v>
      </c>
      <c r="H156" s="54">
        <v>0.0</v>
      </c>
      <c r="I156" s="26" t="s">
        <v>1851</v>
      </c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idden="1">
      <c r="A157" s="26"/>
      <c r="B157" s="53" t="s">
        <v>575</v>
      </c>
      <c r="C157" s="53" t="s">
        <v>1852</v>
      </c>
      <c r="D157" s="53" t="s">
        <v>715</v>
      </c>
      <c r="E157" s="53" t="s">
        <v>5261</v>
      </c>
      <c r="F157" s="53" t="s">
        <v>715</v>
      </c>
      <c r="G157" s="53" t="s">
        <v>1859</v>
      </c>
      <c r="H157" s="54">
        <v>0.0</v>
      </c>
      <c r="I157" s="26" t="s">
        <v>1851</v>
      </c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idden="1">
      <c r="A158" s="26"/>
      <c r="B158" s="53" t="s">
        <v>575</v>
      </c>
      <c r="C158" s="53" t="s">
        <v>1852</v>
      </c>
      <c r="D158" s="53" t="s">
        <v>833</v>
      </c>
      <c r="E158" s="53" t="s">
        <v>1993</v>
      </c>
      <c r="F158" s="53" t="s">
        <v>833</v>
      </c>
      <c r="G158" s="53" t="s">
        <v>1854</v>
      </c>
      <c r="H158" s="54">
        <v>7.112775525E7</v>
      </c>
      <c r="I158" s="26" t="s">
        <v>1851</v>
      </c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idden="1">
      <c r="A159" s="26"/>
      <c r="B159" s="53" t="s">
        <v>575</v>
      </c>
      <c r="C159" s="53" t="s">
        <v>1852</v>
      </c>
      <c r="D159" s="53" t="s">
        <v>833</v>
      </c>
      <c r="E159" s="53" t="s">
        <v>1994</v>
      </c>
      <c r="F159" s="53" t="s">
        <v>833</v>
      </c>
      <c r="G159" s="53" t="s">
        <v>1859</v>
      </c>
      <c r="H159" s="54">
        <v>3.421120248E7</v>
      </c>
      <c r="I159" s="26" t="s">
        <v>1851</v>
      </c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idden="1">
      <c r="A160" s="26"/>
      <c r="B160" s="53" t="s">
        <v>575</v>
      </c>
      <c r="C160" s="53" t="s">
        <v>1852</v>
      </c>
      <c r="D160" s="53" t="s">
        <v>866</v>
      </c>
      <c r="E160" s="53" t="s">
        <v>1995</v>
      </c>
      <c r="F160" s="53" t="s">
        <v>866</v>
      </c>
      <c r="G160" s="53" t="s">
        <v>1854</v>
      </c>
      <c r="H160" s="54">
        <v>1.7101552644E8</v>
      </c>
      <c r="I160" s="26" t="s">
        <v>1851</v>
      </c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idden="1">
      <c r="A161" s="26"/>
      <c r="B161" s="53" t="s">
        <v>575</v>
      </c>
      <c r="C161" s="53" t="s">
        <v>1852</v>
      </c>
      <c r="D161" s="53" t="s">
        <v>866</v>
      </c>
      <c r="E161" s="53" t="s">
        <v>1996</v>
      </c>
      <c r="F161" s="53" t="s">
        <v>866</v>
      </c>
      <c r="G161" s="53" t="s">
        <v>1859</v>
      </c>
      <c r="H161" s="54">
        <v>5.07002938E7</v>
      </c>
      <c r="I161" s="26" t="s">
        <v>1851</v>
      </c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idden="1">
      <c r="A162" s="26"/>
      <c r="B162" s="53" t="s">
        <v>575</v>
      </c>
      <c r="C162" s="53" t="s">
        <v>1852</v>
      </c>
      <c r="D162" s="53" t="s">
        <v>866</v>
      </c>
      <c r="E162" s="53" t="s">
        <v>1997</v>
      </c>
      <c r="F162" s="53" t="s">
        <v>866</v>
      </c>
      <c r="G162" s="53" t="s">
        <v>1862</v>
      </c>
      <c r="H162" s="54">
        <v>7319412.9</v>
      </c>
      <c r="I162" s="26" t="s">
        <v>1851</v>
      </c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idden="1">
      <c r="A163" s="26"/>
      <c r="B163" s="53" t="s">
        <v>575</v>
      </c>
      <c r="C163" s="53" t="s">
        <v>1852</v>
      </c>
      <c r="D163" s="53" t="s">
        <v>701</v>
      </c>
      <c r="E163" s="53" t="s">
        <v>1998</v>
      </c>
      <c r="F163" s="53" t="s">
        <v>701</v>
      </c>
      <c r="G163" s="53" t="s">
        <v>1854</v>
      </c>
      <c r="H163" s="54">
        <v>9.9138409552E8</v>
      </c>
      <c r="I163" s="26" t="s">
        <v>1851</v>
      </c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idden="1">
      <c r="A164" s="26"/>
      <c r="B164" s="53" t="s">
        <v>575</v>
      </c>
      <c r="C164" s="53" t="s">
        <v>1852</v>
      </c>
      <c r="D164" s="53" t="s">
        <v>701</v>
      </c>
      <c r="E164" s="53" t="s">
        <v>1999</v>
      </c>
      <c r="F164" s="53" t="s">
        <v>701</v>
      </c>
      <c r="G164" s="53" t="s">
        <v>1859</v>
      </c>
      <c r="H164" s="54">
        <v>3.198580716E8</v>
      </c>
      <c r="I164" s="26" t="s">
        <v>1851</v>
      </c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idden="1">
      <c r="A165" s="26"/>
      <c r="B165" s="53" t="s">
        <v>575</v>
      </c>
      <c r="C165" s="53" t="s">
        <v>1852</v>
      </c>
      <c r="D165" s="53" t="s">
        <v>701</v>
      </c>
      <c r="E165" s="53" t="s">
        <v>2000</v>
      </c>
      <c r="F165" s="53" t="s">
        <v>701</v>
      </c>
      <c r="G165" s="53" t="s">
        <v>1862</v>
      </c>
      <c r="H165" s="54">
        <v>1.593575547E8</v>
      </c>
      <c r="I165" s="26" t="s">
        <v>1851</v>
      </c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idden="1">
      <c r="A166" s="26"/>
      <c r="B166" s="53" t="s">
        <v>575</v>
      </c>
      <c r="C166" s="53" t="s">
        <v>1852</v>
      </c>
      <c r="D166" s="53" t="s">
        <v>701</v>
      </c>
      <c r="E166" s="53" t="s">
        <v>2001</v>
      </c>
      <c r="F166" s="53" t="s">
        <v>701</v>
      </c>
      <c r="G166" s="53" t="s">
        <v>1886</v>
      </c>
      <c r="H166" s="54">
        <v>9.5259387545E8</v>
      </c>
      <c r="I166" s="26" t="s">
        <v>1851</v>
      </c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idden="1">
      <c r="A167" s="26"/>
      <c r="B167" s="53" t="s">
        <v>575</v>
      </c>
      <c r="C167" s="53" t="s">
        <v>1852</v>
      </c>
      <c r="D167" s="53" t="s">
        <v>868</v>
      </c>
      <c r="E167" s="53" t="s">
        <v>2002</v>
      </c>
      <c r="F167" s="53" t="s">
        <v>868</v>
      </c>
      <c r="G167" s="53" t="s">
        <v>1854</v>
      </c>
      <c r="H167" s="54">
        <v>9.121334859E7</v>
      </c>
      <c r="I167" s="26" t="s">
        <v>1851</v>
      </c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idden="1">
      <c r="A168" s="26"/>
      <c r="B168" s="53" t="s">
        <v>575</v>
      </c>
      <c r="C168" s="53" t="s">
        <v>1852</v>
      </c>
      <c r="D168" s="53" t="s">
        <v>868</v>
      </c>
      <c r="E168" s="53" t="s">
        <v>2003</v>
      </c>
      <c r="F168" s="53" t="s">
        <v>868</v>
      </c>
      <c r="G168" s="53" t="s">
        <v>1859</v>
      </c>
      <c r="H168" s="54">
        <v>3.519697288E7</v>
      </c>
      <c r="I168" s="26" t="s">
        <v>1851</v>
      </c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idden="1">
      <c r="A169" s="26"/>
      <c r="B169" s="53" t="s">
        <v>575</v>
      </c>
      <c r="C169" s="53" t="s">
        <v>1852</v>
      </c>
      <c r="D169" s="53" t="s">
        <v>868</v>
      </c>
      <c r="E169" s="53" t="s">
        <v>5262</v>
      </c>
      <c r="F169" s="53" t="s">
        <v>868</v>
      </c>
      <c r="G169" s="53" t="s">
        <v>1862</v>
      </c>
      <c r="H169" s="54">
        <v>0.0</v>
      </c>
      <c r="I169" s="26" t="s">
        <v>1851</v>
      </c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idden="1">
      <c r="A170" s="26"/>
      <c r="B170" s="53" t="s">
        <v>575</v>
      </c>
      <c r="C170" s="53" t="s">
        <v>1852</v>
      </c>
      <c r="D170" s="53" t="s">
        <v>870</v>
      </c>
      <c r="E170" s="53" t="s">
        <v>2004</v>
      </c>
      <c r="F170" s="53" t="s">
        <v>870</v>
      </c>
      <c r="G170" s="53" t="s">
        <v>1854</v>
      </c>
      <c r="H170" s="54">
        <v>1.2226854542E8</v>
      </c>
      <c r="I170" s="26" t="s">
        <v>1851</v>
      </c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idden="1">
      <c r="A171" s="26"/>
      <c r="B171" s="53" t="s">
        <v>575</v>
      </c>
      <c r="C171" s="53" t="s">
        <v>1852</v>
      </c>
      <c r="D171" s="53" t="s">
        <v>870</v>
      </c>
      <c r="E171" s="53" t="s">
        <v>2005</v>
      </c>
      <c r="F171" s="53" t="s">
        <v>870</v>
      </c>
      <c r="G171" s="53" t="s">
        <v>1859</v>
      </c>
      <c r="H171" s="54">
        <v>3.470514606E7</v>
      </c>
      <c r="I171" s="26" t="s">
        <v>1851</v>
      </c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idden="1">
      <c r="A172" s="26"/>
      <c r="B172" s="53" t="s">
        <v>575</v>
      </c>
      <c r="C172" s="53" t="s">
        <v>1852</v>
      </c>
      <c r="D172" s="53" t="s">
        <v>1038</v>
      </c>
      <c r="E172" s="53" t="s">
        <v>5263</v>
      </c>
      <c r="F172" s="53" t="s">
        <v>1038</v>
      </c>
      <c r="G172" s="53" t="s">
        <v>1854</v>
      </c>
      <c r="H172" s="54">
        <v>0.0</v>
      </c>
      <c r="I172" s="26" t="s">
        <v>1851</v>
      </c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idden="1">
      <c r="A173" s="26"/>
      <c r="B173" s="53" t="s">
        <v>575</v>
      </c>
      <c r="C173" s="53" t="s">
        <v>1852</v>
      </c>
      <c r="D173" s="53" t="s">
        <v>1265</v>
      </c>
      <c r="E173" s="53" t="s">
        <v>2006</v>
      </c>
      <c r="F173" s="53" t="s">
        <v>1265</v>
      </c>
      <c r="G173" s="53" t="s">
        <v>1854</v>
      </c>
      <c r="H173" s="54">
        <v>1.68759773E7</v>
      </c>
      <c r="I173" s="26" t="s">
        <v>1851</v>
      </c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idden="1">
      <c r="A174" s="26"/>
      <c r="B174" s="53" t="s">
        <v>575</v>
      </c>
      <c r="C174" s="53" t="s">
        <v>1852</v>
      </c>
      <c r="D174" s="53" t="s">
        <v>1265</v>
      </c>
      <c r="E174" s="53" t="s">
        <v>5264</v>
      </c>
      <c r="F174" s="53" t="s">
        <v>1265</v>
      </c>
      <c r="G174" s="53" t="s">
        <v>1859</v>
      </c>
      <c r="H174" s="54">
        <v>0.0</v>
      </c>
      <c r="I174" s="26" t="s">
        <v>1851</v>
      </c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idden="1">
      <c r="A175" s="26"/>
      <c r="B175" s="53" t="s">
        <v>575</v>
      </c>
      <c r="C175" s="53" t="s">
        <v>1852</v>
      </c>
      <c r="D175" s="53" t="s">
        <v>1040</v>
      </c>
      <c r="E175" s="53" t="s">
        <v>2007</v>
      </c>
      <c r="F175" s="53" t="s">
        <v>1040</v>
      </c>
      <c r="G175" s="53" t="s">
        <v>1854</v>
      </c>
      <c r="H175" s="54">
        <v>3.2305154973E8</v>
      </c>
      <c r="I175" s="26" t="s">
        <v>1851</v>
      </c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idden="1">
      <c r="A176" s="26"/>
      <c r="B176" s="53" t="s">
        <v>575</v>
      </c>
      <c r="C176" s="53" t="s">
        <v>1852</v>
      </c>
      <c r="D176" s="53" t="s">
        <v>1040</v>
      </c>
      <c r="E176" s="53" t="s">
        <v>2008</v>
      </c>
      <c r="F176" s="53" t="s">
        <v>1040</v>
      </c>
      <c r="G176" s="53" t="s">
        <v>1859</v>
      </c>
      <c r="H176" s="54">
        <v>9.21174136E7</v>
      </c>
      <c r="I176" s="26" t="s">
        <v>1851</v>
      </c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idden="1">
      <c r="A177" s="26"/>
      <c r="B177" s="53" t="s">
        <v>575</v>
      </c>
      <c r="C177" s="53" t="s">
        <v>1852</v>
      </c>
      <c r="D177" s="53" t="s">
        <v>1040</v>
      </c>
      <c r="E177" s="53" t="s">
        <v>2009</v>
      </c>
      <c r="F177" s="53" t="s">
        <v>1040</v>
      </c>
      <c r="G177" s="53" t="s">
        <v>1862</v>
      </c>
      <c r="H177" s="54">
        <v>3.40803646E7</v>
      </c>
      <c r="I177" s="26" t="s">
        <v>1851</v>
      </c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idden="1">
      <c r="A178" s="26"/>
      <c r="B178" s="53" t="s">
        <v>575</v>
      </c>
      <c r="C178" s="53" t="s">
        <v>1852</v>
      </c>
      <c r="D178" s="53" t="s">
        <v>1040</v>
      </c>
      <c r="E178" s="53" t="s">
        <v>2010</v>
      </c>
      <c r="F178" s="53" t="s">
        <v>1040</v>
      </c>
      <c r="G178" s="53" t="s">
        <v>1886</v>
      </c>
      <c r="H178" s="54">
        <v>8.573732835E7</v>
      </c>
      <c r="I178" s="26" t="s">
        <v>1851</v>
      </c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idden="1">
      <c r="A179" s="26"/>
      <c r="B179" s="53" t="s">
        <v>575</v>
      </c>
      <c r="C179" s="53" t="s">
        <v>1852</v>
      </c>
      <c r="D179" s="53" t="s">
        <v>732</v>
      </c>
      <c r="E179" s="53" t="s">
        <v>2011</v>
      </c>
      <c r="F179" s="53" t="s">
        <v>732</v>
      </c>
      <c r="G179" s="53" t="s">
        <v>1854</v>
      </c>
      <c r="H179" s="54">
        <v>1.761338761E7</v>
      </c>
      <c r="I179" s="26" t="s">
        <v>1851</v>
      </c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idden="1">
      <c r="A180" s="26"/>
      <c r="B180" s="53" t="s">
        <v>575</v>
      </c>
      <c r="C180" s="53" t="s">
        <v>1852</v>
      </c>
      <c r="D180" s="53" t="s">
        <v>732</v>
      </c>
      <c r="E180" s="53" t="s">
        <v>2012</v>
      </c>
      <c r="F180" s="53" t="s">
        <v>732</v>
      </c>
      <c r="G180" s="53" t="s">
        <v>1859</v>
      </c>
      <c r="H180" s="54">
        <v>8191544.4</v>
      </c>
      <c r="I180" s="26" t="s">
        <v>1851</v>
      </c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idden="1">
      <c r="A181" s="26"/>
      <c r="B181" s="53" t="s">
        <v>575</v>
      </c>
      <c r="C181" s="53" t="s">
        <v>1852</v>
      </c>
      <c r="D181" s="53" t="s">
        <v>732</v>
      </c>
      <c r="E181" s="53" t="s">
        <v>5265</v>
      </c>
      <c r="F181" s="53" t="s">
        <v>732</v>
      </c>
      <c r="G181" s="53" t="s">
        <v>1862</v>
      </c>
      <c r="H181" s="54">
        <v>0.0</v>
      </c>
      <c r="I181" s="26" t="s">
        <v>1851</v>
      </c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idden="1">
      <c r="A182" s="26"/>
      <c r="B182" s="53" t="s">
        <v>575</v>
      </c>
      <c r="C182" s="53" t="s">
        <v>1852</v>
      </c>
      <c r="D182" s="53" t="s">
        <v>983</v>
      </c>
      <c r="E182" s="53" t="s">
        <v>2013</v>
      </c>
      <c r="F182" s="53" t="s">
        <v>983</v>
      </c>
      <c r="G182" s="53" t="s">
        <v>1854</v>
      </c>
      <c r="H182" s="54">
        <v>1.1799280948E8</v>
      </c>
      <c r="I182" s="26" t="s">
        <v>1851</v>
      </c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idden="1">
      <c r="A183" s="26"/>
      <c r="B183" s="53" t="s">
        <v>575</v>
      </c>
      <c r="C183" s="53" t="s">
        <v>1852</v>
      </c>
      <c r="D183" s="53" t="s">
        <v>983</v>
      </c>
      <c r="E183" s="53" t="s">
        <v>2014</v>
      </c>
      <c r="F183" s="53" t="s">
        <v>983</v>
      </c>
      <c r="G183" s="53" t="s">
        <v>1859</v>
      </c>
      <c r="H183" s="54">
        <v>2.006739104E7</v>
      </c>
      <c r="I183" s="26" t="s">
        <v>1851</v>
      </c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idden="1">
      <c r="A184" s="26"/>
      <c r="B184" s="53" t="s">
        <v>575</v>
      </c>
      <c r="C184" s="53" t="s">
        <v>1852</v>
      </c>
      <c r="D184" s="53" t="s">
        <v>734</v>
      </c>
      <c r="E184" s="53" t="s">
        <v>2015</v>
      </c>
      <c r="F184" s="53" t="s">
        <v>734</v>
      </c>
      <c r="G184" s="53" t="s">
        <v>1854</v>
      </c>
      <c r="H184" s="54">
        <v>3.840698182E7</v>
      </c>
      <c r="I184" s="26" t="s">
        <v>1851</v>
      </c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idden="1">
      <c r="A185" s="26"/>
      <c r="B185" s="53" t="s">
        <v>575</v>
      </c>
      <c r="C185" s="53" t="s">
        <v>1852</v>
      </c>
      <c r="D185" s="53" t="s">
        <v>734</v>
      </c>
      <c r="E185" s="53" t="s">
        <v>2016</v>
      </c>
      <c r="F185" s="53" t="s">
        <v>734</v>
      </c>
      <c r="G185" s="53" t="s">
        <v>1859</v>
      </c>
      <c r="H185" s="54">
        <v>4487147.2</v>
      </c>
      <c r="I185" s="26" t="s">
        <v>1851</v>
      </c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idden="1">
      <c r="A186" s="26"/>
      <c r="B186" s="53" t="s">
        <v>575</v>
      </c>
      <c r="C186" s="53" t="s">
        <v>1852</v>
      </c>
      <c r="D186" s="53" t="s">
        <v>874</v>
      </c>
      <c r="E186" s="53" t="s">
        <v>2017</v>
      </c>
      <c r="F186" s="53" t="s">
        <v>874</v>
      </c>
      <c r="G186" s="53" t="s">
        <v>1854</v>
      </c>
      <c r="H186" s="54">
        <v>5.842936645E7</v>
      </c>
      <c r="I186" s="26" t="s">
        <v>1851</v>
      </c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idden="1">
      <c r="A187" s="26"/>
      <c r="B187" s="53" t="s">
        <v>575</v>
      </c>
      <c r="C187" s="53" t="s">
        <v>1852</v>
      </c>
      <c r="D187" s="53" t="s">
        <v>874</v>
      </c>
      <c r="E187" s="53" t="s">
        <v>2018</v>
      </c>
      <c r="F187" s="53" t="s">
        <v>874</v>
      </c>
      <c r="G187" s="53" t="s">
        <v>1859</v>
      </c>
      <c r="H187" s="54">
        <v>1.906371768E7</v>
      </c>
      <c r="I187" s="26" t="s">
        <v>1851</v>
      </c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idden="1">
      <c r="A188" s="26"/>
      <c r="B188" s="53" t="s">
        <v>575</v>
      </c>
      <c r="C188" s="53" t="s">
        <v>1852</v>
      </c>
      <c r="D188" s="53" t="s">
        <v>874</v>
      </c>
      <c r="E188" s="53" t="s">
        <v>5266</v>
      </c>
      <c r="F188" s="53" t="s">
        <v>874</v>
      </c>
      <c r="G188" s="53" t="s">
        <v>1862</v>
      </c>
      <c r="H188" s="54">
        <v>0.0</v>
      </c>
      <c r="I188" s="26" t="s">
        <v>1851</v>
      </c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idden="1">
      <c r="A189" s="26"/>
      <c r="B189" s="53" t="s">
        <v>575</v>
      </c>
      <c r="C189" s="53" t="s">
        <v>1852</v>
      </c>
      <c r="D189" s="53" t="s">
        <v>1220</v>
      </c>
      <c r="E189" s="53" t="s">
        <v>5267</v>
      </c>
      <c r="F189" s="53" t="s">
        <v>739</v>
      </c>
      <c r="G189" s="53" t="s">
        <v>1854</v>
      </c>
      <c r="H189" s="54">
        <v>0.0</v>
      </c>
      <c r="I189" s="26" t="s">
        <v>1851</v>
      </c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idden="1">
      <c r="A190" s="26"/>
      <c r="B190" s="53" t="s">
        <v>575</v>
      </c>
      <c r="C190" s="53" t="s">
        <v>1852</v>
      </c>
      <c r="D190" s="53" t="s">
        <v>1220</v>
      </c>
      <c r="E190" s="53" t="s">
        <v>5268</v>
      </c>
      <c r="F190" s="53" t="s">
        <v>739</v>
      </c>
      <c r="G190" s="53" t="s">
        <v>1859</v>
      </c>
      <c r="H190" s="54">
        <v>0.0</v>
      </c>
      <c r="I190" s="26" t="s">
        <v>1851</v>
      </c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idden="1">
      <c r="A191" s="26"/>
      <c r="B191" s="53" t="s">
        <v>575</v>
      </c>
      <c r="C191" s="53" t="s">
        <v>1852</v>
      </c>
      <c r="D191" s="53" t="s">
        <v>880</v>
      </c>
      <c r="E191" s="53" t="s">
        <v>2019</v>
      </c>
      <c r="F191" s="53" t="s">
        <v>880</v>
      </c>
      <c r="G191" s="53" t="s">
        <v>1854</v>
      </c>
      <c r="H191" s="54">
        <v>2.1661562197E8</v>
      </c>
      <c r="I191" s="26" t="s">
        <v>1851</v>
      </c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idden="1">
      <c r="A192" s="26"/>
      <c r="B192" s="53" t="s">
        <v>575</v>
      </c>
      <c r="C192" s="53" t="s">
        <v>1852</v>
      </c>
      <c r="D192" s="53" t="s">
        <v>880</v>
      </c>
      <c r="E192" s="53" t="s">
        <v>2020</v>
      </c>
      <c r="F192" s="53" t="s">
        <v>880</v>
      </c>
      <c r="G192" s="53" t="s">
        <v>1859</v>
      </c>
      <c r="H192" s="54">
        <v>5.33251173E7</v>
      </c>
      <c r="I192" s="26" t="s">
        <v>1851</v>
      </c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idden="1">
      <c r="A193" s="26"/>
      <c r="B193" s="53" t="s">
        <v>575</v>
      </c>
      <c r="C193" s="53" t="s">
        <v>1852</v>
      </c>
      <c r="D193" s="53" t="s">
        <v>880</v>
      </c>
      <c r="E193" s="53" t="s">
        <v>2021</v>
      </c>
      <c r="F193" s="53" t="s">
        <v>880</v>
      </c>
      <c r="G193" s="53" t="s">
        <v>1862</v>
      </c>
      <c r="H193" s="54">
        <v>4.365018885E7</v>
      </c>
      <c r="I193" s="26" t="s">
        <v>1851</v>
      </c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idden="1">
      <c r="A194" s="26"/>
      <c r="B194" s="53" t="s">
        <v>575</v>
      </c>
      <c r="C194" s="53" t="s">
        <v>1852</v>
      </c>
      <c r="D194" s="53" t="s">
        <v>880</v>
      </c>
      <c r="E194" s="53" t="s">
        <v>2022</v>
      </c>
      <c r="F194" s="53" t="s">
        <v>880</v>
      </c>
      <c r="G194" s="53" t="s">
        <v>1886</v>
      </c>
      <c r="H194" s="54">
        <v>3.091843846E7</v>
      </c>
      <c r="I194" s="26" t="s">
        <v>1851</v>
      </c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idden="1">
      <c r="A195" s="26"/>
      <c r="B195" s="53" t="s">
        <v>575</v>
      </c>
      <c r="C195" s="53" t="s">
        <v>1852</v>
      </c>
      <c r="D195" s="53" t="s">
        <v>884</v>
      </c>
      <c r="E195" s="53" t="s">
        <v>2023</v>
      </c>
      <c r="F195" s="53" t="s">
        <v>884</v>
      </c>
      <c r="G195" s="53" t="s">
        <v>1854</v>
      </c>
      <c r="H195" s="54">
        <v>4401224.1</v>
      </c>
      <c r="I195" s="26" t="s">
        <v>1851</v>
      </c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idden="1">
      <c r="A196" s="26"/>
      <c r="B196" s="53" t="s">
        <v>575</v>
      </c>
      <c r="C196" s="53" t="s">
        <v>1852</v>
      </c>
      <c r="D196" s="53" t="s">
        <v>884</v>
      </c>
      <c r="E196" s="53" t="s">
        <v>5269</v>
      </c>
      <c r="F196" s="53" t="s">
        <v>884</v>
      </c>
      <c r="G196" s="53" t="s">
        <v>1859</v>
      </c>
      <c r="H196" s="54">
        <v>0.0</v>
      </c>
      <c r="I196" s="26" t="s">
        <v>1851</v>
      </c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idden="1">
      <c r="A197" s="26"/>
      <c r="B197" s="53" t="s">
        <v>575</v>
      </c>
      <c r="C197" s="53" t="s">
        <v>1852</v>
      </c>
      <c r="D197" s="53" t="s">
        <v>884</v>
      </c>
      <c r="E197" s="53" t="s">
        <v>5270</v>
      </c>
      <c r="F197" s="53" t="s">
        <v>884</v>
      </c>
      <c r="G197" s="53" t="s">
        <v>1862</v>
      </c>
      <c r="H197" s="54">
        <v>0.0</v>
      </c>
      <c r="I197" s="26" t="s">
        <v>1851</v>
      </c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idden="1">
      <c r="A198" s="26"/>
      <c r="B198" s="53" t="s">
        <v>575</v>
      </c>
      <c r="C198" s="53" t="s">
        <v>1852</v>
      </c>
      <c r="D198" s="53" t="s">
        <v>886</v>
      </c>
      <c r="E198" s="53" t="s">
        <v>2024</v>
      </c>
      <c r="F198" s="53" t="s">
        <v>886</v>
      </c>
      <c r="G198" s="53" t="s">
        <v>1854</v>
      </c>
      <c r="H198" s="54">
        <v>3.9279131619E8</v>
      </c>
      <c r="I198" s="26" t="s">
        <v>1851</v>
      </c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idden="1">
      <c r="A199" s="26"/>
      <c r="B199" s="53" t="s">
        <v>575</v>
      </c>
      <c r="C199" s="53" t="s">
        <v>1852</v>
      </c>
      <c r="D199" s="53" t="s">
        <v>886</v>
      </c>
      <c r="E199" s="53" t="s">
        <v>2025</v>
      </c>
      <c r="F199" s="53" t="s">
        <v>886</v>
      </c>
      <c r="G199" s="53" t="s">
        <v>1859</v>
      </c>
      <c r="H199" s="54">
        <v>1.2054193248E8</v>
      </c>
      <c r="I199" s="26" t="s">
        <v>1851</v>
      </c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idden="1">
      <c r="A200" s="26"/>
      <c r="B200" s="53" t="s">
        <v>575</v>
      </c>
      <c r="C200" s="53" t="s">
        <v>1852</v>
      </c>
      <c r="D200" s="53" t="s">
        <v>886</v>
      </c>
      <c r="E200" s="53" t="s">
        <v>2026</v>
      </c>
      <c r="F200" s="53" t="s">
        <v>886</v>
      </c>
      <c r="G200" s="53" t="s">
        <v>1862</v>
      </c>
      <c r="H200" s="54">
        <v>4.26534147E7</v>
      </c>
      <c r="I200" s="26" t="s">
        <v>1851</v>
      </c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idden="1">
      <c r="A201" s="26"/>
      <c r="B201" s="53" t="s">
        <v>575</v>
      </c>
      <c r="C201" s="53" t="s">
        <v>1852</v>
      </c>
      <c r="D201" s="53" t="s">
        <v>888</v>
      </c>
      <c r="E201" s="53" t="s">
        <v>2027</v>
      </c>
      <c r="F201" s="53" t="s">
        <v>888</v>
      </c>
      <c r="G201" s="53" t="s">
        <v>1854</v>
      </c>
      <c r="H201" s="54">
        <v>2.06061856E7</v>
      </c>
      <c r="I201" s="26" t="s">
        <v>1851</v>
      </c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idden="1">
      <c r="A202" s="26"/>
      <c r="B202" s="53" t="s">
        <v>575</v>
      </c>
      <c r="C202" s="53" t="s">
        <v>1852</v>
      </c>
      <c r="D202" s="53" t="s">
        <v>888</v>
      </c>
      <c r="E202" s="53" t="s">
        <v>2028</v>
      </c>
      <c r="F202" s="53" t="s">
        <v>888</v>
      </c>
      <c r="G202" s="53" t="s">
        <v>1859</v>
      </c>
      <c r="H202" s="54">
        <v>9575042.4</v>
      </c>
      <c r="I202" s="26" t="s">
        <v>1851</v>
      </c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idden="1">
      <c r="A203" s="26"/>
      <c r="B203" s="53" t="s">
        <v>575</v>
      </c>
      <c r="C203" s="53" t="s">
        <v>1852</v>
      </c>
      <c r="D203" s="53" t="s">
        <v>838</v>
      </c>
      <c r="E203" s="53" t="s">
        <v>2029</v>
      </c>
      <c r="F203" s="53" t="s">
        <v>838</v>
      </c>
      <c r="G203" s="53" t="s">
        <v>1854</v>
      </c>
      <c r="H203" s="54">
        <v>4605280.68</v>
      </c>
      <c r="I203" s="26" t="s">
        <v>1851</v>
      </c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idden="1">
      <c r="A204" s="26"/>
      <c r="B204" s="53" t="s">
        <v>575</v>
      </c>
      <c r="C204" s="53" t="s">
        <v>1852</v>
      </c>
      <c r="D204" s="53" t="s">
        <v>838</v>
      </c>
      <c r="E204" s="53" t="s">
        <v>5271</v>
      </c>
      <c r="F204" s="53" t="s">
        <v>838</v>
      </c>
      <c r="G204" s="53" t="s">
        <v>1859</v>
      </c>
      <c r="H204" s="54">
        <v>0.0</v>
      </c>
      <c r="I204" s="26" t="s">
        <v>1851</v>
      </c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idden="1">
      <c r="A205" s="26"/>
      <c r="B205" s="53" t="s">
        <v>575</v>
      </c>
      <c r="C205" s="53" t="s">
        <v>1852</v>
      </c>
      <c r="D205" s="53" t="s">
        <v>894</v>
      </c>
      <c r="E205" s="53" t="s">
        <v>2030</v>
      </c>
      <c r="F205" s="53" t="s">
        <v>894</v>
      </c>
      <c r="G205" s="53" t="s">
        <v>1854</v>
      </c>
      <c r="H205" s="54">
        <v>7.528298505E7</v>
      </c>
      <c r="I205" s="26" t="s">
        <v>1851</v>
      </c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idden="1">
      <c r="A206" s="26"/>
      <c r="B206" s="53" t="s">
        <v>575</v>
      </c>
      <c r="C206" s="53" t="s">
        <v>1852</v>
      </c>
      <c r="D206" s="53" t="s">
        <v>894</v>
      </c>
      <c r="E206" s="53" t="s">
        <v>2031</v>
      </c>
      <c r="F206" s="53" t="s">
        <v>894</v>
      </c>
      <c r="G206" s="53" t="s">
        <v>1859</v>
      </c>
      <c r="H206" s="54">
        <v>3.773276776E7</v>
      </c>
      <c r="I206" s="26" t="s">
        <v>1851</v>
      </c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idden="1">
      <c r="A207" s="26"/>
      <c r="B207" s="53" t="s">
        <v>575</v>
      </c>
      <c r="C207" s="53" t="s">
        <v>1852</v>
      </c>
      <c r="D207" s="53" t="s">
        <v>894</v>
      </c>
      <c r="E207" s="53" t="s">
        <v>2032</v>
      </c>
      <c r="F207" s="53" t="s">
        <v>894</v>
      </c>
      <c r="G207" s="53" t="s">
        <v>1862</v>
      </c>
      <c r="H207" s="54">
        <v>2.272331061E7</v>
      </c>
      <c r="I207" s="26" t="s">
        <v>1851</v>
      </c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idden="1">
      <c r="A208" s="26"/>
      <c r="B208" s="53" t="s">
        <v>575</v>
      </c>
      <c r="C208" s="53" t="s">
        <v>1852</v>
      </c>
      <c r="D208" s="53" t="s">
        <v>898</v>
      </c>
      <c r="E208" s="53" t="s">
        <v>2033</v>
      </c>
      <c r="F208" s="53" t="s">
        <v>898</v>
      </c>
      <c r="G208" s="53" t="s">
        <v>1854</v>
      </c>
      <c r="H208" s="54">
        <v>2.90558441E7</v>
      </c>
      <c r="I208" s="26" t="s">
        <v>1851</v>
      </c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idden="1">
      <c r="A209" s="26"/>
      <c r="B209" s="53" t="s">
        <v>575</v>
      </c>
      <c r="C209" s="53" t="s">
        <v>1852</v>
      </c>
      <c r="D209" s="53" t="s">
        <v>898</v>
      </c>
      <c r="E209" s="53" t="s">
        <v>2034</v>
      </c>
      <c r="F209" s="53" t="s">
        <v>898</v>
      </c>
      <c r="G209" s="53" t="s">
        <v>1859</v>
      </c>
      <c r="H209" s="54">
        <v>7257415.6</v>
      </c>
      <c r="I209" s="26" t="s">
        <v>1851</v>
      </c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idden="1">
      <c r="A210" s="26"/>
      <c r="B210" s="53" t="s">
        <v>575</v>
      </c>
      <c r="C210" s="53" t="s">
        <v>1852</v>
      </c>
      <c r="D210" s="53" t="s">
        <v>900</v>
      </c>
      <c r="E210" s="53" t="s">
        <v>2035</v>
      </c>
      <c r="F210" s="53" t="s">
        <v>900</v>
      </c>
      <c r="G210" s="53" t="s">
        <v>1854</v>
      </c>
      <c r="H210" s="54">
        <v>4.730798345E7</v>
      </c>
      <c r="I210" s="26" t="s">
        <v>1851</v>
      </c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idden="1">
      <c r="A211" s="26"/>
      <c r="B211" s="53" t="s">
        <v>575</v>
      </c>
      <c r="C211" s="53" t="s">
        <v>1852</v>
      </c>
      <c r="D211" s="53" t="s">
        <v>900</v>
      </c>
      <c r="E211" s="53" t="s">
        <v>2036</v>
      </c>
      <c r="F211" s="53" t="s">
        <v>900</v>
      </c>
      <c r="G211" s="53" t="s">
        <v>1859</v>
      </c>
      <c r="H211" s="54">
        <v>1.4380178E7</v>
      </c>
      <c r="I211" s="26" t="s">
        <v>1851</v>
      </c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idden="1">
      <c r="A212" s="26"/>
      <c r="B212" s="53" t="s">
        <v>575</v>
      </c>
      <c r="C212" s="53" t="s">
        <v>1852</v>
      </c>
      <c r="D212" s="53" t="s">
        <v>902</v>
      </c>
      <c r="E212" s="53" t="s">
        <v>2037</v>
      </c>
      <c r="F212" s="53" t="s">
        <v>902</v>
      </c>
      <c r="G212" s="53" t="s">
        <v>1854</v>
      </c>
      <c r="H212" s="54">
        <v>6834704.24</v>
      </c>
      <c r="I212" s="26" t="s">
        <v>1851</v>
      </c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idden="1">
      <c r="A213" s="26"/>
      <c r="B213" s="53" t="s">
        <v>575</v>
      </c>
      <c r="C213" s="53" t="s">
        <v>1852</v>
      </c>
      <c r="D213" s="53" t="s">
        <v>902</v>
      </c>
      <c r="E213" s="53" t="s">
        <v>5272</v>
      </c>
      <c r="F213" s="53" t="s">
        <v>902</v>
      </c>
      <c r="G213" s="53" t="s">
        <v>1859</v>
      </c>
      <c r="H213" s="54">
        <v>0.0</v>
      </c>
      <c r="I213" s="26" t="s">
        <v>1851</v>
      </c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idden="1">
      <c r="A214" s="26"/>
      <c r="B214" s="53" t="s">
        <v>575</v>
      </c>
      <c r="C214" s="53" t="s">
        <v>1852</v>
      </c>
      <c r="D214" s="53" t="s">
        <v>906</v>
      </c>
      <c r="E214" s="53" t="s">
        <v>2038</v>
      </c>
      <c r="F214" s="53" t="s">
        <v>906</v>
      </c>
      <c r="G214" s="53" t="s">
        <v>1854</v>
      </c>
      <c r="H214" s="54">
        <v>3.1581812247E8</v>
      </c>
      <c r="I214" s="26" t="s">
        <v>1851</v>
      </c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idden="1">
      <c r="A215" s="26"/>
      <c r="B215" s="53" t="s">
        <v>575</v>
      </c>
      <c r="C215" s="53" t="s">
        <v>1852</v>
      </c>
      <c r="D215" s="53" t="s">
        <v>906</v>
      </c>
      <c r="E215" s="53" t="s">
        <v>2039</v>
      </c>
      <c r="F215" s="53" t="s">
        <v>906</v>
      </c>
      <c r="G215" s="53" t="s">
        <v>1859</v>
      </c>
      <c r="H215" s="54">
        <v>7.23585811E7</v>
      </c>
      <c r="I215" s="26" t="s">
        <v>1851</v>
      </c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idden="1">
      <c r="A216" s="26"/>
      <c r="B216" s="53" t="s">
        <v>575</v>
      </c>
      <c r="C216" s="53" t="s">
        <v>1852</v>
      </c>
      <c r="D216" s="53" t="s">
        <v>910</v>
      </c>
      <c r="E216" s="53" t="s">
        <v>2040</v>
      </c>
      <c r="F216" s="53" t="s">
        <v>910</v>
      </c>
      <c r="G216" s="53" t="s">
        <v>1854</v>
      </c>
      <c r="H216" s="54">
        <v>3.522761606E7</v>
      </c>
      <c r="I216" s="26" t="s">
        <v>1851</v>
      </c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idden="1">
      <c r="A217" s="26"/>
      <c r="B217" s="53" t="s">
        <v>575</v>
      </c>
      <c r="C217" s="53" t="s">
        <v>1852</v>
      </c>
      <c r="D217" s="53" t="s">
        <v>910</v>
      </c>
      <c r="E217" s="53" t="s">
        <v>2041</v>
      </c>
      <c r="F217" s="53" t="s">
        <v>910</v>
      </c>
      <c r="G217" s="53" t="s">
        <v>1859</v>
      </c>
      <c r="H217" s="54">
        <v>2864860.96</v>
      </c>
      <c r="I217" s="26" t="s">
        <v>1851</v>
      </c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idden="1">
      <c r="A218" s="26"/>
      <c r="B218" s="53" t="s">
        <v>575</v>
      </c>
      <c r="C218" s="53" t="s">
        <v>1852</v>
      </c>
      <c r="D218" s="53" t="s">
        <v>717</v>
      </c>
      <c r="E218" s="53" t="s">
        <v>2042</v>
      </c>
      <c r="F218" s="53" t="s">
        <v>717</v>
      </c>
      <c r="G218" s="53" t="s">
        <v>1854</v>
      </c>
      <c r="H218" s="54">
        <v>4.6819203691E8</v>
      </c>
      <c r="I218" s="26" t="s">
        <v>1851</v>
      </c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idden="1">
      <c r="A219" s="26"/>
      <c r="B219" s="53" t="s">
        <v>575</v>
      </c>
      <c r="C219" s="53" t="s">
        <v>1852</v>
      </c>
      <c r="D219" s="53" t="s">
        <v>717</v>
      </c>
      <c r="E219" s="53" t="s">
        <v>2043</v>
      </c>
      <c r="F219" s="53" t="s">
        <v>717</v>
      </c>
      <c r="G219" s="53" t="s">
        <v>1859</v>
      </c>
      <c r="H219" s="54">
        <v>1.9547264048E8</v>
      </c>
      <c r="I219" s="26" t="s">
        <v>1851</v>
      </c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idden="1">
      <c r="A220" s="26"/>
      <c r="B220" s="53" t="s">
        <v>575</v>
      </c>
      <c r="C220" s="53" t="s">
        <v>1852</v>
      </c>
      <c r="D220" s="53" t="s">
        <v>717</v>
      </c>
      <c r="E220" s="53" t="s">
        <v>2044</v>
      </c>
      <c r="F220" s="53" t="s">
        <v>717</v>
      </c>
      <c r="G220" s="53" t="s">
        <v>1862</v>
      </c>
      <c r="H220" s="54">
        <v>6.285691842E7</v>
      </c>
      <c r="I220" s="26" t="s">
        <v>1851</v>
      </c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idden="1">
      <c r="A221" s="26"/>
      <c r="B221" s="53" t="s">
        <v>575</v>
      </c>
      <c r="C221" s="53" t="s">
        <v>1852</v>
      </c>
      <c r="D221" s="53" t="s">
        <v>915</v>
      </c>
      <c r="E221" s="53" t="s">
        <v>2045</v>
      </c>
      <c r="F221" s="53" t="s">
        <v>915</v>
      </c>
      <c r="G221" s="53" t="s">
        <v>1854</v>
      </c>
      <c r="H221" s="54">
        <v>1.5596863671E8</v>
      </c>
      <c r="I221" s="26" t="s">
        <v>1851</v>
      </c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idden="1">
      <c r="A222" s="26"/>
      <c r="B222" s="53" t="s">
        <v>575</v>
      </c>
      <c r="C222" s="53" t="s">
        <v>1852</v>
      </c>
      <c r="D222" s="53" t="s">
        <v>915</v>
      </c>
      <c r="E222" s="53" t="s">
        <v>2046</v>
      </c>
      <c r="F222" s="53" t="s">
        <v>915</v>
      </c>
      <c r="G222" s="53" t="s">
        <v>1859</v>
      </c>
      <c r="H222" s="54">
        <v>8.062364206E7</v>
      </c>
      <c r="I222" s="26" t="s">
        <v>1851</v>
      </c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idden="1">
      <c r="A223" s="26"/>
      <c r="B223" s="53" t="s">
        <v>575</v>
      </c>
      <c r="C223" s="53" t="s">
        <v>1852</v>
      </c>
      <c r="D223" s="53" t="s">
        <v>919</v>
      </c>
      <c r="E223" s="53" t="s">
        <v>2047</v>
      </c>
      <c r="F223" s="53" t="s">
        <v>919</v>
      </c>
      <c r="G223" s="53" t="s">
        <v>1854</v>
      </c>
      <c r="H223" s="54">
        <v>3.144245377E7</v>
      </c>
      <c r="I223" s="26" t="s">
        <v>1851</v>
      </c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idden="1">
      <c r="A224" s="26"/>
      <c r="B224" s="53" t="s">
        <v>575</v>
      </c>
      <c r="C224" s="53" t="s">
        <v>1852</v>
      </c>
      <c r="D224" s="53" t="s">
        <v>919</v>
      </c>
      <c r="E224" s="53" t="s">
        <v>2048</v>
      </c>
      <c r="F224" s="53" t="s">
        <v>919</v>
      </c>
      <c r="G224" s="53" t="s">
        <v>1859</v>
      </c>
      <c r="H224" s="54">
        <v>3177338.8</v>
      </c>
      <c r="I224" s="26" t="s">
        <v>1851</v>
      </c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idden="1">
      <c r="A225" s="26"/>
      <c r="B225" s="53" t="s">
        <v>575</v>
      </c>
      <c r="C225" s="53" t="s">
        <v>1852</v>
      </c>
      <c r="D225" s="53" t="s">
        <v>921</v>
      </c>
      <c r="E225" s="53" t="s">
        <v>2049</v>
      </c>
      <c r="F225" s="53" t="s">
        <v>921</v>
      </c>
      <c r="G225" s="53" t="s">
        <v>1854</v>
      </c>
      <c r="H225" s="54">
        <v>7.717786895E7</v>
      </c>
      <c r="I225" s="26" t="s">
        <v>1851</v>
      </c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idden="1">
      <c r="A226" s="26"/>
      <c r="B226" s="53" t="s">
        <v>575</v>
      </c>
      <c r="C226" s="53" t="s">
        <v>1852</v>
      </c>
      <c r="D226" s="53" t="s">
        <v>921</v>
      </c>
      <c r="E226" s="53" t="s">
        <v>2050</v>
      </c>
      <c r="F226" s="53" t="s">
        <v>921</v>
      </c>
      <c r="G226" s="53" t="s">
        <v>1859</v>
      </c>
      <c r="H226" s="54">
        <v>1.071065408E7</v>
      </c>
      <c r="I226" s="26" t="s">
        <v>1851</v>
      </c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idden="1">
      <c r="A227" s="26"/>
      <c r="B227" s="53" t="s">
        <v>575</v>
      </c>
      <c r="C227" s="53" t="s">
        <v>1852</v>
      </c>
      <c r="D227" s="53" t="s">
        <v>927</v>
      </c>
      <c r="E227" s="53" t="s">
        <v>2051</v>
      </c>
      <c r="F227" s="53" t="s">
        <v>927</v>
      </c>
      <c r="G227" s="53" t="s">
        <v>1854</v>
      </c>
      <c r="H227" s="54">
        <v>2.973999483E7</v>
      </c>
      <c r="I227" s="26" t="s">
        <v>1851</v>
      </c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idden="1">
      <c r="A228" s="26"/>
      <c r="B228" s="53" t="s">
        <v>575</v>
      </c>
      <c r="C228" s="53" t="s">
        <v>1852</v>
      </c>
      <c r="D228" s="53" t="s">
        <v>927</v>
      </c>
      <c r="E228" s="53" t="s">
        <v>2052</v>
      </c>
      <c r="F228" s="53" t="s">
        <v>927</v>
      </c>
      <c r="G228" s="53" t="s">
        <v>1859</v>
      </c>
      <c r="H228" s="54">
        <v>1.159949448E7</v>
      </c>
      <c r="I228" s="26" t="s">
        <v>1851</v>
      </c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idden="1">
      <c r="A229" s="26"/>
      <c r="B229" s="53" t="s">
        <v>575</v>
      </c>
      <c r="C229" s="53" t="s">
        <v>1852</v>
      </c>
      <c r="D229" s="53" t="s">
        <v>927</v>
      </c>
      <c r="E229" s="53" t="s">
        <v>5273</v>
      </c>
      <c r="F229" s="53" t="s">
        <v>927</v>
      </c>
      <c r="G229" s="53" t="s">
        <v>1862</v>
      </c>
      <c r="H229" s="54">
        <v>0.0</v>
      </c>
      <c r="I229" s="26" t="s">
        <v>1851</v>
      </c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idden="1">
      <c r="A230" s="26"/>
      <c r="B230" s="53" t="s">
        <v>575</v>
      </c>
      <c r="C230" s="53" t="s">
        <v>1852</v>
      </c>
      <c r="D230" s="53" t="s">
        <v>931</v>
      </c>
      <c r="E230" s="53" t="s">
        <v>2053</v>
      </c>
      <c r="F230" s="53" t="s">
        <v>931</v>
      </c>
      <c r="G230" s="53" t="s">
        <v>1854</v>
      </c>
      <c r="H230" s="54">
        <v>2.327155922E7</v>
      </c>
      <c r="I230" s="26" t="s">
        <v>1851</v>
      </c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idden="1">
      <c r="A231" s="26"/>
      <c r="B231" s="53" t="s">
        <v>575</v>
      </c>
      <c r="C231" s="53" t="s">
        <v>1852</v>
      </c>
      <c r="D231" s="53" t="s">
        <v>931</v>
      </c>
      <c r="E231" s="53" t="s">
        <v>2054</v>
      </c>
      <c r="F231" s="53" t="s">
        <v>931</v>
      </c>
      <c r="G231" s="53" t="s">
        <v>1859</v>
      </c>
      <c r="H231" s="54">
        <v>1.81915544E7</v>
      </c>
      <c r="I231" s="26" t="s">
        <v>1851</v>
      </c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idden="1">
      <c r="A232" s="26"/>
      <c r="B232" s="53" t="s">
        <v>575</v>
      </c>
      <c r="C232" s="53" t="s">
        <v>1852</v>
      </c>
      <c r="D232" s="53" t="s">
        <v>931</v>
      </c>
      <c r="E232" s="53" t="s">
        <v>2055</v>
      </c>
      <c r="F232" s="53" t="s">
        <v>931</v>
      </c>
      <c r="G232" s="53" t="s">
        <v>1862</v>
      </c>
      <c r="H232" s="54">
        <v>4422348.3</v>
      </c>
      <c r="I232" s="26" t="s">
        <v>1851</v>
      </c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idden="1">
      <c r="A233" s="26"/>
      <c r="B233" s="53" t="s">
        <v>575</v>
      </c>
      <c r="C233" s="53" t="s">
        <v>1852</v>
      </c>
      <c r="D233" s="53" t="s">
        <v>933</v>
      </c>
      <c r="E233" s="53" t="s">
        <v>2056</v>
      </c>
      <c r="F233" s="53" t="s">
        <v>933</v>
      </c>
      <c r="G233" s="53" t="s">
        <v>1854</v>
      </c>
      <c r="H233" s="54">
        <v>4.763132465E7</v>
      </c>
      <c r="I233" s="26" t="s">
        <v>1851</v>
      </c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idden="1">
      <c r="A234" s="26"/>
      <c r="B234" s="53" t="s">
        <v>575</v>
      </c>
      <c r="C234" s="53" t="s">
        <v>1852</v>
      </c>
      <c r="D234" s="53" t="s">
        <v>935</v>
      </c>
      <c r="E234" s="53" t="s">
        <v>2057</v>
      </c>
      <c r="F234" s="53" t="s">
        <v>935</v>
      </c>
      <c r="G234" s="53" t="s">
        <v>1854</v>
      </c>
      <c r="H234" s="54">
        <v>7.362268277E7</v>
      </c>
      <c r="I234" s="26" t="s">
        <v>1851</v>
      </c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idden="1">
      <c r="A235" s="26"/>
      <c r="B235" s="53" t="s">
        <v>575</v>
      </c>
      <c r="C235" s="53" t="s">
        <v>1852</v>
      </c>
      <c r="D235" s="53" t="s">
        <v>935</v>
      </c>
      <c r="E235" s="53" t="s">
        <v>2058</v>
      </c>
      <c r="F235" s="53" t="s">
        <v>935</v>
      </c>
      <c r="G235" s="53" t="s">
        <v>1859</v>
      </c>
      <c r="H235" s="54">
        <v>1.255119728E7</v>
      </c>
      <c r="I235" s="26" t="s">
        <v>1851</v>
      </c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idden="1">
      <c r="A236" s="26"/>
      <c r="B236" s="53" t="s">
        <v>575</v>
      </c>
      <c r="C236" s="53" t="s">
        <v>1852</v>
      </c>
      <c r="D236" s="53" t="s">
        <v>935</v>
      </c>
      <c r="E236" s="53" t="s">
        <v>5274</v>
      </c>
      <c r="F236" s="53" t="s">
        <v>935</v>
      </c>
      <c r="G236" s="53" t="s">
        <v>1862</v>
      </c>
      <c r="H236" s="54">
        <v>0.0</v>
      </c>
      <c r="I236" s="26" t="s">
        <v>1851</v>
      </c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idden="1">
      <c r="A237" s="26"/>
      <c r="B237" s="53" t="s">
        <v>575</v>
      </c>
      <c r="C237" s="53" t="s">
        <v>1852</v>
      </c>
      <c r="D237" s="53" t="s">
        <v>937</v>
      </c>
      <c r="E237" s="53" t="s">
        <v>5275</v>
      </c>
      <c r="F237" s="53" t="s">
        <v>937</v>
      </c>
      <c r="G237" s="53" t="s">
        <v>1854</v>
      </c>
      <c r="H237" s="54">
        <v>0.0</v>
      </c>
      <c r="I237" s="26" t="s">
        <v>1851</v>
      </c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idden="1">
      <c r="A238" s="26"/>
      <c r="B238" s="53" t="s">
        <v>575</v>
      </c>
      <c r="C238" s="53" t="s">
        <v>1852</v>
      </c>
      <c r="D238" s="53" t="s">
        <v>1188</v>
      </c>
      <c r="E238" s="53" t="s">
        <v>5276</v>
      </c>
      <c r="F238" s="53" t="s">
        <v>1188</v>
      </c>
      <c r="G238" s="53" t="s">
        <v>1854</v>
      </c>
      <c r="H238" s="54">
        <v>0.0</v>
      </c>
      <c r="I238" s="26" t="s">
        <v>1851</v>
      </c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idden="1">
      <c r="A239" s="26"/>
      <c r="B239" s="53" t="s">
        <v>575</v>
      </c>
      <c r="C239" s="53" t="s">
        <v>1852</v>
      </c>
      <c r="D239" s="53" t="s">
        <v>1188</v>
      </c>
      <c r="E239" s="53" t="s">
        <v>5277</v>
      </c>
      <c r="F239" s="53" t="s">
        <v>1188</v>
      </c>
      <c r="G239" s="53" t="s">
        <v>1859</v>
      </c>
      <c r="H239" s="54">
        <v>0.0</v>
      </c>
      <c r="I239" s="26" t="s">
        <v>1851</v>
      </c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idden="1">
      <c r="A240" s="26"/>
      <c r="B240" s="53" t="s">
        <v>575</v>
      </c>
      <c r="C240" s="53" t="s">
        <v>1852</v>
      </c>
      <c r="D240" s="53" t="s">
        <v>736</v>
      </c>
      <c r="E240" s="53" t="s">
        <v>2059</v>
      </c>
      <c r="F240" s="53" t="s">
        <v>736</v>
      </c>
      <c r="G240" s="53" t="s">
        <v>1854</v>
      </c>
      <c r="H240" s="54">
        <v>1.8336133184E8</v>
      </c>
      <c r="I240" s="26" t="s">
        <v>1851</v>
      </c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idden="1">
      <c r="A241" s="26"/>
      <c r="B241" s="53" t="s">
        <v>575</v>
      </c>
      <c r="C241" s="53" t="s">
        <v>1852</v>
      </c>
      <c r="D241" s="53" t="s">
        <v>736</v>
      </c>
      <c r="E241" s="53" t="s">
        <v>2060</v>
      </c>
      <c r="F241" s="53" t="s">
        <v>736</v>
      </c>
      <c r="G241" s="53" t="s">
        <v>1859</v>
      </c>
      <c r="H241" s="54">
        <v>6.636075706E7</v>
      </c>
      <c r="I241" s="26" t="s">
        <v>1851</v>
      </c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idden="1">
      <c r="A242" s="26"/>
      <c r="B242" s="53" t="s">
        <v>575</v>
      </c>
      <c r="C242" s="53" t="s">
        <v>1852</v>
      </c>
      <c r="D242" s="53" t="s">
        <v>736</v>
      </c>
      <c r="E242" s="53" t="s">
        <v>2061</v>
      </c>
      <c r="F242" s="53" t="s">
        <v>736</v>
      </c>
      <c r="G242" s="53" t="s">
        <v>1862</v>
      </c>
      <c r="H242" s="54">
        <v>3304713.18</v>
      </c>
      <c r="I242" s="26" t="s">
        <v>1851</v>
      </c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idden="1">
      <c r="A243" s="26"/>
      <c r="B243" s="53" t="s">
        <v>575</v>
      </c>
      <c r="C243" s="53" t="s">
        <v>1852</v>
      </c>
      <c r="D243" s="53" t="s">
        <v>941</v>
      </c>
      <c r="E243" s="53" t="s">
        <v>5278</v>
      </c>
      <c r="F243" s="53" t="s">
        <v>728</v>
      </c>
      <c r="G243" s="53" t="s">
        <v>1854</v>
      </c>
      <c r="H243" s="54">
        <v>0.0</v>
      </c>
      <c r="I243" s="26" t="s">
        <v>1851</v>
      </c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idden="1">
      <c r="A244" s="26"/>
      <c r="B244" s="53" t="s">
        <v>575</v>
      </c>
      <c r="C244" s="53" t="s">
        <v>1852</v>
      </c>
      <c r="D244" s="53" t="s">
        <v>1050</v>
      </c>
      <c r="E244" s="53" t="s">
        <v>2062</v>
      </c>
      <c r="F244" s="53" t="s">
        <v>1050</v>
      </c>
      <c r="G244" s="53" t="s">
        <v>1854</v>
      </c>
      <c r="H244" s="54">
        <v>1.7897554645E8</v>
      </c>
      <c r="I244" s="26" t="s">
        <v>1851</v>
      </c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idden="1">
      <c r="A245" s="26"/>
      <c r="B245" s="53" t="s">
        <v>575</v>
      </c>
      <c r="C245" s="53" t="s">
        <v>1852</v>
      </c>
      <c r="D245" s="53" t="s">
        <v>1050</v>
      </c>
      <c r="E245" s="53" t="s">
        <v>2063</v>
      </c>
      <c r="F245" s="53" t="s">
        <v>1050</v>
      </c>
      <c r="G245" s="53" t="s">
        <v>1859</v>
      </c>
      <c r="H245" s="54">
        <v>2.155261394E7</v>
      </c>
      <c r="I245" s="26" t="s">
        <v>1851</v>
      </c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idden="1">
      <c r="A246" s="26"/>
      <c r="B246" s="53" t="s">
        <v>575</v>
      </c>
      <c r="C246" s="53" t="s">
        <v>2064</v>
      </c>
      <c r="D246" s="53" t="s">
        <v>2065</v>
      </c>
      <c r="E246" s="53" t="s">
        <v>2066</v>
      </c>
      <c r="F246" s="53" t="s">
        <v>2065</v>
      </c>
      <c r="G246" s="53" t="s">
        <v>2067</v>
      </c>
      <c r="H246" s="54">
        <v>5.458127631E7</v>
      </c>
      <c r="I246" s="26" t="s">
        <v>5234</v>
      </c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idden="1">
      <c r="A247" s="26"/>
      <c r="B247" s="53" t="s">
        <v>575</v>
      </c>
      <c r="C247" s="53" t="s">
        <v>2064</v>
      </c>
      <c r="D247" s="53" t="s">
        <v>770</v>
      </c>
      <c r="E247" s="53" t="s">
        <v>2068</v>
      </c>
      <c r="F247" s="53" t="s">
        <v>770</v>
      </c>
      <c r="G247" s="53" t="s">
        <v>2067</v>
      </c>
      <c r="H247" s="54">
        <v>4.311297179E7</v>
      </c>
      <c r="I247" s="26" t="s">
        <v>5234</v>
      </c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idden="1">
      <c r="A248" s="26"/>
      <c r="B248" s="53" t="s">
        <v>575</v>
      </c>
      <c r="C248" s="53" t="s">
        <v>2064</v>
      </c>
      <c r="D248" s="53" t="s">
        <v>730</v>
      </c>
      <c r="E248" s="53" t="s">
        <v>2069</v>
      </c>
      <c r="F248" s="53" t="s">
        <v>730</v>
      </c>
      <c r="G248" s="53" t="s">
        <v>2067</v>
      </c>
      <c r="H248" s="54">
        <v>4.1381403893E8</v>
      </c>
      <c r="I248" s="26" t="s">
        <v>5234</v>
      </c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idden="1">
      <c r="A249" s="26"/>
      <c r="B249" s="53" t="s">
        <v>575</v>
      </c>
      <c r="C249" s="53" t="s">
        <v>2064</v>
      </c>
      <c r="D249" s="53" t="s">
        <v>935</v>
      </c>
      <c r="E249" s="53" t="s">
        <v>5279</v>
      </c>
      <c r="F249" s="53" t="s">
        <v>935</v>
      </c>
      <c r="G249" s="53" t="s">
        <v>2067</v>
      </c>
      <c r="H249" s="54">
        <v>0.0</v>
      </c>
      <c r="I249" s="26" t="s">
        <v>5234</v>
      </c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idden="1">
      <c r="A250" s="26"/>
      <c r="B250" s="53" t="s">
        <v>575</v>
      </c>
      <c r="C250" s="53" t="s">
        <v>2070</v>
      </c>
      <c r="D250" s="53" t="s">
        <v>834</v>
      </c>
      <c r="E250" s="53" t="s">
        <v>2071</v>
      </c>
      <c r="F250" s="53" t="s">
        <v>834</v>
      </c>
      <c r="G250" s="53" t="s">
        <v>2072</v>
      </c>
      <c r="H250" s="54">
        <v>2127106.8</v>
      </c>
      <c r="I250" s="26" t="s">
        <v>1851</v>
      </c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idden="1">
      <c r="A251" s="26"/>
      <c r="B251" s="53" t="s">
        <v>575</v>
      </c>
      <c r="C251" s="53" t="s">
        <v>2070</v>
      </c>
      <c r="D251" s="53" t="s">
        <v>836</v>
      </c>
      <c r="E251" s="53" t="s">
        <v>2073</v>
      </c>
      <c r="F251" s="53" t="s">
        <v>836</v>
      </c>
      <c r="G251" s="53" t="s">
        <v>2072</v>
      </c>
      <c r="H251" s="54">
        <v>5.279957205E7</v>
      </c>
      <c r="I251" s="26" t="s">
        <v>1851</v>
      </c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idden="1">
      <c r="A252" s="26"/>
      <c r="B252" s="53" t="s">
        <v>575</v>
      </c>
      <c r="C252" s="53" t="s">
        <v>2070</v>
      </c>
      <c r="D252" s="53" t="s">
        <v>925</v>
      </c>
      <c r="E252" s="53" t="s">
        <v>2074</v>
      </c>
      <c r="F252" s="53" t="s">
        <v>925</v>
      </c>
      <c r="G252" s="53" t="s">
        <v>2072</v>
      </c>
      <c r="H252" s="54">
        <v>1.11430074161E9</v>
      </c>
      <c r="I252" s="26" t="s">
        <v>1851</v>
      </c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idden="1">
      <c r="A253" s="26"/>
      <c r="B253" s="53" t="s">
        <v>575</v>
      </c>
      <c r="C253" s="53" t="s">
        <v>2070</v>
      </c>
      <c r="D253" s="53" t="s">
        <v>736</v>
      </c>
      <c r="E253" s="53" t="s">
        <v>2075</v>
      </c>
      <c r="F253" s="53" t="s">
        <v>736</v>
      </c>
      <c r="G253" s="53" t="s">
        <v>2072</v>
      </c>
      <c r="H253" s="54">
        <v>1.6939200838E8</v>
      </c>
      <c r="I253" s="26" t="s">
        <v>1851</v>
      </c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idden="1">
      <c r="A254" s="26"/>
      <c r="B254" s="53" t="s">
        <v>575</v>
      </c>
      <c r="C254" s="53" t="s">
        <v>2076</v>
      </c>
      <c r="D254" s="53" t="s">
        <v>768</v>
      </c>
      <c r="E254" s="53" t="s">
        <v>2077</v>
      </c>
      <c r="F254" s="53" t="s">
        <v>768</v>
      </c>
      <c r="G254" s="53" t="s">
        <v>2078</v>
      </c>
      <c r="H254" s="54">
        <v>1.45010619711E9</v>
      </c>
      <c r="I254" s="26" t="s">
        <v>1851</v>
      </c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idden="1">
      <c r="A255" s="26"/>
      <c r="B255" s="53" t="s">
        <v>575</v>
      </c>
      <c r="C255" s="53" t="s">
        <v>2076</v>
      </c>
      <c r="D255" s="53" t="s">
        <v>768</v>
      </c>
      <c r="E255" s="53" t="s">
        <v>2081</v>
      </c>
      <c r="F255" s="53" t="s">
        <v>768</v>
      </c>
      <c r="G255" s="53" t="s">
        <v>2082</v>
      </c>
      <c r="H255" s="54">
        <v>3.9740327251E8</v>
      </c>
      <c r="I255" s="26" t="s">
        <v>1851</v>
      </c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idden="1">
      <c r="A256" s="26"/>
      <c r="B256" s="53" t="s">
        <v>575</v>
      </c>
      <c r="C256" s="53" t="s">
        <v>2076</v>
      </c>
      <c r="D256" s="53" t="s">
        <v>726</v>
      </c>
      <c r="E256" s="53" t="s">
        <v>2084</v>
      </c>
      <c r="F256" s="53" t="s">
        <v>726</v>
      </c>
      <c r="G256" s="53" t="s">
        <v>2078</v>
      </c>
      <c r="H256" s="54">
        <v>5.0086695831E8</v>
      </c>
      <c r="I256" s="26" t="s">
        <v>1851</v>
      </c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idden="1">
      <c r="A257" s="26"/>
      <c r="B257" s="53" t="s">
        <v>575</v>
      </c>
      <c r="C257" s="53" t="s">
        <v>2076</v>
      </c>
      <c r="D257" s="53" t="s">
        <v>726</v>
      </c>
      <c r="E257" s="53" t="s">
        <v>2085</v>
      </c>
      <c r="F257" s="53" t="s">
        <v>726</v>
      </c>
      <c r="G257" s="53" t="s">
        <v>2082</v>
      </c>
      <c r="H257" s="54">
        <v>9.923706707E7</v>
      </c>
      <c r="I257" s="26" t="s">
        <v>1851</v>
      </c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idden="1">
      <c r="A258" s="26"/>
      <c r="B258" s="53" t="s">
        <v>575</v>
      </c>
      <c r="C258" s="53" t="s">
        <v>2076</v>
      </c>
      <c r="D258" s="53" t="s">
        <v>788</v>
      </c>
      <c r="E258" s="53" t="s">
        <v>2086</v>
      </c>
      <c r="F258" s="53" t="s">
        <v>788</v>
      </c>
      <c r="G258" s="53" t="s">
        <v>2078</v>
      </c>
      <c r="H258" s="54">
        <v>1.32050583621E9</v>
      </c>
      <c r="I258" s="26" t="s">
        <v>1851</v>
      </c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idden="1">
      <c r="A259" s="26"/>
      <c r="B259" s="53" t="s">
        <v>575</v>
      </c>
      <c r="C259" s="53" t="s">
        <v>2076</v>
      </c>
      <c r="D259" s="53" t="s">
        <v>788</v>
      </c>
      <c r="E259" s="53" t="s">
        <v>2087</v>
      </c>
      <c r="F259" s="53" t="s">
        <v>788</v>
      </c>
      <c r="G259" s="53" t="s">
        <v>2082</v>
      </c>
      <c r="H259" s="54">
        <v>4.3504348195E8</v>
      </c>
      <c r="I259" s="26" t="s">
        <v>1851</v>
      </c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idden="1">
      <c r="A260" s="26"/>
      <c r="B260" s="53" t="s">
        <v>575</v>
      </c>
      <c r="C260" s="53" t="s">
        <v>2076</v>
      </c>
      <c r="D260" s="53" t="s">
        <v>830</v>
      </c>
      <c r="E260" s="53" t="s">
        <v>2088</v>
      </c>
      <c r="F260" s="53" t="s">
        <v>830</v>
      </c>
      <c r="G260" s="53" t="s">
        <v>2078</v>
      </c>
      <c r="H260" s="54">
        <v>3.16253667034E9</v>
      </c>
      <c r="I260" s="26" t="s">
        <v>1851</v>
      </c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idden="1">
      <c r="A261" s="26"/>
      <c r="B261" s="53" t="s">
        <v>575</v>
      </c>
      <c r="C261" s="53" t="s">
        <v>2076</v>
      </c>
      <c r="D261" s="53" t="s">
        <v>830</v>
      </c>
      <c r="E261" s="53" t="s">
        <v>2089</v>
      </c>
      <c r="F261" s="53" t="s">
        <v>830</v>
      </c>
      <c r="G261" s="53" t="s">
        <v>2082</v>
      </c>
      <c r="H261" s="54">
        <v>9.0152014777E8</v>
      </c>
      <c r="I261" s="26" t="s">
        <v>1851</v>
      </c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idden="1">
      <c r="A262" s="26"/>
      <c r="B262" s="53" t="s">
        <v>575</v>
      </c>
      <c r="C262" s="53" t="s">
        <v>2076</v>
      </c>
      <c r="D262" s="53" t="s">
        <v>968</v>
      </c>
      <c r="E262" s="53" t="s">
        <v>2090</v>
      </c>
      <c r="F262" s="53" t="s">
        <v>968</v>
      </c>
      <c r="G262" s="53" t="s">
        <v>2078</v>
      </c>
      <c r="H262" s="54">
        <v>2.8226351527E8</v>
      </c>
      <c r="I262" s="26" t="s">
        <v>1851</v>
      </c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idden="1">
      <c r="A263" s="26"/>
      <c r="B263" s="53" t="s">
        <v>575</v>
      </c>
      <c r="C263" s="53" t="s">
        <v>2076</v>
      </c>
      <c r="D263" s="53" t="s">
        <v>968</v>
      </c>
      <c r="E263" s="53" t="s">
        <v>2091</v>
      </c>
      <c r="F263" s="53" t="s">
        <v>968</v>
      </c>
      <c r="G263" s="53" t="s">
        <v>2082</v>
      </c>
      <c r="H263" s="54">
        <v>7.449883527E7</v>
      </c>
      <c r="I263" s="26" t="s">
        <v>1851</v>
      </c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idden="1">
      <c r="A264" s="26"/>
      <c r="B264" s="53" t="s">
        <v>575</v>
      </c>
      <c r="C264" s="53" t="s">
        <v>2076</v>
      </c>
      <c r="D264" s="53" t="s">
        <v>941</v>
      </c>
      <c r="E264" s="53" t="s">
        <v>2092</v>
      </c>
      <c r="F264" s="53" t="s">
        <v>941</v>
      </c>
      <c r="G264" s="53" t="s">
        <v>2078</v>
      </c>
      <c r="H264" s="54">
        <v>8.59810155857E9</v>
      </c>
      <c r="I264" s="26" t="s">
        <v>1851</v>
      </c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idden="1">
      <c r="A265" s="26"/>
      <c r="B265" s="53" t="s">
        <v>575</v>
      </c>
      <c r="C265" s="53" t="s">
        <v>2076</v>
      </c>
      <c r="D265" s="53" t="s">
        <v>941</v>
      </c>
      <c r="E265" s="53" t="s">
        <v>2094</v>
      </c>
      <c r="F265" s="53" t="s">
        <v>941</v>
      </c>
      <c r="G265" s="53" t="s">
        <v>2082</v>
      </c>
      <c r="H265" s="54">
        <v>3.21930734236E9</v>
      </c>
      <c r="I265" s="26" t="s">
        <v>1851</v>
      </c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idden="1">
      <c r="A266" s="26"/>
      <c r="B266" s="53" t="s">
        <v>575</v>
      </c>
      <c r="C266" s="53" t="s">
        <v>2095</v>
      </c>
      <c r="D266" s="53" t="s">
        <v>695</v>
      </c>
      <c r="E266" s="53" t="s">
        <v>2096</v>
      </c>
      <c r="F266" s="53" t="s">
        <v>695</v>
      </c>
      <c r="G266" s="53" t="s">
        <v>2097</v>
      </c>
      <c r="H266" s="54">
        <v>5.4009364203E8</v>
      </c>
      <c r="I266" s="26" t="s">
        <v>1851</v>
      </c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idden="1">
      <c r="A267" s="26"/>
      <c r="B267" s="53" t="s">
        <v>575</v>
      </c>
      <c r="C267" s="53" t="s">
        <v>2095</v>
      </c>
      <c r="D267" s="53" t="s">
        <v>695</v>
      </c>
      <c r="E267" s="53" t="s">
        <v>2100</v>
      </c>
      <c r="F267" s="53" t="s">
        <v>695</v>
      </c>
      <c r="G267" s="53" t="s">
        <v>2101</v>
      </c>
      <c r="H267" s="54">
        <v>7.11521154E7</v>
      </c>
      <c r="I267" s="26" t="s">
        <v>1851</v>
      </c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idden="1">
      <c r="A268" s="26"/>
      <c r="B268" s="53" t="s">
        <v>575</v>
      </c>
      <c r="C268" s="53" t="s">
        <v>2095</v>
      </c>
      <c r="D268" s="53" t="s">
        <v>695</v>
      </c>
      <c r="E268" s="53" t="s">
        <v>2102</v>
      </c>
      <c r="F268" s="53" t="s">
        <v>695</v>
      </c>
      <c r="G268" s="53" t="s">
        <v>2103</v>
      </c>
      <c r="H268" s="54">
        <v>9.4013650128E8</v>
      </c>
      <c r="I268" s="26" t="s">
        <v>1851</v>
      </c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idden="1">
      <c r="A269" s="26"/>
      <c r="B269" s="53" t="s">
        <v>575</v>
      </c>
      <c r="C269" s="53" t="s">
        <v>2095</v>
      </c>
      <c r="D269" s="53" t="s">
        <v>742</v>
      </c>
      <c r="E269" s="53" t="s">
        <v>2105</v>
      </c>
      <c r="F269" s="53" t="s">
        <v>742</v>
      </c>
      <c r="G269" s="53" t="s">
        <v>2097</v>
      </c>
      <c r="H269" s="54">
        <v>2.1424400391E8</v>
      </c>
      <c r="I269" s="26" t="s">
        <v>1851</v>
      </c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idden="1">
      <c r="A270" s="26"/>
      <c r="B270" s="53" t="s">
        <v>575</v>
      </c>
      <c r="C270" s="53" t="s">
        <v>2095</v>
      </c>
      <c r="D270" s="53" t="s">
        <v>742</v>
      </c>
      <c r="E270" s="53" t="s">
        <v>2106</v>
      </c>
      <c r="F270" s="53" t="s">
        <v>742</v>
      </c>
      <c r="G270" s="53" t="s">
        <v>2101</v>
      </c>
      <c r="H270" s="54">
        <v>1.686358284E7</v>
      </c>
      <c r="I270" s="26" t="s">
        <v>1851</v>
      </c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idden="1">
      <c r="A271" s="26"/>
      <c r="B271" s="53" t="s">
        <v>575</v>
      </c>
      <c r="C271" s="53" t="s">
        <v>2095</v>
      </c>
      <c r="D271" s="53" t="s">
        <v>742</v>
      </c>
      <c r="E271" s="53" t="s">
        <v>2107</v>
      </c>
      <c r="F271" s="53" t="s">
        <v>742</v>
      </c>
      <c r="G271" s="53" t="s">
        <v>2103</v>
      </c>
      <c r="H271" s="54">
        <v>2.1797444381E8</v>
      </c>
      <c r="I271" s="26" t="s">
        <v>1851</v>
      </c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idden="1">
      <c r="A272" s="26"/>
      <c r="B272" s="53" t="s">
        <v>575</v>
      </c>
      <c r="C272" s="53" t="s">
        <v>2095</v>
      </c>
      <c r="D272" s="53" t="s">
        <v>746</v>
      </c>
      <c r="E272" s="53" t="s">
        <v>2108</v>
      </c>
      <c r="F272" s="53" t="s">
        <v>746</v>
      </c>
      <c r="G272" s="53" t="s">
        <v>2097</v>
      </c>
      <c r="H272" s="54">
        <v>1.59038976E7</v>
      </c>
      <c r="I272" s="26" t="s">
        <v>1851</v>
      </c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idden="1">
      <c r="A273" s="26"/>
      <c r="B273" s="53" t="s">
        <v>575</v>
      </c>
      <c r="C273" s="53" t="s">
        <v>2095</v>
      </c>
      <c r="D273" s="53" t="s">
        <v>746</v>
      </c>
      <c r="E273" s="53" t="s">
        <v>5280</v>
      </c>
      <c r="F273" s="53" t="s">
        <v>746</v>
      </c>
      <c r="G273" s="53" t="s">
        <v>2101</v>
      </c>
      <c r="H273" s="54">
        <v>0.0</v>
      </c>
      <c r="I273" s="26" t="s">
        <v>1851</v>
      </c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idden="1">
      <c r="A274" s="26"/>
      <c r="B274" s="53" t="s">
        <v>575</v>
      </c>
      <c r="C274" s="53" t="s">
        <v>2095</v>
      </c>
      <c r="D274" s="53" t="s">
        <v>746</v>
      </c>
      <c r="E274" s="53" t="s">
        <v>2109</v>
      </c>
      <c r="F274" s="53" t="s">
        <v>746</v>
      </c>
      <c r="G274" s="53" t="s">
        <v>2103</v>
      </c>
      <c r="H274" s="54">
        <v>4.5735811E7</v>
      </c>
      <c r="I274" s="26" t="s">
        <v>1851</v>
      </c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idden="1">
      <c r="A275" s="26"/>
      <c r="B275" s="53" t="s">
        <v>575</v>
      </c>
      <c r="C275" s="53" t="s">
        <v>2095</v>
      </c>
      <c r="D275" s="53" t="s">
        <v>749</v>
      </c>
      <c r="E275" s="53" t="s">
        <v>2110</v>
      </c>
      <c r="F275" s="53" t="s">
        <v>749</v>
      </c>
      <c r="G275" s="53" t="s">
        <v>2097</v>
      </c>
      <c r="H275" s="54">
        <v>5.8429133442E8</v>
      </c>
      <c r="I275" s="26" t="s">
        <v>1851</v>
      </c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idden="1">
      <c r="A276" s="26"/>
      <c r="B276" s="53" t="s">
        <v>575</v>
      </c>
      <c r="C276" s="53" t="s">
        <v>2095</v>
      </c>
      <c r="D276" s="53" t="s">
        <v>749</v>
      </c>
      <c r="E276" s="53" t="s">
        <v>2111</v>
      </c>
      <c r="F276" s="53" t="s">
        <v>749</v>
      </c>
      <c r="G276" s="53" t="s">
        <v>2101</v>
      </c>
      <c r="H276" s="54">
        <v>1.4775607134E8</v>
      </c>
      <c r="I276" s="26" t="s">
        <v>1851</v>
      </c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idden="1">
      <c r="A277" s="26"/>
      <c r="B277" s="53" t="s">
        <v>575</v>
      </c>
      <c r="C277" s="53" t="s">
        <v>2095</v>
      </c>
      <c r="D277" s="53" t="s">
        <v>749</v>
      </c>
      <c r="E277" s="53" t="s">
        <v>2112</v>
      </c>
      <c r="F277" s="53" t="s">
        <v>749</v>
      </c>
      <c r="G277" s="53" t="s">
        <v>2103</v>
      </c>
      <c r="H277" s="54">
        <v>5.3523793743E8</v>
      </c>
      <c r="I277" s="26" t="s">
        <v>1851</v>
      </c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idden="1">
      <c r="A278" s="26"/>
      <c r="B278" s="53" t="s">
        <v>575</v>
      </c>
      <c r="C278" s="53" t="s">
        <v>2095</v>
      </c>
      <c r="D278" s="53" t="s">
        <v>699</v>
      </c>
      <c r="E278" s="53" t="s">
        <v>2113</v>
      </c>
      <c r="F278" s="53" t="s">
        <v>699</v>
      </c>
      <c r="G278" s="53" t="s">
        <v>2097</v>
      </c>
      <c r="H278" s="54">
        <v>1.11572868527E9</v>
      </c>
      <c r="I278" s="26" t="s">
        <v>1851</v>
      </c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idden="1">
      <c r="A279" s="26"/>
      <c r="B279" s="53" t="s">
        <v>575</v>
      </c>
      <c r="C279" s="53" t="s">
        <v>2095</v>
      </c>
      <c r="D279" s="53" t="s">
        <v>699</v>
      </c>
      <c r="E279" s="53" t="s">
        <v>2114</v>
      </c>
      <c r="F279" s="53" t="s">
        <v>699</v>
      </c>
      <c r="G279" s="53" t="s">
        <v>2115</v>
      </c>
      <c r="H279" s="54">
        <v>3.4443476958E8</v>
      </c>
      <c r="I279" s="26" t="s">
        <v>1851</v>
      </c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idden="1">
      <c r="A280" s="26"/>
      <c r="B280" s="53" t="s">
        <v>575</v>
      </c>
      <c r="C280" s="53" t="s">
        <v>2095</v>
      </c>
      <c r="D280" s="53" t="s">
        <v>699</v>
      </c>
      <c r="E280" s="53" t="s">
        <v>2117</v>
      </c>
      <c r="F280" s="53" t="s">
        <v>699</v>
      </c>
      <c r="G280" s="53" t="s">
        <v>2101</v>
      </c>
      <c r="H280" s="54">
        <v>1.7516625318E8</v>
      </c>
      <c r="I280" s="26" t="s">
        <v>1851</v>
      </c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idden="1">
      <c r="A281" s="26"/>
      <c r="B281" s="53" t="s">
        <v>575</v>
      </c>
      <c r="C281" s="53" t="s">
        <v>2095</v>
      </c>
      <c r="D281" s="53" t="s">
        <v>699</v>
      </c>
      <c r="E281" s="53" t="s">
        <v>2118</v>
      </c>
      <c r="F281" s="53" t="s">
        <v>699</v>
      </c>
      <c r="G281" s="53" t="s">
        <v>2103</v>
      </c>
      <c r="H281" s="54">
        <v>1.61622129728E9</v>
      </c>
      <c r="I281" s="26" t="s">
        <v>1851</v>
      </c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idden="1">
      <c r="A282" s="26"/>
      <c r="B282" s="53" t="s">
        <v>575</v>
      </c>
      <c r="C282" s="53" t="s">
        <v>2095</v>
      </c>
      <c r="D282" s="53" t="s">
        <v>759</v>
      </c>
      <c r="E282" s="53" t="s">
        <v>2119</v>
      </c>
      <c r="F282" s="53" t="s">
        <v>759</v>
      </c>
      <c r="G282" s="53" t="s">
        <v>2097</v>
      </c>
      <c r="H282" s="54">
        <v>2.35617408E7</v>
      </c>
      <c r="I282" s="26" t="s">
        <v>1851</v>
      </c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idden="1">
      <c r="A283" s="26"/>
      <c r="B283" s="53" t="s">
        <v>575</v>
      </c>
      <c r="C283" s="53" t="s">
        <v>2095</v>
      </c>
      <c r="D283" s="53" t="s">
        <v>759</v>
      </c>
      <c r="E283" s="53" t="s">
        <v>2120</v>
      </c>
      <c r="F283" s="53" t="s">
        <v>759</v>
      </c>
      <c r="G283" s="53" t="s">
        <v>2103</v>
      </c>
      <c r="H283" s="54">
        <v>2.8470002E7</v>
      </c>
      <c r="I283" s="26" t="s">
        <v>1851</v>
      </c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idden="1">
      <c r="A284" s="26"/>
      <c r="B284" s="53" t="s">
        <v>575</v>
      </c>
      <c r="C284" s="53" t="s">
        <v>2095</v>
      </c>
      <c r="D284" s="53" t="s">
        <v>761</v>
      </c>
      <c r="E284" s="53" t="s">
        <v>2121</v>
      </c>
      <c r="F284" s="53" t="s">
        <v>761</v>
      </c>
      <c r="G284" s="53" t="s">
        <v>2097</v>
      </c>
      <c r="H284" s="54">
        <v>4.119247872E8</v>
      </c>
      <c r="I284" s="26" t="s">
        <v>1851</v>
      </c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idden="1">
      <c r="A285" s="26"/>
      <c r="B285" s="53" t="s">
        <v>575</v>
      </c>
      <c r="C285" s="53" t="s">
        <v>2095</v>
      </c>
      <c r="D285" s="53" t="s">
        <v>761</v>
      </c>
      <c r="E285" s="53" t="s">
        <v>2122</v>
      </c>
      <c r="F285" s="53" t="s">
        <v>761</v>
      </c>
      <c r="G285" s="53" t="s">
        <v>2101</v>
      </c>
      <c r="H285" s="54">
        <v>1.5590660232E8</v>
      </c>
      <c r="I285" s="26" t="s">
        <v>1851</v>
      </c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idden="1">
      <c r="A286" s="26"/>
      <c r="B286" s="53" t="s">
        <v>575</v>
      </c>
      <c r="C286" s="53" t="s">
        <v>2095</v>
      </c>
      <c r="D286" s="53" t="s">
        <v>761</v>
      </c>
      <c r="E286" s="53" t="s">
        <v>2123</v>
      </c>
      <c r="F286" s="53" t="s">
        <v>761</v>
      </c>
      <c r="G286" s="53" t="s">
        <v>2103</v>
      </c>
      <c r="H286" s="54">
        <v>4.7203350425E8</v>
      </c>
      <c r="I286" s="26" t="s">
        <v>1851</v>
      </c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idden="1">
      <c r="A287" s="26"/>
      <c r="B287" s="53" t="s">
        <v>575</v>
      </c>
      <c r="C287" s="53" t="s">
        <v>2095</v>
      </c>
      <c r="D287" s="53" t="s">
        <v>763</v>
      </c>
      <c r="E287" s="53" t="s">
        <v>2124</v>
      </c>
      <c r="F287" s="53" t="s">
        <v>763</v>
      </c>
      <c r="G287" s="53" t="s">
        <v>2097</v>
      </c>
      <c r="H287" s="54">
        <v>1.49227443232E9</v>
      </c>
      <c r="I287" s="26" t="s">
        <v>1851</v>
      </c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idden="1">
      <c r="A288" s="26"/>
      <c r="B288" s="53" t="s">
        <v>575</v>
      </c>
      <c r="C288" s="53" t="s">
        <v>2095</v>
      </c>
      <c r="D288" s="53" t="s">
        <v>763</v>
      </c>
      <c r="E288" s="53" t="s">
        <v>2125</v>
      </c>
      <c r="F288" s="53" t="s">
        <v>763</v>
      </c>
      <c r="G288" s="53" t="s">
        <v>2115</v>
      </c>
      <c r="H288" s="54">
        <v>4.9960893006E8</v>
      </c>
      <c r="I288" s="26" t="s">
        <v>1851</v>
      </c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idden="1">
      <c r="A289" s="26"/>
      <c r="B289" s="53" t="s">
        <v>575</v>
      </c>
      <c r="C289" s="53" t="s">
        <v>2095</v>
      </c>
      <c r="D289" s="53" t="s">
        <v>763</v>
      </c>
      <c r="E289" s="53" t="s">
        <v>2126</v>
      </c>
      <c r="F289" s="53" t="s">
        <v>763</v>
      </c>
      <c r="G289" s="53" t="s">
        <v>2101</v>
      </c>
      <c r="H289" s="54">
        <v>7.07092617E8</v>
      </c>
      <c r="I289" s="26" t="s">
        <v>1851</v>
      </c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idden="1">
      <c r="A290" s="26"/>
      <c r="B290" s="53" t="s">
        <v>575</v>
      </c>
      <c r="C290" s="53" t="s">
        <v>2095</v>
      </c>
      <c r="D290" s="53" t="s">
        <v>763</v>
      </c>
      <c r="E290" s="53" t="s">
        <v>2127</v>
      </c>
      <c r="F290" s="53" t="s">
        <v>763</v>
      </c>
      <c r="G290" s="53" t="s">
        <v>2103</v>
      </c>
      <c r="H290" s="54">
        <v>1.38143590691E9</v>
      </c>
      <c r="I290" s="26" t="s">
        <v>1851</v>
      </c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idden="1">
      <c r="A291" s="26"/>
      <c r="B291" s="53" t="s">
        <v>575</v>
      </c>
      <c r="C291" s="53" t="s">
        <v>2095</v>
      </c>
      <c r="D291" s="53" t="s">
        <v>768</v>
      </c>
      <c r="E291" s="53" t="s">
        <v>2128</v>
      </c>
      <c r="F291" s="53" t="s">
        <v>768</v>
      </c>
      <c r="G291" s="53" t="s">
        <v>2097</v>
      </c>
      <c r="H291" s="54">
        <v>2.4889692898E8</v>
      </c>
      <c r="I291" s="26" t="s">
        <v>1851</v>
      </c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idden="1">
      <c r="A292" s="26"/>
      <c r="B292" s="53" t="s">
        <v>575</v>
      </c>
      <c r="C292" s="53" t="s">
        <v>2095</v>
      </c>
      <c r="D292" s="53" t="s">
        <v>768</v>
      </c>
      <c r="E292" s="53" t="s">
        <v>2129</v>
      </c>
      <c r="F292" s="53" t="s">
        <v>768</v>
      </c>
      <c r="G292" s="53" t="s">
        <v>2101</v>
      </c>
      <c r="H292" s="54">
        <v>2.06805519E7</v>
      </c>
      <c r="I292" s="26" t="s">
        <v>1851</v>
      </c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idden="1">
      <c r="A293" s="26"/>
      <c r="B293" s="53" t="s">
        <v>575</v>
      </c>
      <c r="C293" s="53" t="s">
        <v>2095</v>
      </c>
      <c r="D293" s="53" t="s">
        <v>768</v>
      </c>
      <c r="E293" s="53" t="s">
        <v>2130</v>
      </c>
      <c r="F293" s="53" t="s">
        <v>768</v>
      </c>
      <c r="G293" s="53" t="s">
        <v>2103</v>
      </c>
      <c r="H293" s="54">
        <v>3.4413877108E8</v>
      </c>
      <c r="I293" s="26" t="s">
        <v>1851</v>
      </c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idden="1">
      <c r="A294" s="26"/>
      <c r="B294" s="53" t="s">
        <v>575</v>
      </c>
      <c r="C294" s="53" t="s">
        <v>2095</v>
      </c>
      <c r="D294" s="53" t="s">
        <v>772</v>
      </c>
      <c r="E294" s="53" t="s">
        <v>2131</v>
      </c>
      <c r="F294" s="53" t="s">
        <v>772</v>
      </c>
      <c r="G294" s="53" t="s">
        <v>2097</v>
      </c>
      <c r="H294" s="54">
        <v>8.462376109E7</v>
      </c>
      <c r="I294" s="26" t="s">
        <v>1851</v>
      </c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idden="1">
      <c r="A295" s="26"/>
      <c r="B295" s="53" t="s">
        <v>575</v>
      </c>
      <c r="C295" s="53" t="s">
        <v>2095</v>
      </c>
      <c r="D295" s="53" t="s">
        <v>772</v>
      </c>
      <c r="E295" s="53" t="s">
        <v>2132</v>
      </c>
      <c r="F295" s="53" t="s">
        <v>772</v>
      </c>
      <c r="G295" s="53" t="s">
        <v>2101</v>
      </c>
      <c r="H295" s="54">
        <v>2.314181094E7</v>
      </c>
      <c r="I295" s="26" t="s">
        <v>1851</v>
      </c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idden="1">
      <c r="A296" s="26"/>
      <c r="B296" s="53" t="s">
        <v>575</v>
      </c>
      <c r="C296" s="53" t="s">
        <v>2095</v>
      </c>
      <c r="D296" s="53" t="s">
        <v>772</v>
      </c>
      <c r="E296" s="53" t="s">
        <v>2133</v>
      </c>
      <c r="F296" s="53" t="s">
        <v>772</v>
      </c>
      <c r="G296" s="53" t="s">
        <v>2103</v>
      </c>
      <c r="H296" s="54">
        <v>1.0362378712E8</v>
      </c>
      <c r="I296" s="26" t="s">
        <v>1851</v>
      </c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idden="1">
      <c r="A297" s="26"/>
      <c r="B297" s="53" t="s">
        <v>575</v>
      </c>
      <c r="C297" s="53" t="s">
        <v>2095</v>
      </c>
      <c r="D297" s="53" t="s">
        <v>726</v>
      </c>
      <c r="E297" s="53" t="s">
        <v>2134</v>
      </c>
      <c r="F297" s="53" t="s">
        <v>726</v>
      </c>
      <c r="G297" s="53" t="s">
        <v>2097</v>
      </c>
      <c r="H297" s="54">
        <v>1.7555265792E8</v>
      </c>
      <c r="I297" s="26" t="s">
        <v>1851</v>
      </c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idden="1">
      <c r="A298" s="26"/>
      <c r="B298" s="53" t="s">
        <v>575</v>
      </c>
      <c r="C298" s="53" t="s">
        <v>2095</v>
      </c>
      <c r="D298" s="53" t="s">
        <v>726</v>
      </c>
      <c r="E298" s="53" t="s">
        <v>2135</v>
      </c>
      <c r="F298" s="53" t="s">
        <v>726</v>
      </c>
      <c r="G298" s="53" t="s">
        <v>2101</v>
      </c>
      <c r="H298" s="54">
        <v>2.769031064E7</v>
      </c>
      <c r="I298" s="26" t="s">
        <v>1851</v>
      </c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idden="1">
      <c r="A299" s="26"/>
      <c r="B299" s="53" t="s">
        <v>575</v>
      </c>
      <c r="C299" s="53" t="s">
        <v>2095</v>
      </c>
      <c r="D299" s="53" t="s">
        <v>726</v>
      </c>
      <c r="E299" s="53" t="s">
        <v>2136</v>
      </c>
      <c r="F299" s="53" t="s">
        <v>726</v>
      </c>
      <c r="G299" s="53" t="s">
        <v>2103</v>
      </c>
      <c r="H299" s="54">
        <v>1.485434335E8</v>
      </c>
      <c r="I299" s="26" t="s">
        <v>1851</v>
      </c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idden="1">
      <c r="A300" s="26"/>
      <c r="B300" s="53" t="s">
        <v>575</v>
      </c>
      <c r="C300" s="53" t="s">
        <v>2095</v>
      </c>
      <c r="D300" s="53" t="s">
        <v>774</v>
      </c>
      <c r="E300" s="53" t="s">
        <v>2137</v>
      </c>
      <c r="F300" s="53" t="s">
        <v>774</v>
      </c>
      <c r="G300" s="53" t="s">
        <v>2097</v>
      </c>
      <c r="H300" s="54">
        <v>4.427872512E7</v>
      </c>
      <c r="I300" s="26" t="s">
        <v>1851</v>
      </c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idden="1">
      <c r="A301" s="26"/>
      <c r="B301" s="53" t="s">
        <v>575</v>
      </c>
      <c r="C301" s="53" t="s">
        <v>2095</v>
      </c>
      <c r="D301" s="53" t="s">
        <v>774</v>
      </c>
      <c r="E301" s="53" t="s">
        <v>2138</v>
      </c>
      <c r="F301" s="53" t="s">
        <v>774</v>
      </c>
      <c r="G301" s="53" t="s">
        <v>2103</v>
      </c>
      <c r="H301" s="54">
        <v>5.55952595E7</v>
      </c>
      <c r="I301" s="26" t="s">
        <v>1851</v>
      </c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idden="1">
      <c r="A302" s="26"/>
      <c r="B302" s="53" t="s">
        <v>575</v>
      </c>
      <c r="C302" s="53" t="s">
        <v>2095</v>
      </c>
      <c r="D302" s="53" t="s">
        <v>776</v>
      </c>
      <c r="E302" s="53" t="s">
        <v>2139</v>
      </c>
      <c r="F302" s="53" t="s">
        <v>776</v>
      </c>
      <c r="G302" s="53" t="s">
        <v>2097</v>
      </c>
      <c r="H302" s="54">
        <v>5.6207644578E8</v>
      </c>
      <c r="I302" s="26" t="s">
        <v>1851</v>
      </c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idden="1">
      <c r="A303" s="26"/>
      <c r="B303" s="53" t="s">
        <v>575</v>
      </c>
      <c r="C303" s="53" t="s">
        <v>2095</v>
      </c>
      <c r="D303" s="53" t="s">
        <v>776</v>
      </c>
      <c r="E303" s="53" t="s">
        <v>2140</v>
      </c>
      <c r="F303" s="53" t="s">
        <v>776</v>
      </c>
      <c r="G303" s="53" t="s">
        <v>2101</v>
      </c>
      <c r="H303" s="54">
        <v>1.2463491834E8</v>
      </c>
      <c r="I303" s="26" t="s">
        <v>1851</v>
      </c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idden="1">
      <c r="A304" s="26"/>
      <c r="B304" s="53" t="s">
        <v>575</v>
      </c>
      <c r="C304" s="53" t="s">
        <v>2095</v>
      </c>
      <c r="D304" s="53" t="s">
        <v>776</v>
      </c>
      <c r="E304" s="53" t="s">
        <v>2141</v>
      </c>
      <c r="F304" s="53" t="s">
        <v>776</v>
      </c>
      <c r="G304" s="53" t="s">
        <v>2103</v>
      </c>
      <c r="H304" s="54">
        <v>6.7514829488E8</v>
      </c>
      <c r="I304" s="26" t="s">
        <v>1851</v>
      </c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idden="1">
      <c r="A305" s="26"/>
      <c r="B305" s="53" t="s">
        <v>575</v>
      </c>
      <c r="C305" s="53" t="s">
        <v>2095</v>
      </c>
      <c r="D305" s="53" t="s">
        <v>776</v>
      </c>
      <c r="E305" s="53" t="s">
        <v>2142</v>
      </c>
      <c r="F305" s="53" t="s">
        <v>2143</v>
      </c>
      <c r="G305" s="53" t="s">
        <v>2115</v>
      </c>
      <c r="H305" s="54">
        <v>2.8728855E7</v>
      </c>
      <c r="I305" s="26" t="s">
        <v>1851</v>
      </c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idden="1">
      <c r="A306" s="26"/>
      <c r="B306" s="53" t="s">
        <v>575</v>
      </c>
      <c r="C306" s="53" t="s">
        <v>2095</v>
      </c>
      <c r="D306" s="53" t="s">
        <v>1061</v>
      </c>
      <c r="E306" s="53" t="s">
        <v>2144</v>
      </c>
      <c r="F306" s="53" t="s">
        <v>1061</v>
      </c>
      <c r="G306" s="53" t="s">
        <v>2097</v>
      </c>
      <c r="H306" s="54">
        <v>7.978885973E7</v>
      </c>
      <c r="I306" s="26" t="s">
        <v>1851</v>
      </c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idden="1">
      <c r="A307" s="26"/>
      <c r="B307" s="53" t="s">
        <v>575</v>
      </c>
      <c r="C307" s="53" t="s">
        <v>2095</v>
      </c>
      <c r="D307" s="53" t="s">
        <v>1061</v>
      </c>
      <c r="E307" s="53" t="s">
        <v>2145</v>
      </c>
      <c r="F307" s="53" t="s">
        <v>1061</v>
      </c>
      <c r="G307" s="53" t="s">
        <v>2101</v>
      </c>
      <c r="H307" s="54">
        <v>2.03586903E7</v>
      </c>
      <c r="I307" s="26" t="s">
        <v>1851</v>
      </c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idden="1">
      <c r="A308" s="26"/>
      <c r="B308" s="53" t="s">
        <v>575</v>
      </c>
      <c r="C308" s="53" t="s">
        <v>2095</v>
      </c>
      <c r="D308" s="53" t="s">
        <v>1061</v>
      </c>
      <c r="E308" s="53" t="s">
        <v>2146</v>
      </c>
      <c r="F308" s="53" t="s">
        <v>1061</v>
      </c>
      <c r="G308" s="53" t="s">
        <v>2103</v>
      </c>
      <c r="H308" s="54">
        <v>7.66262403E7</v>
      </c>
      <c r="I308" s="26" t="s">
        <v>1851</v>
      </c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idden="1">
      <c r="A309" s="26"/>
      <c r="B309" s="53" t="s">
        <v>575</v>
      </c>
      <c r="C309" s="53" t="s">
        <v>2095</v>
      </c>
      <c r="D309" s="53" t="s">
        <v>720</v>
      </c>
      <c r="E309" s="53" t="s">
        <v>2147</v>
      </c>
      <c r="F309" s="53" t="s">
        <v>720</v>
      </c>
      <c r="G309" s="53" t="s">
        <v>2097</v>
      </c>
      <c r="H309" s="54">
        <v>2.522067438E7</v>
      </c>
      <c r="I309" s="26" t="s">
        <v>1851</v>
      </c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idden="1">
      <c r="A310" s="26"/>
      <c r="B310" s="53" t="s">
        <v>575</v>
      </c>
      <c r="C310" s="53" t="s">
        <v>2095</v>
      </c>
      <c r="D310" s="53" t="s">
        <v>720</v>
      </c>
      <c r="E310" s="53" t="s">
        <v>2148</v>
      </c>
      <c r="F310" s="53" t="s">
        <v>720</v>
      </c>
      <c r="G310" s="53" t="s">
        <v>2101</v>
      </c>
      <c r="H310" s="54">
        <v>5346430.48</v>
      </c>
      <c r="I310" s="26" t="s">
        <v>1851</v>
      </c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idden="1">
      <c r="A311" s="26"/>
      <c r="B311" s="53" t="s">
        <v>575</v>
      </c>
      <c r="C311" s="53" t="s">
        <v>2095</v>
      </c>
      <c r="D311" s="53" t="s">
        <v>720</v>
      </c>
      <c r="E311" s="53" t="s">
        <v>2149</v>
      </c>
      <c r="F311" s="53" t="s">
        <v>720</v>
      </c>
      <c r="G311" s="53" t="s">
        <v>2103</v>
      </c>
      <c r="H311" s="54">
        <v>4.03482475E7</v>
      </c>
      <c r="I311" s="26" t="s">
        <v>1851</v>
      </c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idden="1">
      <c r="A312" s="26"/>
      <c r="B312" s="53" t="s">
        <v>575</v>
      </c>
      <c r="C312" s="53" t="s">
        <v>2095</v>
      </c>
      <c r="D312" s="53" t="s">
        <v>779</v>
      </c>
      <c r="E312" s="53" t="s">
        <v>2150</v>
      </c>
      <c r="F312" s="53" t="s">
        <v>779</v>
      </c>
      <c r="G312" s="53" t="s">
        <v>2097</v>
      </c>
      <c r="H312" s="54">
        <v>8.1487612134E8</v>
      </c>
      <c r="I312" s="26" t="s">
        <v>1851</v>
      </c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idden="1">
      <c r="A313" s="26"/>
      <c r="B313" s="53" t="s">
        <v>575</v>
      </c>
      <c r="C313" s="53" t="s">
        <v>2095</v>
      </c>
      <c r="D313" s="53" t="s">
        <v>779</v>
      </c>
      <c r="E313" s="53" t="s">
        <v>2151</v>
      </c>
      <c r="F313" s="53" t="s">
        <v>779</v>
      </c>
      <c r="G313" s="53" t="s">
        <v>2115</v>
      </c>
      <c r="H313" s="54">
        <v>1.970384864E8</v>
      </c>
      <c r="I313" s="26" t="s">
        <v>1851</v>
      </c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idden="1">
      <c r="A314" s="26"/>
      <c r="B314" s="53" t="s">
        <v>575</v>
      </c>
      <c r="C314" s="53" t="s">
        <v>2095</v>
      </c>
      <c r="D314" s="53" t="s">
        <v>779</v>
      </c>
      <c r="E314" s="53" t="s">
        <v>2152</v>
      </c>
      <c r="F314" s="53" t="s">
        <v>779</v>
      </c>
      <c r="G314" s="53" t="s">
        <v>2101</v>
      </c>
      <c r="H314" s="54">
        <v>1.2931928119E8</v>
      </c>
      <c r="I314" s="26" t="s">
        <v>1851</v>
      </c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idden="1">
      <c r="A315" s="26"/>
      <c r="B315" s="53" t="s">
        <v>575</v>
      </c>
      <c r="C315" s="53" t="s">
        <v>2095</v>
      </c>
      <c r="D315" s="53" t="s">
        <v>779</v>
      </c>
      <c r="E315" s="53" t="s">
        <v>2153</v>
      </c>
      <c r="F315" s="53" t="s">
        <v>779</v>
      </c>
      <c r="G315" s="53" t="s">
        <v>2103</v>
      </c>
      <c r="H315" s="54">
        <v>8.258272095E8</v>
      </c>
      <c r="I315" s="26" t="s">
        <v>1851</v>
      </c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idden="1">
      <c r="A316" s="26"/>
      <c r="B316" s="53" t="s">
        <v>575</v>
      </c>
      <c r="C316" s="53" t="s">
        <v>2095</v>
      </c>
      <c r="D316" s="53" t="s">
        <v>783</v>
      </c>
      <c r="E316" s="53" t="s">
        <v>2154</v>
      </c>
      <c r="F316" s="53" t="s">
        <v>783</v>
      </c>
      <c r="G316" s="53" t="s">
        <v>2097</v>
      </c>
      <c r="H316" s="54">
        <v>5.3483920434E8</v>
      </c>
      <c r="I316" s="26" t="s">
        <v>1851</v>
      </c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idden="1">
      <c r="A317" s="26"/>
      <c r="B317" s="53" t="s">
        <v>575</v>
      </c>
      <c r="C317" s="53" t="s">
        <v>2095</v>
      </c>
      <c r="D317" s="53" t="s">
        <v>783</v>
      </c>
      <c r="E317" s="53" t="s">
        <v>2155</v>
      </c>
      <c r="F317" s="53" t="s">
        <v>783</v>
      </c>
      <c r="G317" s="53" t="s">
        <v>2101</v>
      </c>
      <c r="H317" s="54">
        <v>9.386795346E7</v>
      </c>
      <c r="I317" s="26" t="s">
        <v>1851</v>
      </c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idden="1">
      <c r="A318" s="26"/>
      <c r="B318" s="53" t="s">
        <v>575</v>
      </c>
      <c r="C318" s="53" t="s">
        <v>2095</v>
      </c>
      <c r="D318" s="53" t="s">
        <v>783</v>
      </c>
      <c r="E318" s="53" t="s">
        <v>2156</v>
      </c>
      <c r="F318" s="53" t="s">
        <v>783</v>
      </c>
      <c r="G318" s="53" t="s">
        <v>2103</v>
      </c>
      <c r="H318" s="54">
        <v>4.3075889523E8</v>
      </c>
      <c r="I318" s="26" t="s">
        <v>1851</v>
      </c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idden="1">
      <c r="A319" s="26"/>
      <c r="B319" s="53" t="s">
        <v>575</v>
      </c>
      <c r="C319" s="53" t="s">
        <v>2095</v>
      </c>
      <c r="D319" s="53" t="s">
        <v>708</v>
      </c>
      <c r="E319" s="53" t="s">
        <v>2157</v>
      </c>
      <c r="F319" s="53" t="s">
        <v>708</v>
      </c>
      <c r="G319" s="53" t="s">
        <v>2097</v>
      </c>
      <c r="H319" s="54">
        <v>8.8285737134E8</v>
      </c>
      <c r="I319" s="26" t="s">
        <v>1851</v>
      </c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idden="1">
      <c r="A320" s="26"/>
      <c r="B320" s="53" t="s">
        <v>575</v>
      </c>
      <c r="C320" s="53" t="s">
        <v>2095</v>
      </c>
      <c r="D320" s="53" t="s">
        <v>708</v>
      </c>
      <c r="E320" s="53" t="s">
        <v>2158</v>
      </c>
      <c r="F320" s="53" t="s">
        <v>708</v>
      </c>
      <c r="G320" s="53" t="s">
        <v>2115</v>
      </c>
      <c r="H320" s="54">
        <v>4.2541875E7</v>
      </c>
      <c r="I320" s="26" t="s">
        <v>1851</v>
      </c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idden="1">
      <c r="A321" s="26"/>
      <c r="B321" s="53" t="s">
        <v>575</v>
      </c>
      <c r="C321" s="53" t="s">
        <v>2095</v>
      </c>
      <c r="D321" s="53" t="s">
        <v>708</v>
      </c>
      <c r="E321" s="53" t="s">
        <v>2159</v>
      </c>
      <c r="F321" s="53" t="s">
        <v>708</v>
      </c>
      <c r="G321" s="53" t="s">
        <v>2101</v>
      </c>
      <c r="H321" s="54">
        <v>9.347850742E7</v>
      </c>
      <c r="I321" s="26" t="s">
        <v>1851</v>
      </c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idden="1">
      <c r="A322" s="26"/>
      <c r="B322" s="53" t="s">
        <v>575</v>
      </c>
      <c r="C322" s="53" t="s">
        <v>2095</v>
      </c>
      <c r="D322" s="53" t="s">
        <v>708</v>
      </c>
      <c r="E322" s="53" t="s">
        <v>2160</v>
      </c>
      <c r="F322" s="53" t="s">
        <v>708</v>
      </c>
      <c r="G322" s="53" t="s">
        <v>2103</v>
      </c>
      <c r="H322" s="54">
        <v>1.19030931332E9</v>
      </c>
      <c r="I322" s="26" t="s">
        <v>1851</v>
      </c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idden="1">
      <c r="A323" s="26"/>
      <c r="B323" s="53" t="s">
        <v>575</v>
      </c>
      <c r="C323" s="53" t="s">
        <v>2095</v>
      </c>
      <c r="D323" s="53" t="s">
        <v>788</v>
      </c>
      <c r="E323" s="53" t="s">
        <v>2161</v>
      </c>
      <c r="F323" s="53" t="s">
        <v>788</v>
      </c>
      <c r="G323" s="53" t="s">
        <v>2097</v>
      </c>
      <c r="H323" s="54">
        <v>1.4636216329E8</v>
      </c>
      <c r="I323" s="26" t="s">
        <v>1851</v>
      </c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idden="1">
      <c r="A324" s="26"/>
      <c r="B324" s="53" t="s">
        <v>575</v>
      </c>
      <c r="C324" s="53" t="s">
        <v>2095</v>
      </c>
      <c r="D324" s="53" t="s">
        <v>788</v>
      </c>
      <c r="E324" s="53" t="s">
        <v>2162</v>
      </c>
      <c r="F324" s="53" t="s">
        <v>788</v>
      </c>
      <c r="G324" s="53" t="s">
        <v>2115</v>
      </c>
      <c r="H324" s="54">
        <v>1.981980495E7</v>
      </c>
      <c r="I324" s="26" t="s">
        <v>1851</v>
      </c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idden="1">
      <c r="A325" s="26"/>
      <c r="B325" s="53" t="s">
        <v>575</v>
      </c>
      <c r="C325" s="53" t="s">
        <v>2095</v>
      </c>
      <c r="D325" s="53" t="s">
        <v>788</v>
      </c>
      <c r="E325" s="53" t="s">
        <v>2163</v>
      </c>
      <c r="F325" s="53" t="s">
        <v>788</v>
      </c>
      <c r="G325" s="53" t="s">
        <v>2101</v>
      </c>
      <c r="H325" s="54">
        <v>1.824594972E7</v>
      </c>
      <c r="I325" s="26" t="s">
        <v>1851</v>
      </c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idden="1">
      <c r="A326" s="26"/>
      <c r="B326" s="53" t="s">
        <v>575</v>
      </c>
      <c r="C326" s="53" t="s">
        <v>2095</v>
      </c>
      <c r="D326" s="53" t="s">
        <v>788</v>
      </c>
      <c r="E326" s="53" t="s">
        <v>2164</v>
      </c>
      <c r="F326" s="53" t="s">
        <v>788</v>
      </c>
      <c r="G326" s="53" t="s">
        <v>2103</v>
      </c>
      <c r="H326" s="54">
        <v>1.6843889529E8</v>
      </c>
      <c r="I326" s="26" t="s">
        <v>1851</v>
      </c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idden="1">
      <c r="A327" s="26"/>
      <c r="B327" s="53" t="s">
        <v>575</v>
      </c>
      <c r="C327" s="53" t="s">
        <v>2095</v>
      </c>
      <c r="D327" s="53" t="s">
        <v>800</v>
      </c>
      <c r="E327" s="53" t="s">
        <v>2165</v>
      </c>
      <c r="F327" s="53" t="s">
        <v>800</v>
      </c>
      <c r="G327" s="53" t="s">
        <v>2097</v>
      </c>
      <c r="H327" s="54">
        <v>1.5946077696E8</v>
      </c>
      <c r="I327" s="26" t="s">
        <v>1851</v>
      </c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idden="1">
      <c r="A328" s="26"/>
      <c r="B328" s="53" t="s">
        <v>575</v>
      </c>
      <c r="C328" s="53" t="s">
        <v>2095</v>
      </c>
      <c r="D328" s="53" t="s">
        <v>800</v>
      </c>
      <c r="E328" s="53" t="s">
        <v>2166</v>
      </c>
      <c r="F328" s="53" t="s">
        <v>800</v>
      </c>
      <c r="G328" s="53" t="s">
        <v>2101</v>
      </c>
      <c r="H328" s="54">
        <v>4.057984912E7</v>
      </c>
      <c r="I328" s="26" t="s">
        <v>1851</v>
      </c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idden="1">
      <c r="A329" s="26"/>
      <c r="B329" s="53" t="s">
        <v>575</v>
      </c>
      <c r="C329" s="53" t="s">
        <v>2095</v>
      </c>
      <c r="D329" s="53" t="s">
        <v>800</v>
      </c>
      <c r="E329" s="53" t="s">
        <v>2167</v>
      </c>
      <c r="F329" s="53" t="s">
        <v>800</v>
      </c>
      <c r="G329" s="53" t="s">
        <v>2103</v>
      </c>
      <c r="H329" s="54">
        <v>1.41574477E8</v>
      </c>
      <c r="I329" s="26" t="s">
        <v>1851</v>
      </c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idden="1">
      <c r="A330" s="26"/>
      <c r="B330" s="53" t="s">
        <v>575</v>
      </c>
      <c r="C330" s="53" t="s">
        <v>2095</v>
      </c>
      <c r="D330" s="53" t="s">
        <v>953</v>
      </c>
      <c r="E330" s="53" t="s">
        <v>2168</v>
      </c>
      <c r="F330" s="53" t="s">
        <v>953</v>
      </c>
      <c r="G330" s="53" t="s">
        <v>2097</v>
      </c>
      <c r="H330" s="54">
        <v>6.673913688E7</v>
      </c>
      <c r="I330" s="26" t="s">
        <v>1851</v>
      </c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idden="1">
      <c r="A331" s="26"/>
      <c r="B331" s="53" t="s">
        <v>575</v>
      </c>
      <c r="C331" s="53" t="s">
        <v>2095</v>
      </c>
      <c r="D331" s="53" t="s">
        <v>953</v>
      </c>
      <c r="E331" s="53" t="s">
        <v>2169</v>
      </c>
      <c r="F331" s="53" t="s">
        <v>953</v>
      </c>
      <c r="G331" s="53" t="s">
        <v>2101</v>
      </c>
      <c r="H331" s="54">
        <v>8050027.38</v>
      </c>
      <c r="I331" s="26" t="s">
        <v>1851</v>
      </c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idden="1">
      <c r="A332" s="26"/>
      <c r="B332" s="53" t="s">
        <v>575</v>
      </c>
      <c r="C332" s="53" t="s">
        <v>2095</v>
      </c>
      <c r="D332" s="53" t="s">
        <v>953</v>
      </c>
      <c r="E332" s="53" t="s">
        <v>2170</v>
      </c>
      <c r="F332" s="53" t="s">
        <v>953</v>
      </c>
      <c r="G332" s="53" t="s">
        <v>2103</v>
      </c>
      <c r="H332" s="54">
        <v>6.489363576E7</v>
      </c>
      <c r="I332" s="26" t="s">
        <v>1851</v>
      </c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idden="1">
      <c r="A333" s="26"/>
      <c r="B333" s="53" t="s">
        <v>575</v>
      </c>
      <c r="C333" s="53" t="s">
        <v>2095</v>
      </c>
      <c r="D333" s="53" t="s">
        <v>812</v>
      </c>
      <c r="E333" s="53" t="s">
        <v>2171</v>
      </c>
      <c r="F333" s="53" t="s">
        <v>812</v>
      </c>
      <c r="G333" s="53" t="s">
        <v>2097</v>
      </c>
      <c r="H333" s="54">
        <v>3.827333626E7</v>
      </c>
      <c r="I333" s="26" t="s">
        <v>1851</v>
      </c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idden="1">
      <c r="A334" s="26"/>
      <c r="B334" s="53" t="s">
        <v>575</v>
      </c>
      <c r="C334" s="53" t="s">
        <v>2095</v>
      </c>
      <c r="D334" s="53" t="s">
        <v>812</v>
      </c>
      <c r="E334" s="53" t="s">
        <v>5281</v>
      </c>
      <c r="F334" s="53" t="s">
        <v>812</v>
      </c>
      <c r="G334" s="53" t="s">
        <v>2101</v>
      </c>
      <c r="H334" s="54">
        <v>0.0</v>
      </c>
      <c r="I334" s="26" t="s">
        <v>1851</v>
      </c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idden="1">
      <c r="A335" s="26"/>
      <c r="B335" s="53" t="s">
        <v>575</v>
      </c>
      <c r="C335" s="53" t="s">
        <v>2095</v>
      </c>
      <c r="D335" s="53" t="s">
        <v>812</v>
      </c>
      <c r="E335" s="53" t="s">
        <v>2172</v>
      </c>
      <c r="F335" s="53" t="s">
        <v>812</v>
      </c>
      <c r="G335" s="53" t="s">
        <v>2103</v>
      </c>
      <c r="H335" s="54">
        <v>3.897567279E7</v>
      </c>
      <c r="I335" s="26" t="s">
        <v>1851</v>
      </c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idden="1">
      <c r="A336" s="26"/>
      <c r="B336" s="53" t="s">
        <v>575</v>
      </c>
      <c r="C336" s="53" t="s">
        <v>2095</v>
      </c>
      <c r="D336" s="53" t="s">
        <v>814</v>
      </c>
      <c r="E336" s="53" t="s">
        <v>2173</v>
      </c>
      <c r="F336" s="53" t="s">
        <v>814</v>
      </c>
      <c r="G336" s="53" t="s">
        <v>2097</v>
      </c>
      <c r="H336" s="54">
        <v>2.7138789927E8</v>
      </c>
      <c r="I336" s="26" t="s">
        <v>1851</v>
      </c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idden="1">
      <c r="A337" s="26"/>
      <c r="B337" s="53" t="s">
        <v>575</v>
      </c>
      <c r="C337" s="53" t="s">
        <v>2095</v>
      </c>
      <c r="D337" s="53" t="s">
        <v>814</v>
      </c>
      <c r="E337" s="53" t="s">
        <v>2174</v>
      </c>
      <c r="F337" s="53" t="s">
        <v>814</v>
      </c>
      <c r="G337" s="53" t="s">
        <v>2115</v>
      </c>
      <c r="H337" s="54">
        <v>1.154769473E8</v>
      </c>
      <c r="I337" s="26" t="s">
        <v>1851</v>
      </c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idden="1">
      <c r="A338" s="26"/>
      <c r="B338" s="53" t="s">
        <v>575</v>
      </c>
      <c r="C338" s="53" t="s">
        <v>2095</v>
      </c>
      <c r="D338" s="53" t="s">
        <v>814</v>
      </c>
      <c r="E338" s="53" t="s">
        <v>2175</v>
      </c>
      <c r="F338" s="53" t="s">
        <v>814</v>
      </c>
      <c r="G338" s="53" t="s">
        <v>2101</v>
      </c>
      <c r="H338" s="54">
        <v>3.241158594E7</v>
      </c>
      <c r="I338" s="26" t="s">
        <v>1851</v>
      </c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idden="1">
      <c r="A339" s="26"/>
      <c r="B339" s="53" t="s">
        <v>575</v>
      </c>
      <c r="C339" s="53" t="s">
        <v>2095</v>
      </c>
      <c r="D339" s="53" t="s">
        <v>814</v>
      </c>
      <c r="E339" s="53" t="s">
        <v>2176</v>
      </c>
      <c r="F339" s="53" t="s">
        <v>814</v>
      </c>
      <c r="G339" s="53" t="s">
        <v>2103</v>
      </c>
      <c r="H339" s="54">
        <v>5.0598292475E8</v>
      </c>
      <c r="I339" s="26" t="s">
        <v>1851</v>
      </c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idden="1">
      <c r="A340" s="26"/>
      <c r="B340" s="53" t="s">
        <v>575</v>
      </c>
      <c r="C340" s="53" t="s">
        <v>2095</v>
      </c>
      <c r="D340" s="53" t="s">
        <v>816</v>
      </c>
      <c r="E340" s="53" t="s">
        <v>2177</v>
      </c>
      <c r="F340" s="53" t="s">
        <v>816</v>
      </c>
      <c r="G340" s="53" t="s">
        <v>2097</v>
      </c>
      <c r="H340" s="54">
        <v>8.809292544E7</v>
      </c>
      <c r="I340" s="26" t="s">
        <v>1851</v>
      </c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idden="1">
      <c r="A341" s="26"/>
      <c r="B341" s="53" t="s">
        <v>575</v>
      </c>
      <c r="C341" s="53" t="s">
        <v>2095</v>
      </c>
      <c r="D341" s="53" t="s">
        <v>816</v>
      </c>
      <c r="E341" s="53" t="s">
        <v>2178</v>
      </c>
      <c r="F341" s="53" t="s">
        <v>816</v>
      </c>
      <c r="G341" s="53" t="s">
        <v>2101</v>
      </c>
      <c r="H341" s="54">
        <v>3764658.6</v>
      </c>
      <c r="I341" s="26" t="s">
        <v>1851</v>
      </c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idden="1">
      <c r="A342" s="26"/>
      <c r="B342" s="53" t="s">
        <v>575</v>
      </c>
      <c r="C342" s="53" t="s">
        <v>2095</v>
      </c>
      <c r="D342" s="53" t="s">
        <v>816</v>
      </c>
      <c r="E342" s="53" t="s">
        <v>2179</v>
      </c>
      <c r="F342" s="53" t="s">
        <v>816</v>
      </c>
      <c r="G342" s="53" t="s">
        <v>2103</v>
      </c>
      <c r="H342" s="54">
        <v>8.30999235E7</v>
      </c>
      <c r="I342" s="26" t="s">
        <v>1851</v>
      </c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idden="1">
      <c r="A343" s="26"/>
      <c r="B343" s="53" t="s">
        <v>575</v>
      </c>
      <c r="C343" s="53" t="s">
        <v>2095</v>
      </c>
      <c r="D343" s="53" t="s">
        <v>826</v>
      </c>
      <c r="E343" s="53" t="s">
        <v>2180</v>
      </c>
      <c r="F343" s="53" t="s">
        <v>826</v>
      </c>
      <c r="G343" s="53" t="s">
        <v>2097</v>
      </c>
      <c r="H343" s="54">
        <v>1.33046251748E9</v>
      </c>
      <c r="I343" s="26" t="s">
        <v>1851</v>
      </c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idden="1">
      <c r="A344" s="26"/>
      <c r="B344" s="53" t="s">
        <v>575</v>
      </c>
      <c r="C344" s="53" t="s">
        <v>2095</v>
      </c>
      <c r="D344" s="53" t="s">
        <v>826</v>
      </c>
      <c r="E344" s="53" t="s">
        <v>2181</v>
      </c>
      <c r="F344" s="53" t="s">
        <v>826</v>
      </c>
      <c r="G344" s="53" t="s">
        <v>2101</v>
      </c>
      <c r="H344" s="54">
        <v>1.6404879348E8</v>
      </c>
      <c r="I344" s="26" t="s">
        <v>1851</v>
      </c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idden="1">
      <c r="A345" s="26"/>
      <c r="B345" s="53" t="s">
        <v>575</v>
      </c>
      <c r="C345" s="53" t="s">
        <v>2095</v>
      </c>
      <c r="D345" s="53" t="s">
        <v>826</v>
      </c>
      <c r="E345" s="53" t="s">
        <v>2182</v>
      </c>
      <c r="F345" s="53" t="s">
        <v>826</v>
      </c>
      <c r="G345" s="53" t="s">
        <v>2103</v>
      </c>
      <c r="H345" s="54">
        <v>1.18367098084E9</v>
      </c>
      <c r="I345" s="26" t="s">
        <v>1851</v>
      </c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idden="1">
      <c r="A346" s="26"/>
      <c r="B346" s="53" t="s">
        <v>575</v>
      </c>
      <c r="C346" s="53" t="s">
        <v>2095</v>
      </c>
      <c r="D346" s="53" t="s">
        <v>830</v>
      </c>
      <c r="E346" s="53" t="s">
        <v>2183</v>
      </c>
      <c r="F346" s="53" t="s">
        <v>830</v>
      </c>
      <c r="G346" s="53" t="s">
        <v>2097</v>
      </c>
      <c r="H346" s="54">
        <v>6.8108346786E8</v>
      </c>
      <c r="I346" s="26" t="s">
        <v>1851</v>
      </c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idden="1">
      <c r="A347" s="26"/>
      <c r="B347" s="53" t="s">
        <v>575</v>
      </c>
      <c r="C347" s="53" t="s">
        <v>2095</v>
      </c>
      <c r="D347" s="53" t="s">
        <v>830</v>
      </c>
      <c r="E347" s="53" t="s">
        <v>2184</v>
      </c>
      <c r="F347" s="53" t="s">
        <v>830</v>
      </c>
      <c r="G347" s="53" t="s">
        <v>2101</v>
      </c>
      <c r="H347" s="54">
        <v>1.3496484366E8</v>
      </c>
      <c r="I347" s="26" t="s">
        <v>1851</v>
      </c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idden="1">
      <c r="A348" s="26"/>
      <c r="B348" s="53" t="s">
        <v>575</v>
      </c>
      <c r="C348" s="53" t="s">
        <v>2095</v>
      </c>
      <c r="D348" s="53" t="s">
        <v>830</v>
      </c>
      <c r="E348" s="53" t="s">
        <v>2185</v>
      </c>
      <c r="F348" s="53" t="s">
        <v>830</v>
      </c>
      <c r="G348" s="53" t="s">
        <v>2103</v>
      </c>
      <c r="H348" s="54">
        <v>8.7202106104E8</v>
      </c>
      <c r="I348" s="26" t="s">
        <v>1851</v>
      </c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idden="1">
      <c r="A349" s="26"/>
      <c r="B349" s="53" t="s">
        <v>575</v>
      </c>
      <c r="C349" s="53" t="s">
        <v>2095</v>
      </c>
      <c r="D349" s="53" t="s">
        <v>834</v>
      </c>
      <c r="E349" s="53" t="s">
        <v>2186</v>
      </c>
      <c r="F349" s="53" t="s">
        <v>834</v>
      </c>
      <c r="G349" s="53" t="s">
        <v>2097</v>
      </c>
      <c r="H349" s="54">
        <v>2395453.44</v>
      </c>
      <c r="I349" s="26" t="s">
        <v>1851</v>
      </c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idden="1">
      <c r="A350" s="26"/>
      <c r="B350" s="53" t="s">
        <v>575</v>
      </c>
      <c r="C350" s="53" t="s">
        <v>2095</v>
      </c>
      <c r="D350" s="53" t="s">
        <v>834</v>
      </c>
      <c r="E350" s="53" t="s">
        <v>5282</v>
      </c>
      <c r="F350" s="53" t="s">
        <v>834</v>
      </c>
      <c r="G350" s="53" t="s">
        <v>2103</v>
      </c>
      <c r="H350" s="54">
        <v>0.0</v>
      </c>
      <c r="I350" s="26" t="s">
        <v>1851</v>
      </c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idden="1">
      <c r="A351" s="26"/>
      <c r="B351" s="53" t="s">
        <v>575</v>
      </c>
      <c r="C351" s="53" t="s">
        <v>2095</v>
      </c>
      <c r="D351" s="53" t="s">
        <v>836</v>
      </c>
      <c r="E351" s="53" t="s">
        <v>2187</v>
      </c>
      <c r="F351" s="53" t="s">
        <v>836</v>
      </c>
      <c r="G351" s="53" t="s">
        <v>2097</v>
      </c>
      <c r="H351" s="54">
        <v>3.602243241E7</v>
      </c>
      <c r="I351" s="26" t="s">
        <v>1851</v>
      </c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idden="1">
      <c r="A352" s="26"/>
      <c r="B352" s="53" t="s">
        <v>575</v>
      </c>
      <c r="C352" s="53" t="s">
        <v>2095</v>
      </c>
      <c r="D352" s="53" t="s">
        <v>836</v>
      </c>
      <c r="E352" s="53" t="s">
        <v>2188</v>
      </c>
      <c r="F352" s="53" t="s">
        <v>836</v>
      </c>
      <c r="G352" s="53" t="s">
        <v>2101</v>
      </c>
      <c r="H352" s="54">
        <v>8093177.7</v>
      </c>
      <c r="I352" s="26" t="s">
        <v>1851</v>
      </c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idden="1">
      <c r="A353" s="26"/>
      <c r="B353" s="53" t="s">
        <v>575</v>
      </c>
      <c r="C353" s="53" t="s">
        <v>2095</v>
      </c>
      <c r="D353" s="53" t="s">
        <v>836</v>
      </c>
      <c r="E353" s="53" t="s">
        <v>2189</v>
      </c>
      <c r="F353" s="53" t="s">
        <v>836</v>
      </c>
      <c r="G353" s="53" t="s">
        <v>2103</v>
      </c>
      <c r="H353" s="54">
        <v>6.75230602E7</v>
      </c>
      <c r="I353" s="26" t="s">
        <v>1851</v>
      </c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idden="1">
      <c r="A354" s="26"/>
      <c r="B354" s="53" t="s">
        <v>575</v>
      </c>
      <c r="C354" s="53" t="s">
        <v>2095</v>
      </c>
      <c r="D354" s="53" t="s">
        <v>1054</v>
      </c>
      <c r="E354" s="53" t="s">
        <v>2190</v>
      </c>
      <c r="F354" s="53" t="s">
        <v>1054</v>
      </c>
      <c r="G354" s="53" t="s">
        <v>2097</v>
      </c>
      <c r="H354" s="54">
        <v>8.0059191782E8</v>
      </c>
      <c r="I354" s="26" t="s">
        <v>1851</v>
      </c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idden="1">
      <c r="A355" s="26"/>
      <c r="B355" s="53" t="s">
        <v>575</v>
      </c>
      <c r="C355" s="53" t="s">
        <v>2095</v>
      </c>
      <c r="D355" s="53" t="s">
        <v>1054</v>
      </c>
      <c r="E355" s="53" t="s">
        <v>2191</v>
      </c>
      <c r="F355" s="53" t="s">
        <v>1054</v>
      </c>
      <c r="G355" s="53" t="s">
        <v>2101</v>
      </c>
      <c r="H355" s="54">
        <v>3.4860108634E8</v>
      </c>
      <c r="I355" s="26" t="s">
        <v>1851</v>
      </c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idden="1">
      <c r="A356" s="26"/>
      <c r="B356" s="53" t="s">
        <v>575</v>
      </c>
      <c r="C356" s="53" t="s">
        <v>2095</v>
      </c>
      <c r="D356" s="53" t="s">
        <v>1054</v>
      </c>
      <c r="E356" s="53" t="s">
        <v>2192</v>
      </c>
      <c r="F356" s="53" t="s">
        <v>1054</v>
      </c>
      <c r="G356" s="53" t="s">
        <v>2103</v>
      </c>
      <c r="H356" s="54">
        <v>6.527531648E8</v>
      </c>
      <c r="I356" s="26" t="s">
        <v>1851</v>
      </c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idden="1">
      <c r="A357" s="26"/>
      <c r="B357" s="53" t="s">
        <v>575</v>
      </c>
      <c r="C357" s="53" t="s">
        <v>2095</v>
      </c>
      <c r="D357" s="53" t="s">
        <v>710</v>
      </c>
      <c r="E357" s="53" t="s">
        <v>2193</v>
      </c>
      <c r="F357" s="53" t="s">
        <v>710</v>
      </c>
      <c r="G357" s="53" t="s">
        <v>2097</v>
      </c>
      <c r="H357" s="54">
        <v>6.051092004E8</v>
      </c>
      <c r="I357" s="26" t="s">
        <v>1851</v>
      </c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idden="1">
      <c r="A358" s="26"/>
      <c r="B358" s="53" t="s">
        <v>575</v>
      </c>
      <c r="C358" s="53" t="s">
        <v>2095</v>
      </c>
      <c r="D358" s="53" t="s">
        <v>710</v>
      </c>
      <c r="E358" s="53" t="s">
        <v>2194</v>
      </c>
      <c r="F358" s="53" t="s">
        <v>710</v>
      </c>
      <c r="G358" s="53" t="s">
        <v>2101</v>
      </c>
      <c r="H358" s="54">
        <v>1.1678124263E8</v>
      </c>
      <c r="I358" s="26" t="s">
        <v>1851</v>
      </c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idden="1">
      <c r="A359" s="26"/>
      <c r="B359" s="53" t="s">
        <v>575</v>
      </c>
      <c r="C359" s="53" t="s">
        <v>2095</v>
      </c>
      <c r="D359" s="53" t="s">
        <v>710</v>
      </c>
      <c r="E359" s="53" t="s">
        <v>2195</v>
      </c>
      <c r="F359" s="53" t="s">
        <v>710</v>
      </c>
      <c r="G359" s="53" t="s">
        <v>2103</v>
      </c>
      <c r="H359" s="54">
        <v>5.909114527E8</v>
      </c>
      <c r="I359" s="26" t="s">
        <v>1851</v>
      </c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idden="1">
      <c r="A360" s="26"/>
      <c r="B360" s="53" t="s">
        <v>575</v>
      </c>
      <c r="C360" s="53" t="s">
        <v>2095</v>
      </c>
      <c r="D360" s="53" t="s">
        <v>1139</v>
      </c>
      <c r="E360" s="53" t="s">
        <v>2196</v>
      </c>
      <c r="F360" s="53" t="s">
        <v>1139</v>
      </c>
      <c r="G360" s="53" t="s">
        <v>2097</v>
      </c>
      <c r="H360" s="54">
        <v>1.975458943E9</v>
      </c>
      <c r="I360" s="26" t="s">
        <v>1851</v>
      </c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idden="1">
      <c r="A361" s="26"/>
      <c r="B361" s="53" t="s">
        <v>575</v>
      </c>
      <c r="C361" s="53" t="s">
        <v>2095</v>
      </c>
      <c r="D361" s="53" t="s">
        <v>1139</v>
      </c>
      <c r="E361" s="53" t="s">
        <v>2197</v>
      </c>
      <c r="F361" s="53" t="s">
        <v>1139</v>
      </c>
      <c r="G361" s="53" t="s">
        <v>2115</v>
      </c>
      <c r="H361" s="54">
        <v>6.7607546764E8</v>
      </c>
      <c r="I361" s="26" t="s">
        <v>1851</v>
      </c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idden="1">
      <c r="A362" s="26"/>
      <c r="B362" s="53" t="s">
        <v>575</v>
      </c>
      <c r="C362" s="53" t="s">
        <v>2095</v>
      </c>
      <c r="D362" s="53" t="s">
        <v>1139</v>
      </c>
      <c r="E362" s="53" t="s">
        <v>2198</v>
      </c>
      <c r="F362" s="53" t="s">
        <v>1139</v>
      </c>
      <c r="G362" s="53" t="s">
        <v>2101</v>
      </c>
      <c r="H362" s="54">
        <v>7.7828760576E8</v>
      </c>
      <c r="I362" s="26" t="s">
        <v>1851</v>
      </c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idden="1">
      <c r="A363" s="26"/>
      <c r="B363" s="53" t="s">
        <v>575</v>
      </c>
      <c r="C363" s="53" t="s">
        <v>2095</v>
      </c>
      <c r="D363" s="53" t="s">
        <v>1139</v>
      </c>
      <c r="E363" s="53" t="s">
        <v>2199</v>
      </c>
      <c r="F363" s="53" t="s">
        <v>1139</v>
      </c>
      <c r="G363" s="53" t="s">
        <v>2103</v>
      </c>
      <c r="H363" s="54">
        <v>1.81534202838E9</v>
      </c>
      <c r="I363" s="26" t="s">
        <v>1851</v>
      </c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idden="1">
      <c r="A364" s="26"/>
      <c r="B364" s="53" t="s">
        <v>575</v>
      </c>
      <c r="C364" s="53" t="s">
        <v>2095</v>
      </c>
      <c r="D364" s="53" t="s">
        <v>842</v>
      </c>
      <c r="E364" s="53" t="s">
        <v>2200</v>
      </c>
      <c r="F364" s="53" t="s">
        <v>842</v>
      </c>
      <c r="G364" s="53" t="s">
        <v>2097</v>
      </c>
      <c r="H364" s="54">
        <v>1.0432297945E8</v>
      </c>
      <c r="I364" s="26" t="s">
        <v>1851</v>
      </c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idden="1">
      <c r="A365" s="26"/>
      <c r="B365" s="53" t="s">
        <v>575</v>
      </c>
      <c r="C365" s="53" t="s">
        <v>2095</v>
      </c>
      <c r="D365" s="53" t="s">
        <v>842</v>
      </c>
      <c r="E365" s="53" t="s">
        <v>2201</v>
      </c>
      <c r="F365" s="53" t="s">
        <v>842</v>
      </c>
      <c r="G365" s="53" t="s">
        <v>2101</v>
      </c>
      <c r="H365" s="54">
        <v>9691582.68</v>
      </c>
      <c r="I365" s="26" t="s">
        <v>1851</v>
      </c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idden="1">
      <c r="A366" s="26"/>
      <c r="B366" s="53" t="s">
        <v>575</v>
      </c>
      <c r="C366" s="53" t="s">
        <v>2095</v>
      </c>
      <c r="D366" s="53" t="s">
        <v>842</v>
      </c>
      <c r="E366" s="53" t="s">
        <v>2202</v>
      </c>
      <c r="F366" s="53" t="s">
        <v>842</v>
      </c>
      <c r="G366" s="53" t="s">
        <v>2103</v>
      </c>
      <c r="H366" s="54">
        <v>6.158093427E7</v>
      </c>
      <c r="I366" s="26" t="s">
        <v>1851</v>
      </c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idden="1">
      <c r="A367" s="26"/>
      <c r="B367" s="53" t="s">
        <v>575</v>
      </c>
      <c r="C367" s="53" t="s">
        <v>2095</v>
      </c>
      <c r="D367" s="53" t="s">
        <v>850</v>
      </c>
      <c r="E367" s="53" t="s">
        <v>2203</v>
      </c>
      <c r="F367" s="53" t="s">
        <v>850</v>
      </c>
      <c r="G367" s="53" t="s">
        <v>2097</v>
      </c>
      <c r="H367" s="54">
        <v>6.440401E7</v>
      </c>
      <c r="I367" s="26" t="s">
        <v>1851</v>
      </c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idden="1">
      <c r="A368" s="26"/>
      <c r="B368" s="53" t="s">
        <v>575</v>
      </c>
      <c r="C368" s="53" t="s">
        <v>2095</v>
      </c>
      <c r="D368" s="53" t="s">
        <v>850</v>
      </c>
      <c r="E368" s="53" t="s">
        <v>2204</v>
      </c>
      <c r="F368" s="53" t="s">
        <v>850</v>
      </c>
      <c r="G368" s="53" t="s">
        <v>2101</v>
      </c>
      <c r="H368" s="54">
        <v>3.67952898E7</v>
      </c>
      <c r="I368" s="26" t="s">
        <v>1851</v>
      </c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idden="1">
      <c r="A369" s="26"/>
      <c r="B369" s="53" t="s">
        <v>575</v>
      </c>
      <c r="C369" s="53" t="s">
        <v>2095</v>
      </c>
      <c r="D369" s="53" t="s">
        <v>850</v>
      </c>
      <c r="E369" s="53" t="s">
        <v>2205</v>
      </c>
      <c r="F369" s="53" t="s">
        <v>850</v>
      </c>
      <c r="G369" s="53" t="s">
        <v>2103</v>
      </c>
      <c r="H369" s="54">
        <v>7.720345896E7</v>
      </c>
      <c r="I369" s="26" t="s">
        <v>1851</v>
      </c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idden="1">
      <c r="A370" s="26"/>
      <c r="B370" s="53" t="s">
        <v>575</v>
      </c>
      <c r="C370" s="53" t="s">
        <v>2095</v>
      </c>
      <c r="D370" s="53" t="s">
        <v>866</v>
      </c>
      <c r="E370" s="53" t="s">
        <v>2206</v>
      </c>
      <c r="F370" s="53" t="s">
        <v>866</v>
      </c>
      <c r="G370" s="53" t="s">
        <v>2097</v>
      </c>
      <c r="H370" s="54">
        <v>6.820478976E7</v>
      </c>
      <c r="I370" s="26" t="s">
        <v>1851</v>
      </c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idden="1">
      <c r="A371" s="26"/>
      <c r="B371" s="53" t="s">
        <v>575</v>
      </c>
      <c r="C371" s="53" t="s">
        <v>2095</v>
      </c>
      <c r="D371" s="53" t="s">
        <v>866</v>
      </c>
      <c r="E371" s="53" t="s">
        <v>2207</v>
      </c>
      <c r="F371" s="53" t="s">
        <v>866</v>
      </c>
      <c r="G371" s="53" t="s">
        <v>2101</v>
      </c>
      <c r="H371" s="54">
        <v>3115655.52</v>
      </c>
      <c r="I371" s="26" t="s">
        <v>1851</v>
      </c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idden="1">
      <c r="A372" s="26"/>
      <c r="B372" s="53" t="s">
        <v>575</v>
      </c>
      <c r="C372" s="53" t="s">
        <v>2095</v>
      </c>
      <c r="D372" s="53" t="s">
        <v>866</v>
      </c>
      <c r="E372" s="53" t="s">
        <v>2208</v>
      </c>
      <c r="F372" s="53" t="s">
        <v>866</v>
      </c>
      <c r="G372" s="53" t="s">
        <v>2103</v>
      </c>
      <c r="H372" s="54">
        <v>9.393998075E7</v>
      </c>
      <c r="I372" s="26" t="s">
        <v>1851</v>
      </c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idden="1">
      <c r="A373" s="26"/>
      <c r="B373" s="53" t="s">
        <v>575</v>
      </c>
      <c r="C373" s="53" t="s">
        <v>2095</v>
      </c>
      <c r="D373" s="53" t="s">
        <v>701</v>
      </c>
      <c r="E373" s="53" t="s">
        <v>2209</v>
      </c>
      <c r="F373" s="53" t="s">
        <v>701</v>
      </c>
      <c r="G373" s="53" t="s">
        <v>2097</v>
      </c>
      <c r="H373" s="54">
        <v>3.5896877802E9</v>
      </c>
      <c r="I373" s="26" t="s">
        <v>1851</v>
      </c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idden="1">
      <c r="A374" s="26"/>
      <c r="B374" s="53" t="s">
        <v>575</v>
      </c>
      <c r="C374" s="53" t="s">
        <v>2095</v>
      </c>
      <c r="D374" s="53" t="s">
        <v>701</v>
      </c>
      <c r="E374" s="53" t="s">
        <v>2210</v>
      </c>
      <c r="F374" s="53" t="s">
        <v>701</v>
      </c>
      <c r="G374" s="53" t="s">
        <v>2115</v>
      </c>
      <c r="H374" s="54">
        <v>9.3345724665E8</v>
      </c>
      <c r="I374" s="26" t="s">
        <v>1851</v>
      </c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idden="1">
      <c r="A375" s="26"/>
      <c r="B375" s="53" t="s">
        <v>575</v>
      </c>
      <c r="C375" s="53" t="s">
        <v>2095</v>
      </c>
      <c r="D375" s="53" t="s">
        <v>701</v>
      </c>
      <c r="E375" s="53" t="s">
        <v>2211</v>
      </c>
      <c r="F375" s="53" t="s">
        <v>701</v>
      </c>
      <c r="G375" s="53" t="s">
        <v>2101</v>
      </c>
      <c r="H375" s="54">
        <v>1.39286426853E9</v>
      </c>
      <c r="I375" s="26" t="s">
        <v>1851</v>
      </c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idden="1">
      <c r="A376" s="26"/>
      <c r="B376" s="53" t="s">
        <v>575</v>
      </c>
      <c r="C376" s="53" t="s">
        <v>2095</v>
      </c>
      <c r="D376" s="53" t="s">
        <v>701</v>
      </c>
      <c r="E376" s="53" t="s">
        <v>2212</v>
      </c>
      <c r="F376" s="53" t="s">
        <v>701</v>
      </c>
      <c r="G376" s="53" t="s">
        <v>2103</v>
      </c>
      <c r="H376" s="54">
        <v>3.77284842816E9</v>
      </c>
      <c r="I376" s="26" t="s">
        <v>1851</v>
      </c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idden="1">
      <c r="A377" s="26"/>
      <c r="B377" s="53" t="s">
        <v>575</v>
      </c>
      <c r="C377" s="53" t="s">
        <v>2095</v>
      </c>
      <c r="D377" s="53" t="s">
        <v>870</v>
      </c>
      <c r="E377" s="53" t="s">
        <v>2213</v>
      </c>
      <c r="F377" s="53" t="s">
        <v>848</v>
      </c>
      <c r="G377" s="53" t="s">
        <v>2097</v>
      </c>
      <c r="H377" s="54">
        <v>2.178849792E7</v>
      </c>
      <c r="I377" s="26" t="s">
        <v>1851</v>
      </c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idden="1">
      <c r="A378" s="26"/>
      <c r="B378" s="53" t="s">
        <v>575</v>
      </c>
      <c r="C378" s="53" t="s">
        <v>2095</v>
      </c>
      <c r="D378" s="53" t="s">
        <v>870</v>
      </c>
      <c r="E378" s="53" t="s">
        <v>5283</v>
      </c>
      <c r="F378" s="53" t="s">
        <v>848</v>
      </c>
      <c r="G378" s="53" t="s">
        <v>2101</v>
      </c>
      <c r="H378" s="54">
        <v>0.0</v>
      </c>
      <c r="I378" s="26" t="s">
        <v>1851</v>
      </c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idden="1">
      <c r="A379" s="26"/>
      <c r="B379" s="53" t="s">
        <v>575</v>
      </c>
      <c r="C379" s="53" t="s">
        <v>2095</v>
      </c>
      <c r="D379" s="53" t="s">
        <v>870</v>
      </c>
      <c r="E379" s="53" t="s">
        <v>2214</v>
      </c>
      <c r="F379" s="53" t="s">
        <v>848</v>
      </c>
      <c r="G379" s="53" t="s">
        <v>2103</v>
      </c>
      <c r="H379" s="54">
        <v>5.0973098E7</v>
      </c>
      <c r="I379" s="26" t="s">
        <v>1851</v>
      </c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idden="1">
      <c r="A380" s="26"/>
      <c r="B380" s="53" t="s">
        <v>575</v>
      </c>
      <c r="C380" s="53" t="s">
        <v>2095</v>
      </c>
      <c r="D380" s="53" t="s">
        <v>1040</v>
      </c>
      <c r="E380" s="53" t="s">
        <v>2215</v>
      </c>
      <c r="F380" s="53" t="s">
        <v>1040</v>
      </c>
      <c r="G380" s="53" t="s">
        <v>2097</v>
      </c>
      <c r="H380" s="54">
        <v>8.498283192E7</v>
      </c>
      <c r="I380" s="26" t="s">
        <v>1851</v>
      </c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idden="1">
      <c r="A381" s="26"/>
      <c r="B381" s="53" t="s">
        <v>575</v>
      </c>
      <c r="C381" s="53" t="s">
        <v>2095</v>
      </c>
      <c r="D381" s="53" t="s">
        <v>1040</v>
      </c>
      <c r="E381" s="53" t="s">
        <v>2216</v>
      </c>
      <c r="F381" s="53" t="s">
        <v>1040</v>
      </c>
      <c r="G381" s="53" t="s">
        <v>2101</v>
      </c>
      <c r="H381" s="54">
        <v>2.909592045E7</v>
      </c>
      <c r="I381" s="26" t="s">
        <v>1851</v>
      </c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idden="1">
      <c r="A382" s="26"/>
      <c r="B382" s="53" t="s">
        <v>575</v>
      </c>
      <c r="C382" s="53" t="s">
        <v>2095</v>
      </c>
      <c r="D382" s="53" t="s">
        <v>1040</v>
      </c>
      <c r="E382" s="53" t="s">
        <v>2217</v>
      </c>
      <c r="F382" s="53" t="s">
        <v>1040</v>
      </c>
      <c r="G382" s="53" t="s">
        <v>2103</v>
      </c>
      <c r="H382" s="54">
        <v>1.3430505145E8</v>
      </c>
      <c r="I382" s="26" t="s">
        <v>1851</v>
      </c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idden="1">
      <c r="A383" s="26"/>
      <c r="B383" s="53" t="s">
        <v>575</v>
      </c>
      <c r="C383" s="53" t="s">
        <v>2095</v>
      </c>
      <c r="D383" s="53" t="s">
        <v>876</v>
      </c>
      <c r="E383" s="53" t="s">
        <v>2218</v>
      </c>
      <c r="F383" s="53" t="s">
        <v>876</v>
      </c>
      <c r="G383" s="53" t="s">
        <v>2097</v>
      </c>
      <c r="H383" s="54">
        <v>7.2010239017E8</v>
      </c>
      <c r="I383" s="26" t="s">
        <v>1851</v>
      </c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idden="1">
      <c r="A384" s="26"/>
      <c r="B384" s="53" t="s">
        <v>575</v>
      </c>
      <c r="C384" s="53" t="s">
        <v>2095</v>
      </c>
      <c r="D384" s="53" t="s">
        <v>876</v>
      </c>
      <c r="E384" s="53" t="s">
        <v>2219</v>
      </c>
      <c r="F384" s="53" t="s">
        <v>876</v>
      </c>
      <c r="G384" s="53" t="s">
        <v>2115</v>
      </c>
      <c r="H384" s="54">
        <v>4.0438240436E8</v>
      </c>
      <c r="I384" s="26" t="s">
        <v>1851</v>
      </c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idden="1">
      <c r="A385" s="26"/>
      <c r="B385" s="53" t="s">
        <v>575</v>
      </c>
      <c r="C385" s="53" t="s">
        <v>2095</v>
      </c>
      <c r="D385" s="53" t="s">
        <v>876</v>
      </c>
      <c r="E385" s="53" t="s">
        <v>2220</v>
      </c>
      <c r="F385" s="53" t="s">
        <v>876</v>
      </c>
      <c r="G385" s="53" t="s">
        <v>2101</v>
      </c>
      <c r="H385" s="54">
        <v>1.1572255182E8</v>
      </c>
      <c r="I385" s="26" t="s">
        <v>1851</v>
      </c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idden="1">
      <c r="A386" s="26"/>
      <c r="B386" s="53" t="s">
        <v>575</v>
      </c>
      <c r="C386" s="53" t="s">
        <v>2095</v>
      </c>
      <c r="D386" s="53" t="s">
        <v>876</v>
      </c>
      <c r="E386" s="53" t="s">
        <v>2221</v>
      </c>
      <c r="F386" s="53" t="s">
        <v>876</v>
      </c>
      <c r="G386" s="53" t="s">
        <v>2103</v>
      </c>
      <c r="H386" s="54">
        <v>1.14110131831E9</v>
      </c>
      <c r="I386" s="26" t="s">
        <v>1851</v>
      </c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idden="1">
      <c r="A387" s="26"/>
      <c r="B387" s="53" t="s">
        <v>575</v>
      </c>
      <c r="C387" s="53" t="s">
        <v>2095</v>
      </c>
      <c r="D387" s="53" t="s">
        <v>886</v>
      </c>
      <c r="E387" s="53" t="s">
        <v>2222</v>
      </c>
      <c r="F387" s="53" t="s">
        <v>886</v>
      </c>
      <c r="G387" s="53" t="s">
        <v>2097</v>
      </c>
      <c r="H387" s="54">
        <v>3.118180608E7</v>
      </c>
      <c r="I387" s="26" t="s">
        <v>1851</v>
      </c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idden="1">
      <c r="A388" s="26"/>
      <c r="B388" s="53" t="s">
        <v>575</v>
      </c>
      <c r="C388" s="53" t="s">
        <v>2095</v>
      </c>
      <c r="D388" s="53" t="s">
        <v>886</v>
      </c>
      <c r="E388" s="53" t="s">
        <v>2223</v>
      </c>
      <c r="F388" s="53" t="s">
        <v>886</v>
      </c>
      <c r="G388" s="53" t="s">
        <v>2101</v>
      </c>
      <c r="H388" s="54">
        <v>5387364.48</v>
      </c>
      <c r="I388" s="26" t="s">
        <v>1851</v>
      </c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idden="1">
      <c r="A389" s="26"/>
      <c r="B389" s="53" t="s">
        <v>575</v>
      </c>
      <c r="C389" s="53" t="s">
        <v>2095</v>
      </c>
      <c r="D389" s="53" t="s">
        <v>886</v>
      </c>
      <c r="E389" s="53" t="s">
        <v>2224</v>
      </c>
      <c r="F389" s="53" t="s">
        <v>886</v>
      </c>
      <c r="G389" s="53" t="s">
        <v>2103</v>
      </c>
      <c r="H389" s="54">
        <v>4.548204925E7</v>
      </c>
      <c r="I389" s="26" t="s">
        <v>1851</v>
      </c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idden="1">
      <c r="A390" s="26"/>
      <c r="B390" s="53" t="s">
        <v>575</v>
      </c>
      <c r="C390" s="53" t="s">
        <v>2095</v>
      </c>
      <c r="D390" s="53" t="s">
        <v>894</v>
      </c>
      <c r="E390" s="53" t="s">
        <v>2225</v>
      </c>
      <c r="F390" s="53" t="s">
        <v>894</v>
      </c>
      <c r="G390" s="53" t="s">
        <v>2097</v>
      </c>
      <c r="H390" s="54">
        <v>2.864481792E7</v>
      </c>
      <c r="I390" s="26" t="s">
        <v>1851</v>
      </c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idden="1">
      <c r="A391" s="26"/>
      <c r="B391" s="53" t="s">
        <v>575</v>
      </c>
      <c r="C391" s="53" t="s">
        <v>2095</v>
      </c>
      <c r="D391" s="53" t="s">
        <v>894</v>
      </c>
      <c r="E391" s="53" t="s">
        <v>2226</v>
      </c>
      <c r="F391" s="53" t="s">
        <v>894</v>
      </c>
      <c r="G391" s="53" t="s">
        <v>2101</v>
      </c>
      <c r="H391" s="54">
        <v>3272236.8</v>
      </c>
      <c r="I391" s="26" t="s">
        <v>1851</v>
      </c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idden="1">
      <c r="A392" s="26"/>
      <c r="B392" s="53" t="s">
        <v>575</v>
      </c>
      <c r="C392" s="53" t="s">
        <v>2095</v>
      </c>
      <c r="D392" s="53" t="s">
        <v>894</v>
      </c>
      <c r="E392" s="53" t="s">
        <v>2227</v>
      </c>
      <c r="F392" s="53" t="s">
        <v>894</v>
      </c>
      <c r="G392" s="53" t="s">
        <v>2103</v>
      </c>
      <c r="H392" s="54">
        <v>4.278373E7</v>
      </c>
      <c r="I392" s="26" t="s">
        <v>1851</v>
      </c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idden="1">
      <c r="A393" s="26"/>
      <c r="B393" s="53" t="s">
        <v>575</v>
      </c>
      <c r="C393" s="53" t="s">
        <v>2095</v>
      </c>
      <c r="D393" s="53" t="s">
        <v>906</v>
      </c>
      <c r="E393" s="53" t="s">
        <v>2228</v>
      </c>
      <c r="F393" s="53" t="s">
        <v>906</v>
      </c>
      <c r="G393" s="53" t="s">
        <v>2097</v>
      </c>
      <c r="H393" s="54">
        <v>3.7581625284E8</v>
      </c>
      <c r="I393" s="26" t="s">
        <v>1851</v>
      </c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idden="1">
      <c r="A394" s="26"/>
      <c r="B394" s="53" t="s">
        <v>575</v>
      </c>
      <c r="C394" s="53" t="s">
        <v>2095</v>
      </c>
      <c r="D394" s="53" t="s">
        <v>906</v>
      </c>
      <c r="E394" s="53" t="s">
        <v>2229</v>
      </c>
      <c r="F394" s="53" t="s">
        <v>906</v>
      </c>
      <c r="G394" s="53" t="s">
        <v>2101</v>
      </c>
      <c r="H394" s="54">
        <v>4.175171316E7</v>
      </c>
      <c r="I394" s="26" t="s">
        <v>1851</v>
      </c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idden="1">
      <c r="A395" s="26"/>
      <c r="B395" s="53" t="s">
        <v>575</v>
      </c>
      <c r="C395" s="53" t="s">
        <v>2095</v>
      </c>
      <c r="D395" s="53" t="s">
        <v>906</v>
      </c>
      <c r="E395" s="53" t="s">
        <v>2230</v>
      </c>
      <c r="F395" s="53" t="s">
        <v>906</v>
      </c>
      <c r="G395" s="53" t="s">
        <v>2103</v>
      </c>
      <c r="H395" s="54">
        <v>4.9178647289E8</v>
      </c>
      <c r="I395" s="26" t="s">
        <v>1851</v>
      </c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idden="1">
      <c r="A396" s="26"/>
      <c r="B396" s="53" t="s">
        <v>575</v>
      </c>
      <c r="C396" s="53" t="s">
        <v>2095</v>
      </c>
      <c r="D396" s="53" t="s">
        <v>717</v>
      </c>
      <c r="E396" s="53" t="s">
        <v>2231</v>
      </c>
      <c r="F396" s="53" t="s">
        <v>717</v>
      </c>
      <c r="G396" s="53" t="s">
        <v>2097</v>
      </c>
      <c r="H396" s="54">
        <v>5.6234021256E8</v>
      </c>
      <c r="I396" s="26" t="s">
        <v>1851</v>
      </c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idden="1">
      <c r="A397" s="26"/>
      <c r="B397" s="53" t="s">
        <v>575</v>
      </c>
      <c r="C397" s="53" t="s">
        <v>2095</v>
      </c>
      <c r="D397" s="53" t="s">
        <v>717</v>
      </c>
      <c r="E397" s="53" t="s">
        <v>2232</v>
      </c>
      <c r="F397" s="53" t="s">
        <v>717</v>
      </c>
      <c r="G397" s="53" t="s">
        <v>2101</v>
      </c>
      <c r="H397" s="54">
        <v>5.928532104E7</v>
      </c>
      <c r="I397" s="26" t="s">
        <v>1851</v>
      </c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idden="1">
      <c r="A398" s="26"/>
      <c r="B398" s="53" t="s">
        <v>575</v>
      </c>
      <c r="C398" s="53" t="s">
        <v>2095</v>
      </c>
      <c r="D398" s="53" t="s">
        <v>717</v>
      </c>
      <c r="E398" s="53" t="s">
        <v>2233</v>
      </c>
      <c r="F398" s="53" t="s">
        <v>717</v>
      </c>
      <c r="G398" s="53" t="s">
        <v>2103</v>
      </c>
      <c r="H398" s="54">
        <v>6.0364193273E8</v>
      </c>
      <c r="I398" s="26" t="s">
        <v>1851</v>
      </c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idden="1">
      <c r="A399" s="26"/>
      <c r="B399" s="53" t="s">
        <v>575</v>
      </c>
      <c r="C399" s="53" t="s">
        <v>2095</v>
      </c>
      <c r="D399" s="53" t="s">
        <v>915</v>
      </c>
      <c r="E399" s="53" t="s">
        <v>2234</v>
      </c>
      <c r="F399" s="53" t="s">
        <v>915</v>
      </c>
      <c r="G399" s="53" t="s">
        <v>2097</v>
      </c>
      <c r="H399" s="54">
        <v>1.9467752064E8</v>
      </c>
      <c r="I399" s="26" t="s">
        <v>1851</v>
      </c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idden="1">
      <c r="A400" s="26"/>
      <c r="B400" s="53" t="s">
        <v>575</v>
      </c>
      <c r="C400" s="53" t="s">
        <v>2095</v>
      </c>
      <c r="D400" s="53" t="s">
        <v>915</v>
      </c>
      <c r="E400" s="53" t="s">
        <v>2235</v>
      </c>
      <c r="F400" s="53" t="s">
        <v>915</v>
      </c>
      <c r="G400" s="53" t="s">
        <v>2101</v>
      </c>
      <c r="H400" s="54">
        <v>2.28564786E7</v>
      </c>
      <c r="I400" s="26" t="s">
        <v>1851</v>
      </c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idden="1">
      <c r="A401" s="26"/>
      <c r="B401" s="53" t="s">
        <v>575</v>
      </c>
      <c r="C401" s="53" t="s">
        <v>2095</v>
      </c>
      <c r="D401" s="53" t="s">
        <v>915</v>
      </c>
      <c r="E401" s="53" t="s">
        <v>2236</v>
      </c>
      <c r="F401" s="53" t="s">
        <v>915</v>
      </c>
      <c r="G401" s="53" t="s">
        <v>2103</v>
      </c>
      <c r="H401" s="54">
        <v>1.699189525E8</v>
      </c>
      <c r="I401" s="26" t="s">
        <v>1851</v>
      </c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idden="1">
      <c r="A402" s="26"/>
      <c r="B402" s="53" t="s">
        <v>575</v>
      </c>
      <c r="C402" s="53" t="s">
        <v>2095</v>
      </c>
      <c r="D402" s="53" t="s">
        <v>1445</v>
      </c>
      <c r="E402" s="53" t="s">
        <v>2237</v>
      </c>
      <c r="F402" s="53" t="s">
        <v>1445</v>
      </c>
      <c r="G402" s="53" t="s">
        <v>2097</v>
      </c>
      <c r="H402" s="54">
        <v>8.489222174E7</v>
      </c>
      <c r="I402" s="26" t="s">
        <v>1851</v>
      </c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idden="1">
      <c r="A403" s="26"/>
      <c r="B403" s="53" t="s">
        <v>575</v>
      </c>
      <c r="C403" s="53" t="s">
        <v>2095</v>
      </c>
      <c r="D403" s="53" t="s">
        <v>1445</v>
      </c>
      <c r="E403" s="53" t="s">
        <v>2238</v>
      </c>
      <c r="F403" s="53" t="s">
        <v>1445</v>
      </c>
      <c r="G403" s="53" t="s">
        <v>2101</v>
      </c>
      <c r="H403" s="54">
        <v>5.770609022E7</v>
      </c>
      <c r="I403" s="26" t="s">
        <v>1851</v>
      </c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idden="1">
      <c r="A404" s="26"/>
      <c r="B404" s="53" t="s">
        <v>575</v>
      </c>
      <c r="C404" s="53" t="s">
        <v>2095</v>
      </c>
      <c r="D404" s="53" t="s">
        <v>1445</v>
      </c>
      <c r="E404" s="53" t="s">
        <v>2239</v>
      </c>
      <c r="F404" s="53" t="s">
        <v>1445</v>
      </c>
      <c r="G404" s="53" t="s">
        <v>2103</v>
      </c>
      <c r="H404" s="54">
        <v>1.6566463935E8</v>
      </c>
      <c r="I404" s="26" t="s">
        <v>1851</v>
      </c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idden="1">
      <c r="A405" s="26"/>
      <c r="B405" s="53" t="s">
        <v>575</v>
      </c>
      <c r="C405" s="53" t="s">
        <v>2095</v>
      </c>
      <c r="D405" s="53" t="s">
        <v>968</v>
      </c>
      <c r="E405" s="53" t="s">
        <v>2240</v>
      </c>
      <c r="F405" s="53" t="s">
        <v>968</v>
      </c>
      <c r="G405" s="53" t="s">
        <v>2097</v>
      </c>
      <c r="H405" s="54">
        <v>2.594227911E8</v>
      </c>
      <c r="I405" s="26" t="s">
        <v>1851</v>
      </c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idden="1">
      <c r="A406" s="26"/>
      <c r="B406" s="53" t="s">
        <v>575</v>
      </c>
      <c r="C406" s="53" t="s">
        <v>2095</v>
      </c>
      <c r="D406" s="53" t="s">
        <v>968</v>
      </c>
      <c r="E406" s="53" t="s">
        <v>2241</v>
      </c>
      <c r="F406" s="53" t="s">
        <v>968</v>
      </c>
      <c r="G406" s="53" t="s">
        <v>2115</v>
      </c>
      <c r="H406" s="54">
        <v>2.411631706E7</v>
      </c>
      <c r="I406" s="26" t="s">
        <v>1851</v>
      </c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idden="1">
      <c r="A407" s="26"/>
      <c r="B407" s="53" t="s">
        <v>575</v>
      </c>
      <c r="C407" s="53" t="s">
        <v>2095</v>
      </c>
      <c r="D407" s="53" t="s">
        <v>968</v>
      </c>
      <c r="E407" s="53" t="s">
        <v>2242</v>
      </c>
      <c r="F407" s="53" t="s">
        <v>968</v>
      </c>
      <c r="G407" s="53" t="s">
        <v>2101</v>
      </c>
      <c r="H407" s="54">
        <v>6.718957289E7</v>
      </c>
      <c r="I407" s="26" t="s">
        <v>1851</v>
      </c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idden="1">
      <c r="A408" s="26"/>
      <c r="B408" s="53" t="s">
        <v>575</v>
      </c>
      <c r="C408" s="53" t="s">
        <v>2095</v>
      </c>
      <c r="D408" s="53" t="s">
        <v>968</v>
      </c>
      <c r="E408" s="53" t="s">
        <v>2243</v>
      </c>
      <c r="F408" s="53" t="s">
        <v>968</v>
      </c>
      <c r="G408" s="53" t="s">
        <v>2103</v>
      </c>
      <c r="H408" s="54">
        <v>2.6250988135E8</v>
      </c>
      <c r="I408" s="26" t="s">
        <v>1851</v>
      </c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idden="1">
      <c r="A409" s="26"/>
      <c r="B409" s="53" t="s">
        <v>575</v>
      </c>
      <c r="C409" s="53" t="s">
        <v>2095</v>
      </c>
      <c r="D409" s="53" t="s">
        <v>917</v>
      </c>
      <c r="E409" s="53" t="s">
        <v>2244</v>
      </c>
      <c r="F409" s="53" t="s">
        <v>917</v>
      </c>
      <c r="G409" s="53" t="s">
        <v>2097</v>
      </c>
      <c r="H409" s="54">
        <v>7.3038504087E9</v>
      </c>
      <c r="I409" s="26" t="s">
        <v>1851</v>
      </c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idden="1">
      <c r="A410" s="26"/>
      <c r="B410" s="53" t="s">
        <v>575</v>
      </c>
      <c r="C410" s="53" t="s">
        <v>2095</v>
      </c>
      <c r="D410" s="53" t="s">
        <v>917</v>
      </c>
      <c r="E410" s="53" t="s">
        <v>2245</v>
      </c>
      <c r="F410" s="53" t="s">
        <v>917</v>
      </c>
      <c r="G410" s="53" t="s">
        <v>2115</v>
      </c>
      <c r="H410" s="54">
        <v>3.37514161728E9</v>
      </c>
      <c r="I410" s="26" t="s">
        <v>1851</v>
      </c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idden="1">
      <c r="A411" s="26"/>
      <c r="B411" s="53" t="s">
        <v>575</v>
      </c>
      <c r="C411" s="53" t="s">
        <v>2095</v>
      </c>
      <c r="D411" s="53" t="s">
        <v>917</v>
      </c>
      <c r="E411" s="53" t="s">
        <v>2246</v>
      </c>
      <c r="F411" s="53" t="s">
        <v>917</v>
      </c>
      <c r="G411" s="53" t="s">
        <v>2101</v>
      </c>
      <c r="H411" s="54">
        <v>3.21050151513E9</v>
      </c>
      <c r="I411" s="26" t="s">
        <v>1851</v>
      </c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idden="1">
      <c r="A412" s="26"/>
      <c r="B412" s="53" t="s">
        <v>575</v>
      </c>
      <c r="C412" s="53" t="s">
        <v>2095</v>
      </c>
      <c r="D412" s="53" t="s">
        <v>917</v>
      </c>
      <c r="E412" s="53" t="s">
        <v>2247</v>
      </c>
      <c r="F412" s="53" t="s">
        <v>917</v>
      </c>
      <c r="G412" s="53" t="s">
        <v>2103</v>
      </c>
      <c r="H412" s="54">
        <v>6.87918416758E9</v>
      </c>
      <c r="I412" s="26" t="s">
        <v>1851</v>
      </c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idden="1">
      <c r="A413" s="26"/>
      <c r="B413" s="53" t="s">
        <v>575</v>
      </c>
      <c r="C413" s="53" t="s">
        <v>2095</v>
      </c>
      <c r="D413" s="53" t="s">
        <v>925</v>
      </c>
      <c r="E413" s="53" t="s">
        <v>2248</v>
      </c>
      <c r="F413" s="53" t="s">
        <v>925</v>
      </c>
      <c r="G413" s="53" t="s">
        <v>2097</v>
      </c>
      <c r="H413" s="54">
        <v>4.788041669E7</v>
      </c>
      <c r="I413" s="26" t="s">
        <v>1851</v>
      </c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idden="1">
      <c r="A414" s="26"/>
      <c r="B414" s="53" t="s">
        <v>575</v>
      </c>
      <c r="C414" s="53" t="s">
        <v>2095</v>
      </c>
      <c r="D414" s="53" t="s">
        <v>925</v>
      </c>
      <c r="E414" s="53" t="s">
        <v>2249</v>
      </c>
      <c r="F414" s="53" t="s">
        <v>925</v>
      </c>
      <c r="G414" s="53" t="s">
        <v>2101</v>
      </c>
      <c r="H414" s="54">
        <v>1505318.4</v>
      </c>
      <c r="I414" s="26" t="s">
        <v>1851</v>
      </c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idden="1">
      <c r="A415" s="26"/>
      <c r="B415" s="53" t="s">
        <v>575</v>
      </c>
      <c r="C415" s="53" t="s">
        <v>2095</v>
      </c>
      <c r="D415" s="53" t="s">
        <v>925</v>
      </c>
      <c r="E415" s="53" t="s">
        <v>2250</v>
      </c>
      <c r="F415" s="53" t="s">
        <v>925</v>
      </c>
      <c r="G415" s="53" t="s">
        <v>2103</v>
      </c>
      <c r="H415" s="54">
        <v>4.5518186E7</v>
      </c>
      <c r="I415" s="26" t="s">
        <v>1851</v>
      </c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idden="1">
      <c r="A416" s="26"/>
      <c r="B416" s="53" t="s">
        <v>575</v>
      </c>
      <c r="C416" s="53" t="s">
        <v>2095</v>
      </c>
      <c r="D416" s="53" t="s">
        <v>931</v>
      </c>
      <c r="E416" s="53" t="s">
        <v>2251</v>
      </c>
      <c r="F416" s="53" t="s">
        <v>931</v>
      </c>
      <c r="G416" s="53" t="s">
        <v>2097</v>
      </c>
      <c r="H416" s="54">
        <v>3.10237277E7</v>
      </c>
      <c r="I416" s="26" t="s">
        <v>1851</v>
      </c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idden="1">
      <c r="A417" s="26"/>
      <c r="B417" s="53" t="s">
        <v>575</v>
      </c>
      <c r="C417" s="53" t="s">
        <v>2095</v>
      </c>
      <c r="D417" s="53" t="s">
        <v>931</v>
      </c>
      <c r="E417" s="53" t="s">
        <v>2252</v>
      </c>
      <c r="F417" s="53" t="s">
        <v>931</v>
      </c>
      <c r="G417" s="53" t="s">
        <v>2101</v>
      </c>
      <c r="H417" s="54">
        <v>3112885.2</v>
      </c>
      <c r="I417" s="26" t="s">
        <v>1851</v>
      </c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idden="1">
      <c r="A418" s="26"/>
      <c r="B418" s="53" t="s">
        <v>575</v>
      </c>
      <c r="C418" s="53" t="s">
        <v>2095</v>
      </c>
      <c r="D418" s="53" t="s">
        <v>931</v>
      </c>
      <c r="E418" s="53" t="s">
        <v>2253</v>
      </c>
      <c r="F418" s="53" t="s">
        <v>931</v>
      </c>
      <c r="G418" s="53" t="s">
        <v>2103</v>
      </c>
      <c r="H418" s="54">
        <v>6.467854525E7</v>
      </c>
      <c r="I418" s="26" t="s">
        <v>1851</v>
      </c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idden="1">
      <c r="A419" s="26"/>
      <c r="B419" s="53" t="s">
        <v>575</v>
      </c>
      <c r="C419" s="53" t="s">
        <v>2095</v>
      </c>
      <c r="D419" s="53" t="s">
        <v>935</v>
      </c>
      <c r="E419" s="53" t="s">
        <v>2254</v>
      </c>
      <c r="F419" s="53" t="s">
        <v>935</v>
      </c>
      <c r="G419" s="53" t="s">
        <v>2097</v>
      </c>
      <c r="H419" s="54">
        <v>1.20279225213E9</v>
      </c>
      <c r="I419" s="26" t="s">
        <v>1851</v>
      </c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idden="1">
      <c r="A420" s="26"/>
      <c r="B420" s="53" t="s">
        <v>575</v>
      </c>
      <c r="C420" s="53" t="s">
        <v>2095</v>
      </c>
      <c r="D420" s="53" t="s">
        <v>935</v>
      </c>
      <c r="E420" s="53" t="s">
        <v>2255</v>
      </c>
      <c r="F420" s="53" t="s">
        <v>935</v>
      </c>
      <c r="G420" s="53" t="s">
        <v>2101</v>
      </c>
      <c r="H420" s="54">
        <v>1.6442308665E8</v>
      </c>
      <c r="I420" s="26" t="s">
        <v>1851</v>
      </c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idden="1">
      <c r="A421" s="26"/>
      <c r="B421" s="53" t="s">
        <v>575</v>
      </c>
      <c r="C421" s="53" t="s">
        <v>2095</v>
      </c>
      <c r="D421" s="53" t="s">
        <v>935</v>
      </c>
      <c r="E421" s="53" t="s">
        <v>2256</v>
      </c>
      <c r="F421" s="53" t="s">
        <v>935</v>
      </c>
      <c r="G421" s="53" t="s">
        <v>2103</v>
      </c>
      <c r="H421" s="54">
        <v>1.18497676458E9</v>
      </c>
      <c r="I421" s="26" t="s">
        <v>1851</v>
      </c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idden="1">
      <c r="A422" s="26"/>
      <c r="B422" s="53" t="s">
        <v>575</v>
      </c>
      <c r="C422" s="53" t="s">
        <v>2095</v>
      </c>
      <c r="D422" s="53" t="s">
        <v>736</v>
      </c>
      <c r="E422" s="53" t="s">
        <v>2257</v>
      </c>
      <c r="F422" s="53" t="s">
        <v>736</v>
      </c>
      <c r="G422" s="53" t="s">
        <v>2097</v>
      </c>
      <c r="H422" s="54">
        <v>2.8210267632E8</v>
      </c>
      <c r="I422" s="26" t="s">
        <v>1851</v>
      </c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idden="1">
      <c r="A423" s="26"/>
      <c r="B423" s="53" t="s">
        <v>575</v>
      </c>
      <c r="C423" s="53" t="s">
        <v>2095</v>
      </c>
      <c r="D423" s="53" t="s">
        <v>736</v>
      </c>
      <c r="E423" s="53" t="s">
        <v>2258</v>
      </c>
      <c r="F423" s="53" t="s">
        <v>736</v>
      </c>
      <c r="G423" s="53" t="s">
        <v>2115</v>
      </c>
      <c r="H423" s="54">
        <v>1.6803644E7</v>
      </c>
      <c r="I423" s="26" t="s">
        <v>1851</v>
      </c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idden="1">
      <c r="A424" s="26"/>
      <c r="B424" s="53" t="s">
        <v>575</v>
      </c>
      <c r="C424" s="53" t="s">
        <v>2095</v>
      </c>
      <c r="D424" s="53" t="s">
        <v>736</v>
      </c>
      <c r="E424" s="53" t="s">
        <v>2259</v>
      </c>
      <c r="F424" s="53" t="s">
        <v>736</v>
      </c>
      <c r="G424" s="53" t="s">
        <v>2101</v>
      </c>
      <c r="H424" s="54">
        <v>2.304164425E7</v>
      </c>
      <c r="I424" s="26" t="s">
        <v>1851</v>
      </c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idden="1">
      <c r="A425" s="26"/>
      <c r="B425" s="53" t="s">
        <v>575</v>
      </c>
      <c r="C425" s="53" t="s">
        <v>2095</v>
      </c>
      <c r="D425" s="53" t="s">
        <v>736</v>
      </c>
      <c r="E425" s="53" t="s">
        <v>2260</v>
      </c>
      <c r="F425" s="53" t="s">
        <v>736</v>
      </c>
      <c r="G425" s="53" t="s">
        <v>2103</v>
      </c>
      <c r="H425" s="54">
        <v>2.646418944E8</v>
      </c>
      <c r="I425" s="26" t="s">
        <v>1851</v>
      </c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idden="1">
      <c r="A426" s="26"/>
      <c r="B426" s="53" t="s">
        <v>575</v>
      </c>
      <c r="C426" s="53" t="s">
        <v>2261</v>
      </c>
      <c r="D426" s="53" t="s">
        <v>751</v>
      </c>
      <c r="E426" s="53" t="s">
        <v>5284</v>
      </c>
      <c r="F426" s="53" t="s">
        <v>751</v>
      </c>
      <c r="G426" s="53" t="s">
        <v>2263</v>
      </c>
      <c r="H426" s="54">
        <v>0.0</v>
      </c>
      <c r="I426" s="26" t="s">
        <v>1851</v>
      </c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idden="1">
      <c r="A427" s="26"/>
      <c r="B427" s="53" t="s">
        <v>575</v>
      </c>
      <c r="C427" s="53" t="s">
        <v>2261</v>
      </c>
      <c r="D427" s="53" t="s">
        <v>751</v>
      </c>
      <c r="E427" s="53" t="s">
        <v>5285</v>
      </c>
      <c r="F427" s="53" t="s">
        <v>751</v>
      </c>
      <c r="G427" s="53" t="s">
        <v>2266</v>
      </c>
      <c r="H427" s="54">
        <v>0.0</v>
      </c>
      <c r="I427" s="26" t="s">
        <v>1851</v>
      </c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idden="1">
      <c r="A428" s="26"/>
      <c r="B428" s="53" t="s">
        <v>575</v>
      </c>
      <c r="C428" s="53" t="s">
        <v>2261</v>
      </c>
      <c r="D428" s="53" t="s">
        <v>759</v>
      </c>
      <c r="E428" s="53" t="s">
        <v>5286</v>
      </c>
      <c r="F428" s="53" t="s">
        <v>759</v>
      </c>
      <c r="G428" s="53" t="s">
        <v>2263</v>
      </c>
      <c r="H428" s="54">
        <v>0.0</v>
      </c>
      <c r="I428" s="26" t="s">
        <v>1851</v>
      </c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idden="1">
      <c r="A429" s="26"/>
      <c r="B429" s="53" t="s">
        <v>575</v>
      </c>
      <c r="C429" s="53" t="s">
        <v>2261</v>
      </c>
      <c r="D429" s="53" t="s">
        <v>761</v>
      </c>
      <c r="E429" s="53" t="s">
        <v>2262</v>
      </c>
      <c r="F429" s="53" t="s">
        <v>761</v>
      </c>
      <c r="G429" s="53" t="s">
        <v>2263</v>
      </c>
      <c r="H429" s="54">
        <v>9.119472732E7</v>
      </c>
      <c r="I429" s="26" t="s">
        <v>1851</v>
      </c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idden="1">
      <c r="A430" s="26"/>
      <c r="B430" s="53" t="s">
        <v>575</v>
      </c>
      <c r="C430" s="53" t="s">
        <v>2261</v>
      </c>
      <c r="D430" s="53" t="s">
        <v>761</v>
      </c>
      <c r="E430" s="53" t="s">
        <v>2265</v>
      </c>
      <c r="F430" s="53" t="s">
        <v>761</v>
      </c>
      <c r="G430" s="53" t="s">
        <v>2266</v>
      </c>
      <c r="H430" s="54">
        <v>8.893434291E7</v>
      </c>
      <c r="I430" s="26" t="s">
        <v>1851</v>
      </c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idden="1">
      <c r="A431" s="26"/>
      <c r="B431" s="53" t="s">
        <v>575</v>
      </c>
      <c r="C431" s="53" t="s">
        <v>2261</v>
      </c>
      <c r="D431" s="53" t="s">
        <v>768</v>
      </c>
      <c r="E431" s="53" t="s">
        <v>2267</v>
      </c>
      <c r="F431" s="53" t="s">
        <v>768</v>
      </c>
      <c r="G431" s="53" t="s">
        <v>2263</v>
      </c>
      <c r="H431" s="54">
        <v>3.263532465E7</v>
      </c>
      <c r="I431" s="26" t="s">
        <v>1851</v>
      </c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idden="1">
      <c r="A432" s="26"/>
      <c r="B432" s="53" t="s">
        <v>575</v>
      </c>
      <c r="C432" s="53" t="s">
        <v>2261</v>
      </c>
      <c r="D432" s="53" t="s">
        <v>768</v>
      </c>
      <c r="E432" s="53" t="s">
        <v>2268</v>
      </c>
      <c r="F432" s="53" t="s">
        <v>768</v>
      </c>
      <c r="G432" s="53" t="s">
        <v>2266</v>
      </c>
      <c r="H432" s="54">
        <v>2.63177586E7</v>
      </c>
      <c r="I432" s="26" t="s">
        <v>1851</v>
      </c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idden="1">
      <c r="A433" s="26"/>
      <c r="B433" s="53" t="s">
        <v>575</v>
      </c>
      <c r="C433" s="53" t="s">
        <v>2261</v>
      </c>
      <c r="D433" s="53" t="s">
        <v>770</v>
      </c>
      <c r="E433" s="53" t="s">
        <v>2269</v>
      </c>
      <c r="F433" s="53" t="s">
        <v>770</v>
      </c>
      <c r="G433" s="53" t="s">
        <v>2263</v>
      </c>
      <c r="H433" s="54">
        <v>1.55677167E7</v>
      </c>
      <c r="I433" s="26" t="s">
        <v>1851</v>
      </c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idden="1">
      <c r="A434" s="26"/>
      <c r="B434" s="53" t="s">
        <v>575</v>
      </c>
      <c r="C434" s="53" t="s">
        <v>2261</v>
      </c>
      <c r="D434" s="53" t="s">
        <v>770</v>
      </c>
      <c r="E434" s="53" t="s">
        <v>2270</v>
      </c>
      <c r="F434" s="53" t="s">
        <v>770</v>
      </c>
      <c r="G434" s="53" t="s">
        <v>2266</v>
      </c>
      <c r="H434" s="54">
        <v>2.011600528E7</v>
      </c>
      <c r="I434" s="26" t="s">
        <v>1851</v>
      </c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idden="1">
      <c r="A435" s="26"/>
      <c r="B435" s="53" t="s">
        <v>575</v>
      </c>
      <c r="C435" s="53" t="s">
        <v>2261</v>
      </c>
      <c r="D435" s="53" t="s">
        <v>726</v>
      </c>
      <c r="E435" s="53" t="s">
        <v>5287</v>
      </c>
      <c r="F435" s="53" t="s">
        <v>726</v>
      </c>
      <c r="G435" s="53" t="s">
        <v>2263</v>
      </c>
      <c r="H435" s="54">
        <v>0.0</v>
      </c>
      <c r="I435" s="26" t="s">
        <v>1851</v>
      </c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idden="1">
      <c r="A436" s="26"/>
      <c r="B436" s="53" t="s">
        <v>575</v>
      </c>
      <c r="C436" s="53" t="s">
        <v>2261</v>
      </c>
      <c r="D436" s="53" t="s">
        <v>726</v>
      </c>
      <c r="E436" s="53" t="s">
        <v>5288</v>
      </c>
      <c r="F436" s="53" t="s">
        <v>726</v>
      </c>
      <c r="G436" s="53" t="s">
        <v>2266</v>
      </c>
      <c r="H436" s="54">
        <v>0.0</v>
      </c>
      <c r="I436" s="26" t="s">
        <v>1851</v>
      </c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idden="1">
      <c r="A437" s="26"/>
      <c r="B437" s="53" t="s">
        <v>575</v>
      </c>
      <c r="C437" s="53" t="s">
        <v>2261</v>
      </c>
      <c r="D437" s="53" t="s">
        <v>786</v>
      </c>
      <c r="E437" s="53" t="s">
        <v>2271</v>
      </c>
      <c r="F437" s="53" t="s">
        <v>786</v>
      </c>
      <c r="G437" s="53" t="s">
        <v>2263</v>
      </c>
      <c r="H437" s="54">
        <v>1.894606164E7</v>
      </c>
      <c r="I437" s="26" t="s">
        <v>1851</v>
      </c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idden="1">
      <c r="A438" s="26"/>
      <c r="B438" s="53" t="s">
        <v>575</v>
      </c>
      <c r="C438" s="53" t="s">
        <v>2261</v>
      </c>
      <c r="D438" s="53" t="s">
        <v>786</v>
      </c>
      <c r="E438" s="53" t="s">
        <v>2272</v>
      </c>
      <c r="F438" s="53" t="s">
        <v>786</v>
      </c>
      <c r="G438" s="53" t="s">
        <v>2266</v>
      </c>
      <c r="H438" s="54">
        <v>8213840.6</v>
      </c>
      <c r="I438" s="26" t="s">
        <v>1851</v>
      </c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idden="1">
      <c r="A439" s="26"/>
      <c r="B439" s="53" t="s">
        <v>575</v>
      </c>
      <c r="C439" s="53" t="s">
        <v>2261</v>
      </c>
      <c r="D439" s="53" t="s">
        <v>792</v>
      </c>
      <c r="E439" s="53" t="s">
        <v>5289</v>
      </c>
      <c r="F439" s="53" t="s">
        <v>792</v>
      </c>
      <c r="G439" s="53" t="s">
        <v>2263</v>
      </c>
      <c r="H439" s="54">
        <v>0.0</v>
      </c>
      <c r="I439" s="26" t="s">
        <v>1851</v>
      </c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idden="1">
      <c r="A440" s="26"/>
      <c r="B440" s="53" t="s">
        <v>575</v>
      </c>
      <c r="C440" s="53" t="s">
        <v>2261</v>
      </c>
      <c r="D440" s="53" t="s">
        <v>792</v>
      </c>
      <c r="E440" s="53" t="s">
        <v>5290</v>
      </c>
      <c r="F440" s="53" t="s">
        <v>792</v>
      </c>
      <c r="G440" s="53" t="s">
        <v>2266</v>
      </c>
      <c r="H440" s="54">
        <v>0.0</v>
      </c>
      <c r="I440" s="26" t="s">
        <v>1851</v>
      </c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idden="1">
      <c r="A441" s="26"/>
      <c r="B441" s="53" t="s">
        <v>575</v>
      </c>
      <c r="C441" s="53" t="s">
        <v>2261</v>
      </c>
      <c r="D441" s="53" t="s">
        <v>1121</v>
      </c>
      <c r="E441" s="53" t="s">
        <v>2273</v>
      </c>
      <c r="F441" s="53" t="s">
        <v>1121</v>
      </c>
      <c r="G441" s="53" t="s">
        <v>2263</v>
      </c>
      <c r="H441" s="54">
        <v>8.180675136E7</v>
      </c>
      <c r="I441" s="26" t="s">
        <v>1851</v>
      </c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idden="1">
      <c r="A442" s="26"/>
      <c r="B442" s="53" t="s">
        <v>575</v>
      </c>
      <c r="C442" s="53" t="s">
        <v>2261</v>
      </c>
      <c r="D442" s="53" t="s">
        <v>1121</v>
      </c>
      <c r="E442" s="53" t="s">
        <v>2274</v>
      </c>
      <c r="F442" s="53" t="s">
        <v>1121</v>
      </c>
      <c r="G442" s="53" t="s">
        <v>2266</v>
      </c>
      <c r="H442" s="54">
        <v>1.1946417903E8</v>
      </c>
      <c r="I442" s="26" t="s">
        <v>1851</v>
      </c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idden="1">
      <c r="A443" s="26"/>
      <c r="B443" s="53" t="s">
        <v>575</v>
      </c>
      <c r="C443" s="53" t="s">
        <v>2261</v>
      </c>
      <c r="D443" s="53" t="s">
        <v>810</v>
      </c>
      <c r="E443" s="53" t="s">
        <v>2275</v>
      </c>
      <c r="F443" s="53" t="s">
        <v>810</v>
      </c>
      <c r="G443" s="53" t="s">
        <v>2263</v>
      </c>
      <c r="H443" s="54">
        <v>1.4200969482E8</v>
      </c>
      <c r="I443" s="26" t="s">
        <v>1851</v>
      </c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idden="1">
      <c r="A444" s="26"/>
      <c r="B444" s="53" t="s">
        <v>575</v>
      </c>
      <c r="C444" s="53" t="s">
        <v>2261</v>
      </c>
      <c r="D444" s="53" t="s">
        <v>810</v>
      </c>
      <c r="E444" s="53" t="s">
        <v>2276</v>
      </c>
      <c r="F444" s="53" t="s">
        <v>810</v>
      </c>
      <c r="G444" s="53" t="s">
        <v>2266</v>
      </c>
      <c r="H444" s="54">
        <v>1.8322652565E8</v>
      </c>
      <c r="I444" s="26" t="s">
        <v>1851</v>
      </c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idden="1">
      <c r="A445" s="26"/>
      <c r="B445" s="53" t="s">
        <v>575</v>
      </c>
      <c r="C445" s="53" t="s">
        <v>2261</v>
      </c>
      <c r="D445" s="53" t="s">
        <v>816</v>
      </c>
      <c r="E445" s="53" t="s">
        <v>2277</v>
      </c>
      <c r="F445" s="53" t="s">
        <v>816</v>
      </c>
      <c r="G445" s="53" t="s">
        <v>2263</v>
      </c>
      <c r="H445" s="54">
        <v>1.488715128E7</v>
      </c>
      <c r="I445" s="26" t="s">
        <v>1851</v>
      </c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idden="1">
      <c r="A446" s="26"/>
      <c r="B446" s="53" t="s">
        <v>575</v>
      </c>
      <c r="C446" s="53" t="s">
        <v>2261</v>
      </c>
      <c r="D446" s="53" t="s">
        <v>816</v>
      </c>
      <c r="E446" s="53" t="s">
        <v>2278</v>
      </c>
      <c r="F446" s="53" t="s">
        <v>816</v>
      </c>
      <c r="G446" s="53" t="s">
        <v>2266</v>
      </c>
      <c r="H446" s="54">
        <v>3.860926825E7</v>
      </c>
      <c r="I446" s="26" t="s">
        <v>1851</v>
      </c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idden="1">
      <c r="A447" s="26"/>
      <c r="B447" s="53" t="s">
        <v>575</v>
      </c>
      <c r="C447" s="53" t="s">
        <v>2261</v>
      </c>
      <c r="D447" s="53" t="s">
        <v>834</v>
      </c>
      <c r="E447" s="53" t="s">
        <v>2279</v>
      </c>
      <c r="F447" s="53" t="s">
        <v>834</v>
      </c>
      <c r="G447" s="53" t="s">
        <v>2263</v>
      </c>
      <c r="H447" s="54">
        <v>6.083085492E7</v>
      </c>
      <c r="I447" s="26" t="s">
        <v>1851</v>
      </c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idden="1">
      <c r="A448" s="26"/>
      <c r="B448" s="53" t="s">
        <v>575</v>
      </c>
      <c r="C448" s="53" t="s">
        <v>2261</v>
      </c>
      <c r="D448" s="53" t="s">
        <v>834</v>
      </c>
      <c r="E448" s="53" t="s">
        <v>2280</v>
      </c>
      <c r="F448" s="53" t="s">
        <v>834</v>
      </c>
      <c r="G448" s="53" t="s">
        <v>2266</v>
      </c>
      <c r="H448" s="54">
        <v>5.225466526E7</v>
      </c>
      <c r="I448" s="26" t="s">
        <v>1851</v>
      </c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idden="1">
      <c r="A449" s="26"/>
      <c r="B449" s="53" t="s">
        <v>575</v>
      </c>
      <c r="C449" s="53" t="s">
        <v>2261</v>
      </c>
      <c r="D449" s="53" t="s">
        <v>710</v>
      </c>
      <c r="E449" s="53" t="s">
        <v>2281</v>
      </c>
      <c r="F449" s="53" t="s">
        <v>710</v>
      </c>
      <c r="G449" s="53" t="s">
        <v>2263</v>
      </c>
      <c r="H449" s="54">
        <v>1.703663298E7</v>
      </c>
      <c r="I449" s="26" t="s">
        <v>1851</v>
      </c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idden="1">
      <c r="A450" s="26"/>
      <c r="B450" s="53" t="s">
        <v>575</v>
      </c>
      <c r="C450" s="53" t="s">
        <v>2261</v>
      </c>
      <c r="D450" s="53" t="s">
        <v>710</v>
      </c>
      <c r="E450" s="53" t="s">
        <v>2282</v>
      </c>
      <c r="F450" s="53" t="s">
        <v>710</v>
      </c>
      <c r="G450" s="53" t="s">
        <v>2266</v>
      </c>
      <c r="H450" s="54">
        <v>5134371.9</v>
      </c>
      <c r="I450" s="26" t="s">
        <v>1851</v>
      </c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idden="1">
      <c r="A451" s="26"/>
      <c r="B451" s="53" t="s">
        <v>575</v>
      </c>
      <c r="C451" s="53" t="s">
        <v>2261</v>
      </c>
      <c r="D451" s="53" t="s">
        <v>852</v>
      </c>
      <c r="E451" s="53" t="s">
        <v>5291</v>
      </c>
      <c r="F451" s="53" t="s">
        <v>852</v>
      </c>
      <c r="G451" s="53" t="s">
        <v>2263</v>
      </c>
      <c r="H451" s="54">
        <v>0.0</v>
      </c>
      <c r="I451" s="26" t="s">
        <v>1851</v>
      </c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idden="1">
      <c r="A452" s="26"/>
      <c r="B452" s="53" t="s">
        <v>575</v>
      </c>
      <c r="C452" s="53" t="s">
        <v>2261</v>
      </c>
      <c r="D452" s="53" t="s">
        <v>852</v>
      </c>
      <c r="E452" s="53" t="s">
        <v>5292</v>
      </c>
      <c r="F452" s="53" t="s">
        <v>852</v>
      </c>
      <c r="G452" s="53" t="s">
        <v>2266</v>
      </c>
      <c r="H452" s="54">
        <v>0.0</v>
      </c>
      <c r="I452" s="26" t="s">
        <v>1851</v>
      </c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idden="1">
      <c r="A453" s="26"/>
      <c r="B453" s="53" t="s">
        <v>575</v>
      </c>
      <c r="C453" s="53" t="s">
        <v>2261</v>
      </c>
      <c r="D453" s="53" t="s">
        <v>1979</v>
      </c>
      <c r="E453" s="53" t="s">
        <v>2283</v>
      </c>
      <c r="F453" s="53" t="s">
        <v>1979</v>
      </c>
      <c r="G453" s="53" t="s">
        <v>2263</v>
      </c>
      <c r="H453" s="54">
        <v>4.4576360222E8</v>
      </c>
      <c r="I453" s="26" t="s">
        <v>1851</v>
      </c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idden="1">
      <c r="A454" s="26"/>
      <c r="B454" s="53" t="s">
        <v>575</v>
      </c>
      <c r="C454" s="53" t="s">
        <v>2261</v>
      </c>
      <c r="D454" s="53" t="s">
        <v>1979</v>
      </c>
      <c r="E454" s="53" t="s">
        <v>2284</v>
      </c>
      <c r="F454" s="53" t="s">
        <v>1979</v>
      </c>
      <c r="G454" s="53" t="s">
        <v>2266</v>
      </c>
      <c r="H454" s="54">
        <v>4.1155793992E8</v>
      </c>
      <c r="I454" s="26" t="s">
        <v>1851</v>
      </c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idden="1">
      <c r="A455" s="26"/>
      <c r="B455" s="53" t="s">
        <v>575</v>
      </c>
      <c r="C455" s="53" t="s">
        <v>2261</v>
      </c>
      <c r="D455" s="53" t="s">
        <v>1979</v>
      </c>
      <c r="E455" s="53" t="s">
        <v>2285</v>
      </c>
      <c r="F455" s="53" t="s">
        <v>1979</v>
      </c>
      <c r="G455" s="53" t="s">
        <v>2286</v>
      </c>
      <c r="H455" s="54">
        <v>4.152998592E7</v>
      </c>
      <c r="I455" s="26" t="s">
        <v>1851</v>
      </c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idden="1">
      <c r="A456" s="26"/>
      <c r="B456" s="53" t="s">
        <v>575</v>
      </c>
      <c r="C456" s="53" t="s">
        <v>2261</v>
      </c>
      <c r="D456" s="53" t="s">
        <v>856</v>
      </c>
      <c r="E456" s="53" t="s">
        <v>5293</v>
      </c>
      <c r="F456" s="53" t="s">
        <v>856</v>
      </c>
      <c r="G456" s="53" t="s">
        <v>2263</v>
      </c>
      <c r="H456" s="54">
        <v>0.0</v>
      </c>
      <c r="I456" s="26" t="s">
        <v>1851</v>
      </c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idden="1">
      <c r="A457" s="26"/>
      <c r="B457" s="53" t="s">
        <v>575</v>
      </c>
      <c r="C457" s="53" t="s">
        <v>2261</v>
      </c>
      <c r="D457" s="53" t="s">
        <v>856</v>
      </c>
      <c r="E457" s="53" t="s">
        <v>5294</v>
      </c>
      <c r="F457" s="53" t="s">
        <v>856</v>
      </c>
      <c r="G457" s="53" t="s">
        <v>2266</v>
      </c>
      <c r="H457" s="54">
        <v>0.0</v>
      </c>
      <c r="I457" s="26" t="s">
        <v>1851</v>
      </c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idden="1">
      <c r="A458" s="26"/>
      <c r="B458" s="53" t="s">
        <v>575</v>
      </c>
      <c r="C458" s="53" t="s">
        <v>2261</v>
      </c>
      <c r="D458" s="53" t="s">
        <v>862</v>
      </c>
      <c r="E458" s="53" t="s">
        <v>5295</v>
      </c>
      <c r="F458" s="53" t="s">
        <v>862</v>
      </c>
      <c r="G458" s="53" t="s">
        <v>2263</v>
      </c>
      <c r="H458" s="54">
        <v>0.0</v>
      </c>
      <c r="I458" s="26" t="s">
        <v>1851</v>
      </c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idden="1">
      <c r="A459" s="26"/>
      <c r="B459" s="53" t="s">
        <v>575</v>
      </c>
      <c r="C459" s="53" t="s">
        <v>2261</v>
      </c>
      <c r="D459" s="53" t="s">
        <v>862</v>
      </c>
      <c r="E459" s="53" t="s">
        <v>5296</v>
      </c>
      <c r="F459" s="53" t="s">
        <v>862</v>
      </c>
      <c r="G459" s="53" t="s">
        <v>2266</v>
      </c>
      <c r="H459" s="54">
        <v>0.0</v>
      </c>
      <c r="I459" s="26" t="s">
        <v>1851</v>
      </c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idden="1">
      <c r="A460" s="26"/>
      <c r="B460" s="53" t="s">
        <v>575</v>
      </c>
      <c r="C460" s="53" t="s">
        <v>2261</v>
      </c>
      <c r="D460" s="53" t="s">
        <v>730</v>
      </c>
      <c r="E460" s="53" t="s">
        <v>2288</v>
      </c>
      <c r="F460" s="53" t="s">
        <v>730</v>
      </c>
      <c r="G460" s="53" t="s">
        <v>2263</v>
      </c>
      <c r="H460" s="54">
        <v>3.445124094E7</v>
      </c>
      <c r="I460" s="26" t="s">
        <v>1851</v>
      </c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idden="1">
      <c r="A461" s="26"/>
      <c r="B461" s="53" t="s">
        <v>575</v>
      </c>
      <c r="C461" s="53" t="s">
        <v>2261</v>
      </c>
      <c r="D461" s="53" t="s">
        <v>730</v>
      </c>
      <c r="E461" s="53" t="s">
        <v>2289</v>
      </c>
      <c r="F461" s="53" t="s">
        <v>730</v>
      </c>
      <c r="G461" s="53" t="s">
        <v>2266</v>
      </c>
      <c r="H461" s="54">
        <v>4.502652045E7</v>
      </c>
      <c r="I461" s="26" t="s">
        <v>1851</v>
      </c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idden="1">
      <c r="A462" s="26"/>
      <c r="B462" s="53" t="s">
        <v>575</v>
      </c>
      <c r="C462" s="53" t="s">
        <v>2261</v>
      </c>
      <c r="D462" s="53" t="s">
        <v>868</v>
      </c>
      <c r="E462" s="53" t="s">
        <v>2290</v>
      </c>
      <c r="F462" s="53" t="s">
        <v>868</v>
      </c>
      <c r="G462" s="53" t="s">
        <v>2263</v>
      </c>
      <c r="H462" s="54">
        <v>1.839462696E7</v>
      </c>
      <c r="I462" s="26" t="s">
        <v>1851</v>
      </c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idden="1">
      <c r="A463" s="26"/>
      <c r="B463" s="53" t="s">
        <v>575</v>
      </c>
      <c r="C463" s="53" t="s">
        <v>2261</v>
      </c>
      <c r="D463" s="53" t="s">
        <v>868</v>
      </c>
      <c r="E463" s="53" t="s">
        <v>2291</v>
      </c>
      <c r="F463" s="53" t="s">
        <v>868</v>
      </c>
      <c r="G463" s="53" t="s">
        <v>2266</v>
      </c>
      <c r="H463" s="54">
        <v>1.373024835E7</v>
      </c>
      <c r="I463" s="26" t="s">
        <v>1851</v>
      </c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idden="1">
      <c r="A464" s="26"/>
      <c r="B464" s="53" t="s">
        <v>575</v>
      </c>
      <c r="C464" s="53" t="s">
        <v>2261</v>
      </c>
      <c r="D464" s="53" t="s">
        <v>870</v>
      </c>
      <c r="E464" s="53" t="s">
        <v>2292</v>
      </c>
      <c r="F464" s="53" t="s">
        <v>870</v>
      </c>
      <c r="G464" s="53" t="s">
        <v>2263</v>
      </c>
      <c r="H464" s="54">
        <v>1.3744242E7</v>
      </c>
      <c r="I464" s="26" t="s">
        <v>1851</v>
      </c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idden="1">
      <c r="A465" s="26"/>
      <c r="B465" s="53" t="s">
        <v>575</v>
      </c>
      <c r="C465" s="53" t="s">
        <v>2261</v>
      </c>
      <c r="D465" s="53" t="s">
        <v>870</v>
      </c>
      <c r="E465" s="53" t="s">
        <v>2293</v>
      </c>
      <c r="F465" s="53" t="s">
        <v>870</v>
      </c>
      <c r="G465" s="53" t="s">
        <v>2266</v>
      </c>
      <c r="H465" s="54">
        <v>6139293.3</v>
      </c>
      <c r="I465" s="26" t="s">
        <v>1851</v>
      </c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idden="1">
      <c r="A466" s="26"/>
      <c r="B466" s="53" t="s">
        <v>575</v>
      </c>
      <c r="C466" s="53" t="s">
        <v>2261</v>
      </c>
      <c r="D466" s="53" t="s">
        <v>734</v>
      </c>
      <c r="E466" s="53" t="s">
        <v>2294</v>
      </c>
      <c r="F466" s="53" t="s">
        <v>734</v>
      </c>
      <c r="G466" s="53" t="s">
        <v>2263</v>
      </c>
      <c r="H466" s="54">
        <v>1.443121434E7</v>
      </c>
      <c r="I466" s="26" t="s">
        <v>1851</v>
      </c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idden="1">
      <c r="A467" s="26"/>
      <c r="B467" s="53" t="s">
        <v>575</v>
      </c>
      <c r="C467" s="53" t="s">
        <v>2261</v>
      </c>
      <c r="D467" s="53" t="s">
        <v>734</v>
      </c>
      <c r="E467" s="53" t="s">
        <v>2295</v>
      </c>
      <c r="F467" s="53" t="s">
        <v>734</v>
      </c>
      <c r="G467" s="53" t="s">
        <v>2266</v>
      </c>
      <c r="H467" s="54">
        <v>2.007568367E7</v>
      </c>
      <c r="I467" s="26" t="s">
        <v>1851</v>
      </c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idden="1">
      <c r="A468" s="26"/>
      <c r="B468" s="53" t="s">
        <v>575</v>
      </c>
      <c r="C468" s="53" t="s">
        <v>2261</v>
      </c>
      <c r="D468" s="53" t="s">
        <v>874</v>
      </c>
      <c r="E468" s="53" t="s">
        <v>2296</v>
      </c>
      <c r="F468" s="53" t="s">
        <v>874</v>
      </c>
      <c r="G468" s="53" t="s">
        <v>2263</v>
      </c>
      <c r="H468" s="54">
        <v>5.5516118E7</v>
      </c>
      <c r="I468" s="26" t="s">
        <v>1851</v>
      </c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idden="1">
      <c r="A469" s="26"/>
      <c r="B469" s="53" t="s">
        <v>575</v>
      </c>
      <c r="C469" s="53" t="s">
        <v>2261</v>
      </c>
      <c r="D469" s="53" t="s">
        <v>874</v>
      </c>
      <c r="E469" s="53" t="s">
        <v>2297</v>
      </c>
      <c r="F469" s="53" t="s">
        <v>874</v>
      </c>
      <c r="G469" s="53" t="s">
        <v>2266</v>
      </c>
      <c r="H469" s="54">
        <v>7633026.0</v>
      </c>
      <c r="I469" s="26" t="s">
        <v>1851</v>
      </c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idden="1">
      <c r="A470" s="26"/>
      <c r="B470" s="53" t="s">
        <v>575</v>
      </c>
      <c r="C470" s="53" t="s">
        <v>2261</v>
      </c>
      <c r="D470" s="53" t="s">
        <v>886</v>
      </c>
      <c r="E470" s="53" t="s">
        <v>2298</v>
      </c>
      <c r="F470" s="53" t="s">
        <v>886</v>
      </c>
      <c r="G470" s="53" t="s">
        <v>2263</v>
      </c>
      <c r="H470" s="54">
        <v>8172339.48</v>
      </c>
      <c r="I470" s="26" t="s">
        <v>1851</v>
      </c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idden="1">
      <c r="A471" s="26"/>
      <c r="B471" s="53" t="s">
        <v>575</v>
      </c>
      <c r="C471" s="53" t="s">
        <v>2261</v>
      </c>
      <c r="D471" s="53" t="s">
        <v>886</v>
      </c>
      <c r="E471" s="53" t="s">
        <v>2299</v>
      </c>
      <c r="F471" s="53" t="s">
        <v>886</v>
      </c>
      <c r="G471" s="53" t="s">
        <v>2266</v>
      </c>
      <c r="H471" s="54">
        <v>2224438.3</v>
      </c>
      <c r="I471" s="26" t="s">
        <v>1851</v>
      </c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idden="1">
      <c r="A472" s="26"/>
      <c r="B472" s="53" t="s">
        <v>575</v>
      </c>
      <c r="C472" s="53" t="s">
        <v>2261</v>
      </c>
      <c r="D472" s="53" t="s">
        <v>900</v>
      </c>
      <c r="E472" s="53" t="s">
        <v>2300</v>
      </c>
      <c r="F472" s="53" t="s">
        <v>900</v>
      </c>
      <c r="G472" s="53" t="s">
        <v>2263</v>
      </c>
      <c r="H472" s="54">
        <v>2.126256282E7</v>
      </c>
      <c r="I472" s="26" t="s">
        <v>1851</v>
      </c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idden="1">
      <c r="A473" s="26"/>
      <c r="B473" s="53" t="s">
        <v>575</v>
      </c>
      <c r="C473" s="53" t="s">
        <v>2261</v>
      </c>
      <c r="D473" s="53" t="s">
        <v>900</v>
      </c>
      <c r="E473" s="53" t="s">
        <v>2301</v>
      </c>
      <c r="F473" s="53" t="s">
        <v>900</v>
      </c>
      <c r="G473" s="53" t="s">
        <v>2266</v>
      </c>
      <c r="H473" s="54">
        <v>2.607396771E7</v>
      </c>
      <c r="I473" s="26" t="s">
        <v>1851</v>
      </c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idden="1">
      <c r="A474" s="26"/>
      <c r="B474" s="53" t="s">
        <v>575</v>
      </c>
      <c r="C474" s="53" t="s">
        <v>2261</v>
      </c>
      <c r="D474" s="53" t="s">
        <v>902</v>
      </c>
      <c r="E474" s="53" t="s">
        <v>5297</v>
      </c>
      <c r="F474" s="53" t="s">
        <v>902</v>
      </c>
      <c r="G474" s="53" t="s">
        <v>2263</v>
      </c>
      <c r="H474" s="54">
        <v>0.0</v>
      </c>
      <c r="I474" s="26" t="s">
        <v>1851</v>
      </c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idden="1">
      <c r="A475" s="26"/>
      <c r="B475" s="53" t="s">
        <v>575</v>
      </c>
      <c r="C475" s="53" t="s">
        <v>2261</v>
      </c>
      <c r="D475" s="53" t="s">
        <v>902</v>
      </c>
      <c r="E475" s="53" t="s">
        <v>5298</v>
      </c>
      <c r="F475" s="53" t="s">
        <v>902</v>
      </c>
      <c r="G475" s="53" t="s">
        <v>2266</v>
      </c>
      <c r="H475" s="54">
        <v>0.0</v>
      </c>
      <c r="I475" s="26" t="s">
        <v>1851</v>
      </c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idden="1">
      <c r="A476" s="26"/>
      <c r="B476" s="53" t="s">
        <v>575</v>
      </c>
      <c r="C476" s="53" t="s">
        <v>2261</v>
      </c>
      <c r="D476" s="53" t="s">
        <v>717</v>
      </c>
      <c r="E476" s="53" t="s">
        <v>2302</v>
      </c>
      <c r="F476" s="53" t="s">
        <v>717</v>
      </c>
      <c r="G476" s="53" t="s">
        <v>2263</v>
      </c>
      <c r="H476" s="54">
        <v>3128108.76</v>
      </c>
      <c r="I476" s="26" t="s">
        <v>1851</v>
      </c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idden="1">
      <c r="A477" s="26"/>
      <c r="B477" s="53" t="s">
        <v>575</v>
      </c>
      <c r="C477" s="53" t="s">
        <v>2261</v>
      </c>
      <c r="D477" s="53" t="s">
        <v>717</v>
      </c>
      <c r="E477" s="53" t="s">
        <v>5299</v>
      </c>
      <c r="F477" s="53" t="s">
        <v>717</v>
      </c>
      <c r="G477" s="53" t="s">
        <v>2266</v>
      </c>
      <c r="H477" s="54">
        <v>0.0</v>
      </c>
      <c r="I477" s="26" t="s">
        <v>1851</v>
      </c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idden="1">
      <c r="A478" s="26"/>
      <c r="B478" s="53" t="s">
        <v>575</v>
      </c>
      <c r="C478" s="53" t="s">
        <v>2261</v>
      </c>
      <c r="D478" s="53" t="s">
        <v>915</v>
      </c>
      <c r="E478" s="53" t="s">
        <v>2303</v>
      </c>
      <c r="F478" s="53" t="s">
        <v>915</v>
      </c>
      <c r="G478" s="53" t="s">
        <v>2263</v>
      </c>
      <c r="H478" s="54">
        <v>1.15506378E7</v>
      </c>
      <c r="I478" s="26" t="s">
        <v>1851</v>
      </c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idden="1">
      <c r="A479" s="26"/>
      <c r="B479" s="53" t="s">
        <v>575</v>
      </c>
      <c r="C479" s="53" t="s">
        <v>2261</v>
      </c>
      <c r="D479" s="53" t="s">
        <v>915</v>
      </c>
      <c r="E479" s="53" t="s">
        <v>2304</v>
      </c>
      <c r="F479" s="53" t="s">
        <v>915</v>
      </c>
      <c r="G479" s="53" t="s">
        <v>2266</v>
      </c>
      <c r="H479" s="54">
        <v>6876831.5</v>
      </c>
      <c r="I479" s="26" t="s">
        <v>1851</v>
      </c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idden="1">
      <c r="A480" s="26"/>
      <c r="B480" s="53" t="s">
        <v>575</v>
      </c>
      <c r="C480" s="53" t="s">
        <v>2261</v>
      </c>
      <c r="D480" s="53" t="s">
        <v>736</v>
      </c>
      <c r="E480" s="53" t="s">
        <v>2305</v>
      </c>
      <c r="F480" s="53" t="s">
        <v>736</v>
      </c>
      <c r="G480" s="53" t="s">
        <v>2263</v>
      </c>
      <c r="H480" s="54">
        <v>2.675024964E7</v>
      </c>
      <c r="I480" s="26" t="s">
        <v>1851</v>
      </c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idden="1">
      <c r="A481" s="26"/>
      <c r="B481" s="53" t="s">
        <v>575</v>
      </c>
      <c r="C481" s="53" t="s">
        <v>2261</v>
      </c>
      <c r="D481" s="53" t="s">
        <v>736</v>
      </c>
      <c r="E481" s="53" t="s">
        <v>2306</v>
      </c>
      <c r="F481" s="53" t="s">
        <v>736</v>
      </c>
      <c r="G481" s="53" t="s">
        <v>2266</v>
      </c>
      <c r="H481" s="54">
        <v>1.274720545E7</v>
      </c>
      <c r="I481" s="26" t="s">
        <v>1851</v>
      </c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53" t="s">
        <v>575</v>
      </c>
      <c r="C482" s="53" t="s">
        <v>2307</v>
      </c>
      <c r="D482" s="53" t="s">
        <v>768</v>
      </c>
      <c r="E482" s="53" t="s">
        <v>2308</v>
      </c>
      <c r="F482" s="53" t="s">
        <v>768</v>
      </c>
      <c r="G482" s="53" t="s">
        <v>2309</v>
      </c>
      <c r="H482" s="54">
        <v>6.6781768584E8</v>
      </c>
      <c r="I482" s="26" t="s">
        <v>5300</v>
      </c>
      <c r="J482" s="26" t="s">
        <v>5301</v>
      </c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53" t="s">
        <v>575</v>
      </c>
      <c r="C483" s="53" t="s">
        <v>2307</v>
      </c>
      <c r="D483" s="53" t="s">
        <v>726</v>
      </c>
      <c r="E483" s="53" t="s">
        <v>2310</v>
      </c>
      <c r="F483" s="53" t="s">
        <v>726</v>
      </c>
      <c r="G483" s="53" t="s">
        <v>2309</v>
      </c>
      <c r="H483" s="54">
        <v>5.2319574464E8</v>
      </c>
      <c r="I483" s="26" t="s">
        <v>5300</v>
      </c>
      <c r="J483" s="26" t="s">
        <v>5301</v>
      </c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53" t="s">
        <v>575</v>
      </c>
      <c r="C484" s="53" t="s">
        <v>2307</v>
      </c>
      <c r="D484" s="53" t="s">
        <v>776</v>
      </c>
      <c r="E484" s="53" t="s">
        <v>2311</v>
      </c>
      <c r="F484" s="53" t="s">
        <v>776</v>
      </c>
      <c r="G484" s="53" t="s">
        <v>2309</v>
      </c>
      <c r="H484" s="54">
        <v>4.6980124008E8</v>
      </c>
      <c r="I484" s="26" t="s">
        <v>5300</v>
      </c>
      <c r="J484" s="26" t="s">
        <v>5301</v>
      </c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53" t="s">
        <v>575</v>
      </c>
      <c r="C485" s="53" t="s">
        <v>2307</v>
      </c>
      <c r="D485" s="53" t="s">
        <v>786</v>
      </c>
      <c r="E485" s="53" t="s">
        <v>2312</v>
      </c>
      <c r="F485" s="53" t="s">
        <v>786</v>
      </c>
      <c r="G485" s="53" t="s">
        <v>2309</v>
      </c>
      <c r="H485" s="54">
        <v>1.556770264E7</v>
      </c>
      <c r="I485" s="26" t="s">
        <v>5300</v>
      </c>
      <c r="J485" s="26" t="s">
        <v>5301</v>
      </c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53" t="s">
        <v>575</v>
      </c>
      <c r="C486" s="53" t="s">
        <v>2307</v>
      </c>
      <c r="D486" s="53" t="s">
        <v>790</v>
      </c>
      <c r="E486" s="53" t="s">
        <v>2313</v>
      </c>
      <c r="F486" s="53" t="s">
        <v>790</v>
      </c>
      <c r="G486" s="53" t="s">
        <v>2309</v>
      </c>
      <c r="H486" s="54">
        <v>2.306524779E7</v>
      </c>
      <c r="I486" s="26" t="s">
        <v>5300</v>
      </c>
      <c r="J486" s="26" t="s">
        <v>5301</v>
      </c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53" t="s">
        <v>575</v>
      </c>
      <c r="C487" s="53" t="s">
        <v>2307</v>
      </c>
      <c r="D487" s="53" t="s">
        <v>800</v>
      </c>
      <c r="E487" s="53" t="s">
        <v>2314</v>
      </c>
      <c r="F487" s="53" t="s">
        <v>800</v>
      </c>
      <c r="G487" s="53" t="s">
        <v>2309</v>
      </c>
      <c r="H487" s="54">
        <v>1.7404914208E8</v>
      </c>
      <c r="I487" s="26" t="s">
        <v>5300</v>
      </c>
      <c r="J487" s="26" t="s">
        <v>5301</v>
      </c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53" t="s">
        <v>575</v>
      </c>
      <c r="C488" s="53" t="s">
        <v>2307</v>
      </c>
      <c r="D488" s="53" t="s">
        <v>810</v>
      </c>
      <c r="E488" s="53" t="s">
        <v>2315</v>
      </c>
      <c r="F488" s="53" t="s">
        <v>810</v>
      </c>
      <c r="G488" s="53" t="s">
        <v>2309</v>
      </c>
      <c r="H488" s="54">
        <v>6.005916568E7</v>
      </c>
      <c r="I488" s="26" t="s">
        <v>5300</v>
      </c>
      <c r="J488" s="26" t="s">
        <v>5301</v>
      </c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53" t="s">
        <v>575</v>
      </c>
      <c r="C489" s="53" t="s">
        <v>2307</v>
      </c>
      <c r="D489" s="53" t="s">
        <v>814</v>
      </c>
      <c r="E489" s="53" t="s">
        <v>2316</v>
      </c>
      <c r="F489" s="53" t="s">
        <v>814</v>
      </c>
      <c r="G489" s="53" t="s">
        <v>2309</v>
      </c>
      <c r="H489" s="54">
        <v>4.396408616E7</v>
      </c>
      <c r="I489" s="26" t="s">
        <v>5300</v>
      </c>
      <c r="J489" s="26" t="s">
        <v>5301</v>
      </c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53" t="s">
        <v>575</v>
      </c>
      <c r="C490" s="53" t="s">
        <v>2307</v>
      </c>
      <c r="D490" s="53" t="s">
        <v>830</v>
      </c>
      <c r="E490" s="53" t="s">
        <v>2317</v>
      </c>
      <c r="F490" s="53" t="s">
        <v>830</v>
      </c>
      <c r="G490" s="53" t="s">
        <v>2309</v>
      </c>
      <c r="H490" s="54">
        <v>1.29987543648E9</v>
      </c>
      <c r="I490" s="26" t="s">
        <v>5300</v>
      </c>
      <c r="J490" s="26" t="s">
        <v>5301</v>
      </c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53" t="s">
        <v>575</v>
      </c>
      <c r="C491" s="53" t="s">
        <v>2307</v>
      </c>
      <c r="D491" s="53" t="s">
        <v>862</v>
      </c>
      <c r="E491" s="53" t="s">
        <v>2318</v>
      </c>
      <c r="F491" s="53" t="s">
        <v>862</v>
      </c>
      <c r="G491" s="53" t="s">
        <v>2309</v>
      </c>
      <c r="H491" s="54">
        <v>1.162704582E7</v>
      </c>
      <c r="I491" s="26" t="s">
        <v>5300</v>
      </c>
      <c r="J491" s="26" t="s">
        <v>5301</v>
      </c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53" t="s">
        <v>575</v>
      </c>
      <c r="C492" s="53" t="s">
        <v>2307</v>
      </c>
      <c r="D492" s="53" t="s">
        <v>868</v>
      </c>
      <c r="E492" s="53" t="s">
        <v>2319</v>
      </c>
      <c r="F492" s="53" t="s">
        <v>868</v>
      </c>
      <c r="G492" s="53" t="s">
        <v>2309</v>
      </c>
      <c r="H492" s="54">
        <v>1.49232954E7</v>
      </c>
      <c r="I492" s="26" t="s">
        <v>5300</v>
      </c>
      <c r="J492" s="26" t="s">
        <v>5301</v>
      </c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53" t="s">
        <v>575</v>
      </c>
      <c r="C493" s="53" t="s">
        <v>2307</v>
      </c>
      <c r="D493" s="53" t="s">
        <v>884</v>
      </c>
      <c r="E493" s="53" t="s">
        <v>2320</v>
      </c>
      <c r="F493" s="53" t="s">
        <v>884</v>
      </c>
      <c r="G493" s="53" t="s">
        <v>2309</v>
      </c>
      <c r="H493" s="54">
        <v>2.507729864E8</v>
      </c>
      <c r="I493" s="26" t="s">
        <v>5300</v>
      </c>
      <c r="J493" s="26" t="s">
        <v>5301</v>
      </c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53" t="s">
        <v>575</v>
      </c>
      <c r="C494" s="53" t="s">
        <v>2307</v>
      </c>
      <c r="D494" s="53" t="s">
        <v>915</v>
      </c>
      <c r="E494" s="53" t="s">
        <v>2321</v>
      </c>
      <c r="F494" s="53" t="s">
        <v>915</v>
      </c>
      <c r="G494" s="53" t="s">
        <v>2309</v>
      </c>
      <c r="H494" s="54">
        <v>6.7500014056E8</v>
      </c>
      <c r="I494" s="26" t="s">
        <v>5300</v>
      </c>
      <c r="J494" s="26" t="s">
        <v>5301</v>
      </c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53" t="s">
        <v>575</v>
      </c>
      <c r="C495" s="53" t="s">
        <v>2307</v>
      </c>
      <c r="D495" s="53" t="s">
        <v>968</v>
      </c>
      <c r="E495" s="53" t="s">
        <v>2322</v>
      </c>
      <c r="F495" s="53" t="s">
        <v>968</v>
      </c>
      <c r="G495" s="53" t="s">
        <v>2309</v>
      </c>
      <c r="H495" s="54">
        <v>6.058445412E8</v>
      </c>
      <c r="I495" s="26" t="s">
        <v>5300</v>
      </c>
      <c r="J495" s="26" t="s">
        <v>5301</v>
      </c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53" t="s">
        <v>575</v>
      </c>
      <c r="C496" s="53" t="s">
        <v>2307</v>
      </c>
      <c r="D496" s="53" t="s">
        <v>935</v>
      </c>
      <c r="E496" s="53" t="s">
        <v>2323</v>
      </c>
      <c r="F496" s="53" t="s">
        <v>935</v>
      </c>
      <c r="G496" s="53" t="s">
        <v>2309</v>
      </c>
      <c r="H496" s="54">
        <v>2.112493248E7</v>
      </c>
      <c r="I496" s="26" t="s">
        <v>5300</v>
      </c>
      <c r="J496" s="26" t="s">
        <v>5301</v>
      </c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53" t="s">
        <v>575</v>
      </c>
      <c r="C497" s="53" t="s">
        <v>2324</v>
      </c>
      <c r="D497" s="53" t="s">
        <v>833</v>
      </c>
      <c r="E497" s="53" t="s">
        <v>2325</v>
      </c>
      <c r="F497" s="53" t="s">
        <v>833</v>
      </c>
      <c r="G497" s="53" t="s">
        <v>2326</v>
      </c>
      <c r="H497" s="54">
        <v>1.88108488395E9</v>
      </c>
      <c r="I497" s="26" t="s">
        <v>5300</v>
      </c>
      <c r="J497" s="26" t="s">
        <v>5302</v>
      </c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53" t="s">
        <v>575</v>
      </c>
      <c r="C498" s="53" t="s">
        <v>2327</v>
      </c>
      <c r="D498" s="53" t="s">
        <v>730</v>
      </c>
      <c r="E498" s="53" t="s">
        <v>2328</v>
      </c>
      <c r="F498" s="53" t="s">
        <v>730</v>
      </c>
      <c r="G498" s="53" t="s">
        <v>2329</v>
      </c>
      <c r="H498" s="54">
        <v>6.3283627113E8</v>
      </c>
      <c r="I498" s="26" t="s">
        <v>5300</v>
      </c>
      <c r="J498" s="26" t="s">
        <v>5303</v>
      </c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55"/>
      <c r="B499" s="56" t="s">
        <v>575</v>
      </c>
      <c r="C499" s="56" t="s">
        <v>2327</v>
      </c>
      <c r="D499" s="56" t="s">
        <v>941</v>
      </c>
      <c r="E499" s="56" t="s">
        <v>2330</v>
      </c>
      <c r="F499" s="56" t="s">
        <v>941</v>
      </c>
      <c r="G499" s="56" t="s">
        <v>2329</v>
      </c>
      <c r="H499" s="57">
        <v>3.189140766E7</v>
      </c>
      <c r="I499" s="55" t="s">
        <v>5300</v>
      </c>
      <c r="J499" s="55" t="s">
        <v>5303</v>
      </c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>
      <c r="A500" s="26"/>
      <c r="B500" s="53" t="s">
        <v>575</v>
      </c>
      <c r="C500" s="53" t="s">
        <v>2331</v>
      </c>
      <c r="D500" s="53" t="s">
        <v>759</v>
      </c>
      <c r="E500" s="53" t="s">
        <v>2332</v>
      </c>
      <c r="F500" s="53" t="s">
        <v>759</v>
      </c>
      <c r="G500" s="53" t="s">
        <v>2333</v>
      </c>
      <c r="H500" s="54">
        <v>9.519261687E7</v>
      </c>
      <c r="I500" s="26" t="s">
        <v>5300</v>
      </c>
      <c r="J500" s="26" t="s">
        <v>5304</v>
      </c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53" t="s">
        <v>575</v>
      </c>
      <c r="C501" s="53" t="s">
        <v>2331</v>
      </c>
      <c r="D501" s="53" t="s">
        <v>763</v>
      </c>
      <c r="E501" s="53" t="s">
        <v>2334</v>
      </c>
      <c r="F501" s="53" t="s">
        <v>763</v>
      </c>
      <c r="G501" s="53" t="s">
        <v>2333</v>
      </c>
      <c r="H501" s="54">
        <v>1.545793431E7</v>
      </c>
      <c r="I501" s="26" t="s">
        <v>5300</v>
      </c>
      <c r="J501" s="26" t="s">
        <v>5304</v>
      </c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53" t="s">
        <v>575</v>
      </c>
      <c r="C502" s="53" t="s">
        <v>2331</v>
      </c>
      <c r="D502" s="53" t="s">
        <v>826</v>
      </c>
      <c r="E502" s="53" t="s">
        <v>2335</v>
      </c>
      <c r="F502" s="53" t="s">
        <v>826</v>
      </c>
      <c r="G502" s="53" t="s">
        <v>2333</v>
      </c>
      <c r="H502" s="54">
        <v>1.780678936E7</v>
      </c>
      <c r="I502" s="26" t="s">
        <v>5300</v>
      </c>
      <c r="J502" s="26" t="s">
        <v>5304</v>
      </c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53" t="s">
        <v>575</v>
      </c>
      <c r="C503" s="53" t="s">
        <v>2331</v>
      </c>
      <c r="D503" s="53" t="s">
        <v>710</v>
      </c>
      <c r="E503" s="53" t="s">
        <v>2336</v>
      </c>
      <c r="F503" s="53" t="s">
        <v>710</v>
      </c>
      <c r="G503" s="53" t="s">
        <v>2333</v>
      </c>
      <c r="H503" s="54">
        <v>7936124.82</v>
      </c>
      <c r="I503" s="26" t="s">
        <v>5300</v>
      </c>
      <c r="J503" s="26" t="s">
        <v>5304</v>
      </c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53" t="s">
        <v>575</v>
      </c>
      <c r="C504" s="53" t="s">
        <v>2331</v>
      </c>
      <c r="D504" s="53" t="s">
        <v>842</v>
      </c>
      <c r="E504" s="53" t="s">
        <v>2337</v>
      </c>
      <c r="F504" s="53" t="s">
        <v>842</v>
      </c>
      <c r="G504" s="53" t="s">
        <v>2333</v>
      </c>
      <c r="H504" s="54">
        <v>1.019615648E7</v>
      </c>
      <c r="I504" s="26" t="s">
        <v>5300</v>
      </c>
      <c r="J504" s="26" t="s">
        <v>5304</v>
      </c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53" t="s">
        <v>575</v>
      </c>
      <c r="C505" s="53" t="s">
        <v>2331</v>
      </c>
      <c r="D505" s="53" t="s">
        <v>999</v>
      </c>
      <c r="E505" s="53" t="s">
        <v>2338</v>
      </c>
      <c r="F505" s="53" t="s">
        <v>999</v>
      </c>
      <c r="G505" s="53" t="s">
        <v>2333</v>
      </c>
      <c r="H505" s="54">
        <v>3.028593776E7</v>
      </c>
      <c r="I505" s="26" t="s">
        <v>5300</v>
      </c>
      <c r="J505" s="26" t="s">
        <v>5304</v>
      </c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53" t="s">
        <v>575</v>
      </c>
      <c r="C506" s="53" t="s">
        <v>2331</v>
      </c>
      <c r="D506" s="53" t="s">
        <v>880</v>
      </c>
      <c r="E506" s="53" t="s">
        <v>2339</v>
      </c>
      <c r="F506" s="53" t="s">
        <v>880</v>
      </c>
      <c r="G506" s="53" t="s">
        <v>2333</v>
      </c>
      <c r="H506" s="54">
        <v>2.600627679E7</v>
      </c>
      <c r="I506" s="26" t="s">
        <v>5300</v>
      </c>
      <c r="J506" s="26" t="s">
        <v>5304</v>
      </c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53" t="s">
        <v>575</v>
      </c>
      <c r="C507" s="53" t="s">
        <v>2331</v>
      </c>
      <c r="D507" s="53" t="s">
        <v>717</v>
      </c>
      <c r="E507" s="53" t="s">
        <v>2340</v>
      </c>
      <c r="F507" s="53" t="s">
        <v>717</v>
      </c>
      <c r="G507" s="53" t="s">
        <v>2333</v>
      </c>
      <c r="H507" s="54">
        <v>1.165719711E7</v>
      </c>
      <c r="I507" s="26" t="s">
        <v>5300</v>
      </c>
      <c r="J507" s="26" t="s">
        <v>5304</v>
      </c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53" t="s">
        <v>575</v>
      </c>
      <c r="C508" s="53" t="s">
        <v>5305</v>
      </c>
      <c r="D508" s="53" t="s">
        <v>1054</v>
      </c>
      <c r="E508" s="53" t="s">
        <v>5306</v>
      </c>
      <c r="F508" s="53" t="s">
        <v>1054</v>
      </c>
      <c r="G508" s="53" t="s">
        <v>5307</v>
      </c>
      <c r="H508" s="54">
        <v>0.0</v>
      </c>
      <c r="I508" s="26" t="s">
        <v>5300</v>
      </c>
      <c r="J508" s="26" t="s">
        <v>5308</v>
      </c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53" t="s">
        <v>575</v>
      </c>
      <c r="C509" s="53" t="s">
        <v>5305</v>
      </c>
      <c r="D509" s="53" t="s">
        <v>1054</v>
      </c>
      <c r="E509" s="53" t="s">
        <v>5309</v>
      </c>
      <c r="F509" s="53" t="s">
        <v>1054</v>
      </c>
      <c r="G509" s="53" t="s">
        <v>5310</v>
      </c>
      <c r="H509" s="54">
        <v>0.0</v>
      </c>
      <c r="I509" s="26" t="s">
        <v>5300</v>
      </c>
      <c r="J509" s="26" t="s">
        <v>5308</v>
      </c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idden="1">
      <c r="A510" s="26"/>
      <c r="B510" s="53" t="s">
        <v>575</v>
      </c>
      <c r="C510" s="53" t="s">
        <v>2341</v>
      </c>
      <c r="D510" s="53" t="s">
        <v>739</v>
      </c>
      <c r="E510" s="53" t="s">
        <v>2342</v>
      </c>
      <c r="F510" s="53" t="s">
        <v>739</v>
      </c>
      <c r="G510" s="53" t="s">
        <v>2343</v>
      </c>
      <c r="H510" s="54">
        <v>3.903849469E7</v>
      </c>
      <c r="I510" s="26" t="s">
        <v>5234</v>
      </c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idden="1">
      <c r="A511" s="26"/>
      <c r="B511" s="53" t="s">
        <v>575</v>
      </c>
      <c r="C511" s="53" t="s">
        <v>2341</v>
      </c>
      <c r="D511" s="53" t="s">
        <v>2065</v>
      </c>
      <c r="E511" s="53" t="s">
        <v>2344</v>
      </c>
      <c r="F511" s="53" t="s">
        <v>2065</v>
      </c>
      <c r="G511" s="53" t="s">
        <v>2343</v>
      </c>
      <c r="H511" s="54">
        <v>6.0337756115E8</v>
      </c>
      <c r="I511" s="26" t="s">
        <v>5234</v>
      </c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idden="1">
      <c r="A512" s="26"/>
      <c r="B512" s="53" t="s">
        <v>575</v>
      </c>
      <c r="C512" s="53" t="s">
        <v>2341</v>
      </c>
      <c r="D512" s="53" t="s">
        <v>695</v>
      </c>
      <c r="E512" s="53" t="s">
        <v>2345</v>
      </c>
      <c r="F512" s="53" t="s">
        <v>695</v>
      </c>
      <c r="G512" s="53" t="s">
        <v>2343</v>
      </c>
      <c r="H512" s="54">
        <v>1.776593091E7</v>
      </c>
      <c r="I512" s="26" t="s">
        <v>5234</v>
      </c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idden="1">
      <c r="A513" s="26"/>
      <c r="B513" s="53" t="s">
        <v>575</v>
      </c>
      <c r="C513" s="53" t="s">
        <v>2341</v>
      </c>
      <c r="D513" s="53" t="s">
        <v>761</v>
      </c>
      <c r="E513" s="53" t="s">
        <v>2346</v>
      </c>
      <c r="F513" s="53" t="s">
        <v>761</v>
      </c>
      <c r="G513" s="53" t="s">
        <v>2343</v>
      </c>
      <c r="H513" s="54">
        <v>4798060.8</v>
      </c>
      <c r="I513" s="26" t="s">
        <v>5234</v>
      </c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idden="1">
      <c r="A514" s="26"/>
      <c r="B514" s="53" t="s">
        <v>575</v>
      </c>
      <c r="C514" s="53" t="s">
        <v>2341</v>
      </c>
      <c r="D514" s="53" t="s">
        <v>788</v>
      </c>
      <c r="E514" s="53" t="s">
        <v>2347</v>
      </c>
      <c r="F514" s="53" t="s">
        <v>788</v>
      </c>
      <c r="G514" s="53" t="s">
        <v>2343</v>
      </c>
      <c r="H514" s="54">
        <v>3.533612186E7</v>
      </c>
      <c r="I514" s="26" t="s">
        <v>5234</v>
      </c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idden="1">
      <c r="A515" s="26"/>
      <c r="B515" s="53" t="s">
        <v>575</v>
      </c>
      <c r="C515" s="53" t="s">
        <v>2341</v>
      </c>
      <c r="D515" s="53" t="s">
        <v>816</v>
      </c>
      <c r="E515" s="53" t="s">
        <v>2348</v>
      </c>
      <c r="F515" s="53" t="s">
        <v>816</v>
      </c>
      <c r="G515" s="53" t="s">
        <v>2343</v>
      </c>
      <c r="H515" s="54">
        <v>1.078994228E7</v>
      </c>
      <c r="I515" s="26" t="s">
        <v>5234</v>
      </c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idden="1">
      <c r="A516" s="26"/>
      <c r="B516" s="53" t="s">
        <v>575</v>
      </c>
      <c r="C516" s="53" t="s">
        <v>2341</v>
      </c>
      <c r="D516" s="53" t="s">
        <v>834</v>
      </c>
      <c r="E516" s="53" t="s">
        <v>2349</v>
      </c>
      <c r="F516" s="53" t="s">
        <v>834</v>
      </c>
      <c r="G516" s="53" t="s">
        <v>2343</v>
      </c>
      <c r="H516" s="54">
        <v>1.54188294E7</v>
      </c>
      <c r="I516" s="26" t="s">
        <v>5234</v>
      </c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idden="1">
      <c r="A517" s="26"/>
      <c r="B517" s="53" t="s">
        <v>575</v>
      </c>
      <c r="C517" s="53" t="s">
        <v>2341</v>
      </c>
      <c r="D517" s="53" t="s">
        <v>730</v>
      </c>
      <c r="E517" s="53" t="s">
        <v>2350</v>
      </c>
      <c r="F517" s="53" t="s">
        <v>730</v>
      </c>
      <c r="G517" s="53" t="s">
        <v>2343</v>
      </c>
      <c r="H517" s="54">
        <v>1.9878504347E8</v>
      </c>
      <c r="I517" s="26" t="s">
        <v>5234</v>
      </c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idden="1">
      <c r="A518" s="26"/>
      <c r="B518" s="53" t="s">
        <v>575</v>
      </c>
      <c r="C518" s="53" t="s">
        <v>2341</v>
      </c>
      <c r="D518" s="53" t="s">
        <v>866</v>
      </c>
      <c r="E518" s="53" t="s">
        <v>2351</v>
      </c>
      <c r="F518" s="53" t="s">
        <v>866</v>
      </c>
      <c r="G518" s="53" t="s">
        <v>2343</v>
      </c>
      <c r="H518" s="54">
        <v>8.446554428E7</v>
      </c>
      <c r="I518" s="26" t="s">
        <v>5234</v>
      </c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idden="1">
      <c r="A519" s="26"/>
      <c r="B519" s="53" t="s">
        <v>575</v>
      </c>
      <c r="C519" s="53" t="s">
        <v>2341</v>
      </c>
      <c r="D519" s="53" t="s">
        <v>876</v>
      </c>
      <c r="E519" s="53" t="s">
        <v>2352</v>
      </c>
      <c r="F519" s="53" t="s">
        <v>876</v>
      </c>
      <c r="G519" s="53" t="s">
        <v>2343</v>
      </c>
      <c r="H519" s="54">
        <v>6.845491861E7</v>
      </c>
      <c r="I519" s="26" t="s">
        <v>5234</v>
      </c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idden="1">
      <c r="A520" s="26"/>
      <c r="B520" s="53" t="s">
        <v>575</v>
      </c>
      <c r="C520" s="53" t="s">
        <v>2341</v>
      </c>
      <c r="D520" s="53" t="s">
        <v>717</v>
      </c>
      <c r="E520" s="53" t="s">
        <v>2353</v>
      </c>
      <c r="F520" s="53" t="s">
        <v>717</v>
      </c>
      <c r="G520" s="53" t="s">
        <v>2343</v>
      </c>
      <c r="H520" s="54">
        <v>4.168081307E7</v>
      </c>
      <c r="I520" s="26" t="s">
        <v>5234</v>
      </c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idden="1">
      <c r="A521" s="26"/>
      <c r="B521" s="53" t="s">
        <v>575</v>
      </c>
      <c r="C521" s="53" t="s">
        <v>2341</v>
      </c>
      <c r="D521" s="53" t="s">
        <v>915</v>
      </c>
      <c r="E521" s="53" t="s">
        <v>2354</v>
      </c>
      <c r="F521" s="53" t="s">
        <v>915</v>
      </c>
      <c r="G521" s="53" t="s">
        <v>2343</v>
      </c>
      <c r="H521" s="54">
        <v>4.251788918E7</v>
      </c>
      <c r="I521" s="26" t="s">
        <v>5234</v>
      </c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idden="1">
      <c r="A522" s="26"/>
      <c r="B522" s="53" t="s">
        <v>575</v>
      </c>
      <c r="C522" s="53" t="s">
        <v>2341</v>
      </c>
      <c r="D522" s="53" t="s">
        <v>736</v>
      </c>
      <c r="E522" s="53" t="s">
        <v>2355</v>
      </c>
      <c r="F522" s="53" t="s">
        <v>736</v>
      </c>
      <c r="G522" s="53" t="s">
        <v>2343</v>
      </c>
      <c r="H522" s="54">
        <v>4052799.66</v>
      </c>
      <c r="I522" s="26" t="s">
        <v>5234</v>
      </c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idden="1">
      <c r="A523" s="26"/>
      <c r="B523" s="53" t="s">
        <v>575</v>
      </c>
      <c r="C523" s="53" t="s">
        <v>2356</v>
      </c>
      <c r="D523" s="53" t="s">
        <v>730</v>
      </c>
      <c r="E523" s="53" t="s">
        <v>2357</v>
      </c>
      <c r="F523" s="53" t="s">
        <v>730</v>
      </c>
      <c r="G523" s="53" t="s">
        <v>2358</v>
      </c>
      <c r="H523" s="54">
        <v>5.1689376874E8</v>
      </c>
      <c r="I523" s="26" t="s">
        <v>5234</v>
      </c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idden="1">
      <c r="A524" s="26"/>
      <c r="B524" s="53" t="s">
        <v>588</v>
      </c>
      <c r="C524" s="53" t="s">
        <v>5311</v>
      </c>
      <c r="D524" s="53" t="s">
        <v>880</v>
      </c>
      <c r="E524" s="53" t="s">
        <v>5312</v>
      </c>
      <c r="F524" s="53" t="s">
        <v>880</v>
      </c>
      <c r="G524" s="53" t="s">
        <v>5313</v>
      </c>
      <c r="H524" s="54">
        <v>1039474.8</v>
      </c>
      <c r="I524" s="26" t="s">
        <v>1851</v>
      </c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idden="1">
      <c r="A525" s="26"/>
      <c r="B525" s="53" t="s">
        <v>588</v>
      </c>
      <c r="C525" s="53" t="s">
        <v>5311</v>
      </c>
      <c r="D525" s="53" t="s">
        <v>880</v>
      </c>
      <c r="E525" s="53" t="s">
        <v>5314</v>
      </c>
      <c r="F525" s="53" t="s">
        <v>880</v>
      </c>
      <c r="G525" s="53" t="s">
        <v>5315</v>
      </c>
      <c r="H525" s="54">
        <v>276139.5</v>
      </c>
      <c r="I525" s="26" t="s">
        <v>1851</v>
      </c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53" t="s">
        <v>588</v>
      </c>
      <c r="C526" s="53" t="s">
        <v>5316</v>
      </c>
      <c r="D526" s="53" t="s">
        <v>768</v>
      </c>
      <c r="E526" s="53" t="s">
        <v>5317</v>
      </c>
      <c r="F526" s="53" t="s">
        <v>768</v>
      </c>
      <c r="G526" s="53" t="s">
        <v>5318</v>
      </c>
      <c r="H526" s="54">
        <v>1.49580711172E9</v>
      </c>
      <c r="I526" s="26" t="s">
        <v>5319</v>
      </c>
      <c r="J526" s="26" t="s">
        <v>5320</v>
      </c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53" t="s">
        <v>588</v>
      </c>
      <c r="C527" s="53" t="s">
        <v>5316</v>
      </c>
      <c r="D527" s="53" t="s">
        <v>913</v>
      </c>
      <c r="E527" s="53" t="s">
        <v>5321</v>
      </c>
      <c r="F527" s="53" t="s">
        <v>913</v>
      </c>
      <c r="G527" s="53" t="s">
        <v>5322</v>
      </c>
      <c r="H527" s="54">
        <v>6.860706332E7</v>
      </c>
      <c r="I527" s="26" t="s">
        <v>5319</v>
      </c>
      <c r="J527" s="26" t="s">
        <v>5320</v>
      </c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53" t="s">
        <v>588</v>
      </c>
      <c r="C528" s="53" t="s">
        <v>5323</v>
      </c>
      <c r="D528" s="53" t="s">
        <v>695</v>
      </c>
      <c r="E528" s="53" t="s">
        <v>5324</v>
      </c>
      <c r="F528" s="53" t="s">
        <v>695</v>
      </c>
      <c r="G528" s="53" t="s">
        <v>5325</v>
      </c>
      <c r="H528" s="54">
        <v>2.5571470173E8</v>
      </c>
      <c r="I528" s="26" t="s">
        <v>5319</v>
      </c>
      <c r="J528" s="53" t="s">
        <v>5323</v>
      </c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53" t="s">
        <v>588</v>
      </c>
      <c r="C529" s="53" t="s">
        <v>5323</v>
      </c>
      <c r="D529" s="53" t="s">
        <v>699</v>
      </c>
      <c r="E529" s="53" t="s">
        <v>5326</v>
      </c>
      <c r="F529" s="53" t="s">
        <v>699</v>
      </c>
      <c r="G529" s="53" t="s">
        <v>5327</v>
      </c>
      <c r="H529" s="54">
        <v>3.5868957765E8</v>
      </c>
      <c r="I529" s="26" t="s">
        <v>5319</v>
      </c>
      <c r="J529" s="53" t="s">
        <v>5323</v>
      </c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53" t="s">
        <v>588</v>
      </c>
      <c r="C530" s="53" t="s">
        <v>5323</v>
      </c>
      <c r="D530" s="53" t="s">
        <v>699</v>
      </c>
      <c r="E530" s="53" t="s">
        <v>5328</v>
      </c>
      <c r="F530" s="53" t="s">
        <v>699</v>
      </c>
      <c r="G530" s="53" t="s">
        <v>5329</v>
      </c>
      <c r="H530" s="54">
        <v>4.593960462E7</v>
      </c>
      <c r="I530" s="26" t="s">
        <v>5319</v>
      </c>
      <c r="J530" s="53" t="s">
        <v>5323</v>
      </c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53" t="s">
        <v>588</v>
      </c>
      <c r="C531" s="53" t="s">
        <v>5323</v>
      </c>
      <c r="D531" s="53" t="s">
        <v>772</v>
      </c>
      <c r="E531" s="53" t="s">
        <v>5330</v>
      </c>
      <c r="F531" s="53" t="s">
        <v>772</v>
      </c>
      <c r="G531" s="53" t="s">
        <v>5325</v>
      </c>
      <c r="H531" s="54">
        <v>6.98513172E7</v>
      </c>
      <c r="I531" s="26" t="s">
        <v>5319</v>
      </c>
      <c r="J531" s="53" t="s">
        <v>5323</v>
      </c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53" t="s">
        <v>588</v>
      </c>
      <c r="C532" s="53" t="s">
        <v>5323</v>
      </c>
      <c r="D532" s="53" t="s">
        <v>776</v>
      </c>
      <c r="E532" s="53" t="s">
        <v>5331</v>
      </c>
      <c r="F532" s="53" t="s">
        <v>776</v>
      </c>
      <c r="G532" s="53" t="s">
        <v>5325</v>
      </c>
      <c r="H532" s="54">
        <v>8.995875626E7</v>
      </c>
      <c r="I532" s="26" t="s">
        <v>5319</v>
      </c>
      <c r="J532" s="53" t="s">
        <v>5323</v>
      </c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53" t="s">
        <v>588</v>
      </c>
      <c r="C533" s="53" t="s">
        <v>5323</v>
      </c>
      <c r="D533" s="53" t="s">
        <v>783</v>
      </c>
      <c r="E533" s="53" t="s">
        <v>5332</v>
      </c>
      <c r="F533" s="53" t="s">
        <v>783</v>
      </c>
      <c r="G533" s="53" t="s">
        <v>5325</v>
      </c>
      <c r="H533" s="54">
        <v>2.063009739E7</v>
      </c>
      <c r="I533" s="26" t="s">
        <v>5319</v>
      </c>
      <c r="J533" s="53" t="s">
        <v>5323</v>
      </c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53" t="s">
        <v>588</v>
      </c>
      <c r="C534" s="53" t="s">
        <v>5323</v>
      </c>
      <c r="D534" s="53" t="s">
        <v>953</v>
      </c>
      <c r="E534" s="53" t="s">
        <v>5333</v>
      </c>
      <c r="F534" s="53" t="s">
        <v>953</v>
      </c>
      <c r="G534" s="53" t="s">
        <v>5334</v>
      </c>
      <c r="H534" s="54">
        <v>5.927249965E7</v>
      </c>
      <c r="I534" s="26" t="s">
        <v>5319</v>
      </c>
      <c r="J534" s="53" t="s">
        <v>5323</v>
      </c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53" t="s">
        <v>588</v>
      </c>
      <c r="C535" s="53" t="s">
        <v>5323</v>
      </c>
      <c r="D535" s="53" t="s">
        <v>953</v>
      </c>
      <c r="E535" s="53" t="s">
        <v>5335</v>
      </c>
      <c r="F535" s="53" t="s">
        <v>953</v>
      </c>
      <c r="G535" s="53" t="s">
        <v>5325</v>
      </c>
      <c r="H535" s="54">
        <v>1.2462733796E8</v>
      </c>
      <c r="I535" s="26" t="s">
        <v>5319</v>
      </c>
      <c r="J535" s="53" t="s">
        <v>5323</v>
      </c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53" t="s">
        <v>588</v>
      </c>
      <c r="C536" s="53" t="s">
        <v>5323</v>
      </c>
      <c r="D536" s="53" t="s">
        <v>802</v>
      </c>
      <c r="E536" s="53" t="s">
        <v>5336</v>
      </c>
      <c r="F536" s="53" t="s">
        <v>802</v>
      </c>
      <c r="G536" s="53" t="s">
        <v>5325</v>
      </c>
      <c r="H536" s="54">
        <v>0.0</v>
      </c>
      <c r="I536" s="26" t="s">
        <v>5319</v>
      </c>
      <c r="J536" s="53" t="s">
        <v>5323</v>
      </c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53" t="s">
        <v>588</v>
      </c>
      <c r="C537" s="53" t="s">
        <v>5323</v>
      </c>
      <c r="D537" s="53" t="s">
        <v>816</v>
      </c>
      <c r="E537" s="53" t="s">
        <v>5337</v>
      </c>
      <c r="F537" s="53" t="s">
        <v>816</v>
      </c>
      <c r="G537" s="53" t="s">
        <v>5325</v>
      </c>
      <c r="H537" s="54">
        <v>0.0</v>
      </c>
      <c r="I537" s="26" t="s">
        <v>5319</v>
      </c>
      <c r="J537" s="53" t="s">
        <v>5323</v>
      </c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53" t="s">
        <v>588</v>
      </c>
      <c r="C538" s="53" t="s">
        <v>5323</v>
      </c>
      <c r="D538" s="53" t="s">
        <v>826</v>
      </c>
      <c r="E538" s="53" t="s">
        <v>5338</v>
      </c>
      <c r="F538" s="53" t="s">
        <v>826</v>
      </c>
      <c r="G538" s="53" t="s">
        <v>5325</v>
      </c>
      <c r="H538" s="54">
        <v>0.0</v>
      </c>
      <c r="I538" s="26" t="s">
        <v>5319</v>
      </c>
      <c r="J538" s="53" t="s">
        <v>5323</v>
      </c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53" t="s">
        <v>588</v>
      </c>
      <c r="C539" s="53" t="s">
        <v>5323</v>
      </c>
      <c r="D539" s="53" t="s">
        <v>1054</v>
      </c>
      <c r="E539" s="53" t="s">
        <v>5339</v>
      </c>
      <c r="F539" s="53" t="s">
        <v>1054</v>
      </c>
      <c r="G539" s="53" t="s">
        <v>5325</v>
      </c>
      <c r="H539" s="54">
        <v>1.13995245584E9</v>
      </c>
      <c r="I539" s="26" t="s">
        <v>5319</v>
      </c>
      <c r="J539" s="53" t="s">
        <v>5323</v>
      </c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53" t="s">
        <v>588</v>
      </c>
      <c r="C540" s="53" t="s">
        <v>5323</v>
      </c>
      <c r="D540" s="53" t="s">
        <v>1054</v>
      </c>
      <c r="E540" s="53" t="s">
        <v>5340</v>
      </c>
      <c r="F540" s="53" t="s">
        <v>1054</v>
      </c>
      <c r="G540" s="53" t="s">
        <v>5327</v>
      </c>
      <c r="H540" s="54">
        <v>2.6317111892E8</v>
      </c>
      <c r="I540" s="26" t="s">
        <v>5319</v>
      </c>
      <c r="J540" s="53" t="s">
        <v>5323</v>
      </c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53" t="s">
        <v>588</v>
      </c>
      <c r="C541" s="53" t="s">
        <v>5323</v>
      </c>
      <c r="D541" s="53" t="s">
        <v>833</v>
      </c>
      <c r="E541" s="53" t="s">
        <v>5341</v>
      </c>
      <c r="F541" s="53" t="s">
        <v>833</v>
      </c>
      <c r="G541" s="53" t="s">
        <v>5325</v>
      </c>
      <c r="H541" s="54">
        <v>0.0</v>
      </c>
      <c r="I541" s="26" t="s">
        <v>5319</v>
      </c>
      <c r="J541" s="53" t="s">
        <v>5323</v>
      </c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53" t="s">
        <v>588</v>
      </c>
      <c r="C542" s="53" t="s">
        <v>5323</v>
      </c>
      <c r="D542" s="53" t="s">
        <v>701</v>
      </c>
      <c r="E542" s="53" t="s">
        <v>5342</v>
      </c>
      <c r="F542" s="53" t="s">
        <v>701</v>
      </c>
      <c r="G542" s="53" t="s">
        <v>5327</v>
      </c>
      <c r="H542" s="54">
        <v>3.0412945251E8</v>
      </c>
      <c r="I542" s="26" t="s">
        <v>5319</v>
      </c>
      <c r="J542" s="53" t="s">
        <v>5323</v>
      </c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53" t="s">
        <v>588</v>
      </c>
      <c r="C543" s="53" t="s">
        <v>5323</v>
      </c>
      <c r="D543" s="53" t="s">
        <v>732</v>
      </c>
      <c r="E543" s="53" t="s">
        <v>5343</v>
      </c>
      <c r="F543" s="53" t="s">
        <v>732</v>
      </c>
      <c r="G543" s="53" t="s">
        <v>5325</v>
      </c>
      <c r="H543" s="54">
        <v>3.476301729E7</v>
      </c>
      <c r="I543" s="26" t="s">
        <v>5319</v>
      </c>
      <c r="J543" s="53" t="s">
        <v>5323</v>
      </c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53" t="s">
        <v>588</v>
      </c>
      <c r="C544" s="53" t="s">
        <v>5323</v>
      </c>
      <c r="D544" s="53" t="s">
        <v>886</v>
      </c>
      <c r="E544" s="53" t="s">
        <v>5344</v>
      </c>
      <c r="F544" s="53" t="s">
        <v>886</v>
      </c>
      <c r="G544" s="53" t="s">
        <v>5325</v>
      </c>
      <c r="H544" s="54">
        <v>9.714563904E7</v>
      </c>
      <c r="I544" s="26" t="s">
        <v>5319</v>
      </c>
      <c r="J544" s="53" t="s">
        <v>5323</v>
      </c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53" t="s">
        <v>588</v>
      </c>
      <c r="C545" s="53" t="s">
        <v>5323</v>
      </c>
      <c r="D545" s="53" t="s">
        <v>900</v>
      </c>
      <c r="E545" s="53" t="s">
        <v>5345</v>
      </c>
      <c r="F545" s="53" t="s">
        <v>1038</v>
      </c>
      <c r="G545" s="53" t="s">
        <v>5325</v>
      </c>
      <c r="H545" s="54">
        <v>0.0</v>
      </c>
      <c r="I545" s="26" t="s">
        <v>5319</v>
      </c>
      <c r="J545" s="53" t="s">
        <v>5323</v>
      </c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53" t="s">
        <v>588</v>
      </c>
      <c r="C546" s="53" t="s">
        <v>5323</v>
      </c>
      <c r="D546" s="53" t="s">
        <v>717</v>
      </c>
      <c r="E546" s="53" t="s">
        <v>5346</v>
      </c>
      <c r="F546" s="53" t="s">
        <v>717</v>
      </c>
      <c r="G546" s="53" t="s">
        <v>5325</v>
      </c>
      <c r="H546" s="54">
        <v>2.440012338E7</v>
      </c>
      <c r="I546" s="26" t="s">
        <v>5319</v>
      </c>
      <c r="J546" s="53" t="s">
        <v>5323</v>
      </c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53" t="s">
        <v>588</v>
      </c>
      <c r="C547" s="53" t="s">
        <v>5323</v>
      </c>
      <c r="D547" s="53" t="s">
        <v>736</v>
      </c>
      <c r="E547" s="53" t="s">
        <v>5347</v>
      </c>
      <c r="F547" s="53" t="s">
        <v>736</v>
      </c>
      <c r="G547" s="53" t="s">
        <v>5325</v>
      </c>
      <c r="H547" s="54">
        <v>2.2189616772E8</v>
      </c>
      <c r="I547" s="26" t="s">
        <v>5319</v>
      </c>
      <c r="J547" s="53" t="s">
        <v>5323</v>
      </c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53" t="s">
        <v>588</v>
      </c>
      <c r="C548" s="53" t="s">
        <v>5348</v>
      </c>
      <c r="D548" s="53" t="s">
        <v>836</v>
      </c>
      <c r="E548" s="53" t="s">
        <v>5349</v>
      </c>
      <c r="F548" s="53" t="s">
        <v>836</v>
      </c>
      <c r="G548" s="53" t="s">
        <v>5350</v>
      </c>
      <c r="H548" s="54">
        <v>1.0099025088E8</v>
      </c>
      <c r="I548" s="26" t="s">
        <v>5319</v>
      </c>
      <c r="J548" s="53" t="s">
        <v>5348</v>
      </c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53" t="s">
        <v>588</v>
      </c>
      <c r="C549" s="53" t="s">
        <v>5348</v>
      </c>
      <c r="D549" s="53" t="s">
        <v>730</v>
      </c>
      <c r="E549" s="53" t="s">
        <v>5351</v>
      </c>
      <c r="F549" s="53" t="s">
        <v>730</v>
      </c>
      <c r="G549" s="53" t="s">
        <v>5350</v>
      </c>
      <c r="H549" s="54">
        <v>3.7482006994E8</v>
      </c>
      <c r="I549" s="26" t="s">
        <v>5319</v>
      </c>
      <c r="J549" s="53" t="s">
        <v>5348</v>
      </c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53" t="s">
        <v>588</v>
      </c>
      <c r="C550" s="53" t="s">
        <v>5348</v>
      </c>
      <c r="D550" s="53" t="s">
        <v>5352</v>
      </c>
      <c r="E550" s="53" t="s">
        <v>5353</v>
      </c>
      <c r="F550" s="53" t="s">
        <v>5352</v>
      </c>
      <c r="G550" s="53" t="s">
        <v>5350</v>
      </c>
      <c r="H550" s="54">
        <v>5.443044912E7</v>
      </c>
      <c r="I550" s="26" t="s">
        <v>5319</v>
      </c>
      <c r="J550" s="53" t="s">
        <v>5348</v>
      </c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53" t="s">
        <v>588</v>
      </c>
      <c r="C551" s="53" t="s">
        <v>5348</v>
      </c>
      <c r="D551" s="53" t="s">
        <v>917</v>
      </c>
      <c r="E551" s="53" t="s">
        <v>5354</v>
      </c>
      <c r="F551" s="53" t="s">
        <v>917</v>
      </c>
      <c r="G551" s="53" t="s">
        <v>5355</v>
      </c>
      <c r="H551" s="54">
        <v>8.6577490132E8</v>
      </c>
      <c r="I551" s="26" t="s">
        <v>5319</v>
      </c>
      <c r="J551" s="53" t="s">
        <v>5348</v>
      </c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idden="1">
      <c r="A552" s="26"/>
      <c r="B552" s="53" t="s">
        <v>588</v>
      </c>
      <c r="C552" s="53" t="s">
        <v>5356</v>
      </c>
      <c r="D552" s="53" t="s">
        <v>876</v>
      </c>
      <c r="E552" s="53" t="s">
        <v>5357</v>
      </c>
      <c r="F552" s="53" t="s">
        <v>876</v>
      </c>
      <c r="G552" s="53" t="s">
        <v>5358</v>
      </c>
      <c r="H552" s="54">
        <v>0.0</v>
      </c>
      <c r="I552" s="26" t="s">
        <v>1851</v>
      </c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53" t="s">
        <v>588</v>
      </c>
      <c r="C553" s="53" t="s">
        <v>5359</v>
      </c>
      <c r="D553" s="53" t="s">
        <v>759</v>
      </c>
      <c r="E553" s="53" t="s">
        <v>5360</v>
      </c>
      <c r="F553" s="53" t="s">
        <v>759</v>
      </c>
      <c r="G553" s="53" t="s">
        <v>5361</v>
      </c>
      <c r="H553" s="54">
        <v>1.6086481576E8</v>
      </c>
      <c r="I553" s="26" t="s">
        <v>5319</v>
      </c>
      <c r="J553" s="53" t="s">
        <v>5359</v>
      </c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53" t="s">
        <v>588</v>
      </c>
      <c r="C554" s="53" t="s">
        <v>5359</v>
      </c>
      <c r="D554" s="53" t="s">
        <v>763</v>
      </c>
      <c r="E554" s="53" t="s">
        <v>5362</v>
      </c>
      <c r="F554" s="53" t="s">
        <v>763</v>
      </c>
      <c r="G554" s="53" t="s">
        <v>5363</v>
      </c>
      <c r="H554" s="54">
        <v>1.8498987128E8</v>
      </c>
      <c r="I554" s="26" t="s">
        <v>5319</v>
      </c>
      <c r="J554" s="53" t="s">
        <v>5359</v>
      </c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53" t="s">
        <v>588</v>
      </c>
      <c r="C555" s="53" t="s">
        <v>5359</v>
      </c>
      <c r="D555" s="53" t="s">
        <v>720</v>
      </c>
      <c r="E555" s="53" t="s">
        <v>5364</v>
      </c>
      <c r="F555" s="53" t="s">
        <v>720</v>
      </c>
      <c r="G555" s="53" t="s">
        <v>5361</v>
      </c>
      <c r="H555" s="54">
        <v>4.322887668E7</v>
      </c>
      <c r="I555" s="26" t="s">
        <v>5319</v>
      </c>
      <c r="J555" s="53" t="s">
        <v>5359</v>
      </c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53" t="s">
        <v>588</v>
      </c>
      <c r="C556" s="53" t="s">
        <v>5359</v>
      </c>
      <c r="D556" s="53" t="s">
        <v>708</v>
      </c>
      <c r="E556" s="53" t="s">
        <v>5365</v>
      </c>
      <c r="F556" s="53" t="s">
        <v>708</v>
      </c>
      <c r="G556" s="53" t="s">
        <v>5361</v>
      </c>
      <c r="H556" s="54">
        <v>4.501347482E8</v>
      </c>
      <c r="I556" s="26" t="s">
        <v>5319</v>
      </c>
      <c r="J556" s="53" t="s">
        <v>5359</v>
      </c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53" t="s">
        <v>588</v>
      </c>
      <c r="C557" s="53" t="s">
        <v>5359</v>
      </c>
      <c r="D557" s="53" t="s">
        <v>814</v>
      </c>
      <c r="E557" s="53" t="s">
        <v>5366</v>
      </c>
      <c r="F557" s="53" t="s">
        <v>814</v>
      </c>
      <c r="G557" s="53" t="s">
        <v>5361</v>
      </c>
      <c r="H557" s="54">
        <v>1.5164449764E8</v>
      </c>
      <c r="I557" s="26" t="s">
        <v>5319</v>
      </c>
      <c r="J557" s="53" t="s">
        <v>5359</v>
      </c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53" t="s">
        <v>588</v>
      </c>
      <c r="C558" s="53" t="s">
        <v>5359</v>
      </c>
      <c r="D558" s="53" t="s">
        <v>816</v>
      </c>
      <c r="E558" s="53" t="s">
        <v>5367</v>
      </c>
      <c r="F558" s="53" t="s">
        <v>816</v>
      </c>
      <c r="G558" s="53" t="s">
        <v>5361</v>
      </c>
      <c r="H558" s="54">
        <v>6.171551874E7</v>
      </c>
      <c r="I558" s="26" t="s">
        <v>5319</v>
      </c>
      <c r="J558" s="53" t="s">
        <v>5359</v>
      </c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53" t="s">
        <v>588</v>
      </c>
      <c r="C559" s="53" t="s">
        <v>5359</v>
      </c>
      <c r="D559" s="53" t="s">
        <v>836</v>
      </c>
      <c r="E559" s="53" t="s">
        <v>5368</v>
      </c>
      <c r="F559" s="53" t="s">
        <v>836</v>
      </c>
      <c r="G559" s="53" t="s">
        <v>5369</v>
      </c>
      <c r="H559" s="54">
        <v>0.0</v>
      </c>
      <c r="I559" s="26" t="s">
        <v>5319</v>
      </c>
      <c r="J559" s="53" t="s">
        <v>5359</v>
      </c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53" t="s">
        <v>588</v>
      </c>
      <c r="C560" s="53" t="s">
        <v>5359</v>
      </c>
      <c r="D560" s="53" t="s">
        <v>850</v>
      </c>
      <c r="E560" s="53" t="s">
        <v>5370</v>
      </c>
      <c r="F560" s="53" t="s">
        <v>850</v>
      </c>
      <c r="G560" s="53" t="s">
        <v>5361</v>
      </c>
      <c r="H560" s="54">
        <v>7.400340801E7</v>
      </c>
      <c r="I560" s="26" t="s">
        <v>5319</v>
      </c>
      <c r="J560" s="53" t="s">
        <v>5359</v>
      </c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53" t="s">
        <v>588</v>
      </c>
      <c r="C561" s="53" t="s">
        <v>5359</v>
      </c>
      <c r="D561" s="53" t="s">
        <v>717</v>
      </c>
      <c r="E561" s="53" t="s">
        <v>5371</v>
      </c>
      <c r="F561" s="53" t="s">
        <v>717</v>
      </c>
      <c r="G561" s="53" t="s">
        <v>5361</v>
      </c>
      <c r="H561" s="54">
        <v>1.3006316184E8</v>
      </c>
      <c r="I561" s="26" t="s">
        <v>5319</v>
      </c>
      <c r="J561" s="53" t="s">
        <v>5359</v>
      </c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53" t="s">
        <v>588</v>
      </c>
      <c r="C562" s="53" t="s">
        <v>5359</v>
      </c>
      <c r="D562" s="53" t="s">
        <v>913</v>
      </c>
      <c r="E562" s="53" t="s">
        <v>5372</v>
      </c>
      <c r="F562" s="53" t="s">
        <v>913</v>
      </c>
      <c r="G562" s="53" t="s">
        <v>5361</v>
      </c>
      <c r="H562" s="54">
        <v>2.024499554E8</v>
      </c>
      <c r="I562" s="26" t="s">
        <v>5319</v>
      </c>
      <c r="J562" s="53" t="s">
        <v>5359</v>
      </c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53" t="s">
        <v>597</v>
      </c>
      <c r="C563" s="53" t="s">
        <v>5373</v>
      </c>
      <c r="D563" s="53" t="s">
        <v>739</v>
      </c>
      <c r="E563" s="53" t="s">
        <v>5374</v>
      </c>
      <c r="F563" s="53" t="s">
        <v>739</v>
      </c>
      <c r="G563" s="53" t="s">
        <v>5375</v>
      </c>
      <c r="H563" s="54">
        <v>0.0</v>
      </c>
      <c r="I563" s="26" t="s">
        <v>5376</v>
      </c>
      <c r="J563" s="26" t="s">
        <v>5373</v>
      </c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53" t="s">
        <v>597</v>
      </c>
      <c r="C564" s="53" t="s">
        <v>5373</v>
      </c>
      <c r="D564" s="53" t="s">
        <v>2065</v>
      </c>
      <c r="E564" s="53" t="s">
        <v>5377</v>
      </c>
      <c r="F564" s="53" t="s">
        <v>2065</v>
      </c>
      <c r="G564" s="53" t="s">
        <v>5375</v>
      </c>
      <c r="H564" s="54">
        <v>2.994748119E8</v>
      </c>
      <c r="I564" s="26" t="s">
        <v>5376</v>
      </c>
      <c r="J564" s="26" t="s">
        <v>5373</v>
      </c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53" t="s">
        <v>597</v>
      </c>
      <c r="C565" s="53" t="s">
        <v>5373</v>
      </c>
      <c r="D565" s="53" t="s">
        <v>2065</v>
      </c>
      <c r="E565" s="53" t="s">
        <v>5378</v>
      </c>
      <c r="F565" s="53" t="s">
        <v>2065</v>
      </c>
      <c r="G565" s="53" t="s">
        <v>5379</v>
      </c>
      <c r="H565" s="54">
        <v>2.96863711749E9</v>
      </c>
      <c r="I565" s="26" t="s">
        <v>5376</v>
      </c>
      <c r="J565" s="26" t="s">
        <v>5373</v>
      </c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53" t="s">
        <v>597</v>
      </c>
      <c r="C566" s="53" t="s">
        <v>5373</v>
      </c>
      <c r="D566" s="53" t="s">
        <v>742</v>
      </c>
      <c r="E566" s="53" t="s">
        <v>5380</v>
      </c>
      <c r="F566" s="53" t="s">
        <v>742</v>
      </c>
      <c r="G566" s="53" t="s">
        <v>5379</v>
      </c>
      <c r="H566" s="54">
        <v>8.734594428E7</v>
      </c>
      <c r="I566" s="26" t="s">
        <v>5376</v>
      </c>
      <c r="J566" s="26" t="s">
        <v>5373</v>
      </c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53" t="s">
        <v>597</v>
      </c>
      <c r="C567" s="53" t="s">
        <v>5373</v>
      </c>
      <c r="D567" s="53" t="s">
        <v>749</v>
      </c>
      <c r="E567" s="53" t="s">
        <v>5381</v>
      </c>
      <c r="F567" s="53" t="s">
        <v>749</v>
      </c>
      <c r="G567" s="53" t="s">
        <v>5379</v>
      </c>
      <c r="H567" s="54">
        <v>0.0</v>
      </c>
      <c r="I567" s="26" t="s">
        <v>5376</v>
      </c>
      <c r="J567" s="26" t="s">
        <v>5373</v>
      </c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53" t="s">
        <v>597</v>
      </c>
      <c r="C568" s="53" t="s">
        <v>5373</v>
      </c>
      <c r="D568" s="53" t="s">
        <v>755</v>
      </c>
      <c r="E568" s="53" t="s">
        <v>5382</v>
      </c>
      <c r="F568" s="53" t="s">
        <v>755</v>
      </c>
      <c r="G568" s="53" t="s">
        <v>5379</v>
      </c>
      <c r="H568" s="54">
        <v>0.0</v>
      </c>
      <c r="I568" s="26" t="s">
        <v>5376</v>
      </c>
      <c r="J568" s="26" t="s">
        <v>5373</v>
      </c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53" t="s">
        <v>597</v>
      </c>
      <c r="C569" s="53" t="s">
        <v>5373</v>
      </c>
      <c r="D569" s="53" t="s">
        <v>761</v>
      </c>
      <c r="E569" s="53" t="s">
        <v>5383</v>
      </c>
      <c r="F569" s="53" t="s">
        <v>761</v>
      </c>
      <c r="G569" s="53" t="s">
        <v>5375</v>
      </c>
      <c r="H569" s="54">
        <v>0.0</v>
      </c>
      <c r="I569" s="26" t="s">
        <v>5376</v>
      </c>
      <c r="J569" s="26" t="s">
        <v>5373</v>
      </c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53" t="s">
        <v>597</v>
      </c>
      <c r="C570" s="53" t="s">
        <v>5373</v>
      </c>
      <c r="D570" s="53" t="s">
        <v>761</v>
      </c>
      <c r="E570" s="53" t="s">
        <v>5384</v>
      </c>
      <c r="F570" s="53" t="s">
        <v>761</v>
      </c>
      <c r="G570" s="53" t="s">
        <v>5379</v>
      </c>
      <c r="H570" s="54">
        <v>4.8464978436E8</v>
      </c>
      <c r="I570" s="26" t="s">
        <v>5376</v>
      </c>
      <c r="J570" s="26" t="s">
        <v>5373</v>
      </c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53" t="s">
        <v>597</v>
      </c>
      <c r="C571" s="53" t="s">
        <v>5373</v>
      </c>
      <c r="D571" s="53" t="s">
        <v>779</v>
      </c>
      <c r="E571" s="53" t="s">
        <v>5385</v>
      </c>
      <c r="F571" s="53" t="s">
        <v>779</v>
      </c>
      <c r="G571" s="53" t="s">
        <v>5375</v>
      </c>
      <c r="H571" s="54">
        <v>0.0</v>
      </c>
      <c r="I571" s="26" t="s">
        <v>5376</v>
      </c>
      <c r="J571" s="26" t="s">
        <v>5373</v>
      </c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53" t="s">
        <v>597</v>
      </c>
      <c r="C572" s="53" t="s">
        <v>5373</v>
      </c>
      <c r="D572" s="53" t="s">
        <v>792</v>
      </c>
      <c r="E572" s="53" t="s">
        <v>5386</v>
      </c>
      <c r="F572" s="53" t="s">
        <v>792</v>
      </c>
      <c r="G572" s="53" t="s">
        <v>5379</v>
      </c>
      <c r="H572" s="54">
        <v>0.0</v>
      </c>
      <c r="I572" s="26" t="s">
        <v>5376</v>
      </c>
      <c r="J572" s="26" t="s">
        <v>5373</v>
      </c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53" t="s">
        <v>597</v>
      </c>
      <c r="C573" s="53" t="s">
        <v>5373</v>
      </c>
      <c r="D573" s="53" t="s">
        <v>800</v>
      </c>
      <c r="E573" s="53" t="s">
        <v>5387</v>
      </c>
      <c r="F573" s="53" t="s">
        <v>800</v>
      </c>
      <c r="G573" s="53" t="s">
        <v>5375</v>
      </c>
      <c r="H573" s="54">
        <v>0.0</v>
      </c>
      <c r="I573" s="26" t="s">
        <v>5376</v>
      </c>
      <c r="J573" s="26" t="s">
        <v>5373</v>
      </c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53" t="s">
        <v>597</v>
      </c>
      <c r="C574" s="53" t="s">
        <v>5373</v>
      </c>
      <c r="D574" s="53" t="s">
        <v>953</v>
      </c>
      <c r="E574" s="53" t="s">
        <v>5388</v>
      </c>
      <c r="F574" s="53" t="s">
        <v>953</v>
      </c>
      <c r="G574" s="53" t="s">
        <v>5379</v>
      </c>
      <c r="H574" s="54">
        <v>8.680906836E7</v>
      </c>
      <c r="I574" s="26" t="s">
        <v>5376</v>
      </c>
      <c r="J574" s="26" t="s">
        <v>5373</v>
      </c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53" t="s">
        <v>597</v>
      </c>
      <c r="C575" s="53" t="s">
        <v>5373</v>
      </c>
      <c r="D575" s="53" t="s">
        <v>804</v>
      </c>
      <c r="E575" s="53" t="s">
        <v>5389</v>
      </c>
      <c r="F575" s="53" t="s">
        <v>804</v>
      </c>
      <c r="G575" s="53" t="s">
        <v>5379</v>
      </c>
      <c r="H575" s="54">
        <v>2.591331876E7</v>
      </c>
      <c r="I575" s="26" t="s">
        <v>5376</v>
      </c>
      <c r="J575" s="26" t="s">
        <v>5373</v>
      </c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53" t="s">
        <v>597</v>
      </c>
      <c r="C576" s="53" t="s">
        <v>5373</v>
      </c>
      <c r="D576" s="53" t="s">
        <v>816</v>
      </c>
      <c r="E576" s="53" t="s">
        <v>5390</v>
      </c>
      <c r="F576" s="53" t="s">
        <v>816</v>
      </c>
      <c r="G576" s="53" t="s">
        <v>5375</v>
      </c>
      <c r="H576" s="54">
        <v>0.0</v>
      </c>
      <c r="I576" s="26" t="s">
        <v>5376</v>
      </c>
      <c r="J576" s="26" t="s">
        <v>5373</v>
      </c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53" t="s">
        <v>597</v>
      </c>
      <c r="C577" s="53" t="s">
        <v>5373</v>
      </c>
      <c r="D577" s="53" t="s">
        <v>816</v>
      </c>
      <c r="E577" s="53" t="s">
        <v>5391</v>
      </c>
      <c r="F577" s="53" t="s">
        <v>816</v>
      </c>
      <c r="G577" s="53" t="s">
        <v>5379</v>
      </c>
      <c r="H577" s="54">
        <v>4.93533432E7</v>
      </c>
      <c r="I577" s="26" t="s">
        <v>5376</v>
      </c>
      <c r="J577" s="26" t="s">
        <v>5373</v>
      </c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53" t="s">
        <v>597</v>
      </c>
      <c r="C578" s="53" t="s">
        <v>5373</v>
      </c>
      <c r="D578" s="53" t="s">
        <v>826</v>
      </c>
      <c r="E578" s="53" t="s">
        <v>5392</v>
      </c>
      <c r="F578" s="53" t="s">
        <v>826</v>
      </c>
      <c r="G578" s="53" t="s">
        <v>5379</v>
      </c>
      <c r="H578" s="54">
        <v>7.277852736E7</v>
      </c>
      <c r="I578" s="26" t="s">
        <v>5376</v>
      </c>
      <c r="J578" s="26" t="s">
        <v>5373</v>
      </c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53" t="s">
        <v>597</v>
      </c>
      <c r="C579" s="53" t="s">
        <v>5373</v>
      </c>
      <c r="D579" s="53" t="s">
        <v>830</v>
      </c>
      <c r="E579" s="53" t="s">
        <v>5393</v>
      </c>
      <c r="F579" s="53" t="s">
        <v>757</v>
      </c>
      <c r="G579" s="53" t="s">
        <v>5394</v>
      </c>
      <c r="H579" s="54">
        <v>6.79459275E7</v>
      </c>
      <c r="I579" s="26" t="s">
        <v>5376</v>
      </c>
      <c r="J579" s="26" t="s">
        <v>5373</v>
      </c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53" t="s">
        <v>597</v>
      </c>
      <c r="C580" s="53" t="s">
        <v>5373</v>
      </c>
      <c r="D580" s="53" t="s">
        <v>830</v>
      </c>
      <c r="E580" s="53" t="s">
        <v>5395</v>
      </c>
      <c r="F580" s="53" t="s">
        <v>830</v>
      </c>
      <c r="G580" s="53" t="s">
        <v>5375</v>
      </c>
      <c r="H580" s="54">
        <v>1893952.0</v>
      </c>
      <c r="I580" s="26" t="s">
        <v>5376</v>
      </c>
      <c r="J580" s="26" t="s">
        <v>5373</v>
      </c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53" t="s">
        <v>597</v>
      </c>
      <c r="C581" s="53" t="s">
        <v>5373</v>
      </c>
      <c r="D581" s="53" t="s">
        <v>830</v>
      </c>
      <c r="E581" s="53" t="s">
        <v>5396</v>
      </c>
      <c r="F581" s="53" t="s">
        <v>830</v>
      </c>
      <c r="G581" s="53" t="s">
        <v>5379</v>
      </c>
      <c r="H581" s="54">
        <v>3.3323128272E8</v>
      </c>
      <c r="I581" s="26" t="s">
        <v>5376</v>
      </c>
      <c r="J581" s="26" t="s">
        <v>5373</v>
      </c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53" t="s">
        <v>597</v>
      </c>
      <c r="C582" s="53" t="s">
        <v>5373</v>
      </c>
      <c r="D582" s="53" t="s">
        <v>834</v>
      </c>
      <c r="E582" s="53" t="s">
        <v>5397</v>
      </c>
      <c r="F582" s="53" t="s">
        <v>834</v>
      </c>
      <c r="G582" s="53" t="s">
        <v>5379</v>
      </c>
      <c r="H582" s="54">
        <v>5.3105838912E8</v>
      </c>
      <c r="I582" s="26" t="s">
        <v>5376</v>
      </c>
      <c r="J582" s="26" t="s">
        <v>5373</v>
      </c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53" t="s">
        <v>597</v>
      </c>
      <c r="C583" s="53" t="s">
        <v>5373</v>
      </c>
      <c r="D583" s="53" t="s">
        <v>850</v>
      </c>
      <c r="E583" s="53" t="s">
        <v>5398</v>
      </c>
      <c r="F583" s="53" t="s">
        <v>900</v>
      </c>
      <c r="G583" s="53" t="s">
        <v>5394</v>
      </c>
      <c r="H583" s="54">
        <v>7.609345524E7</v>
      </c>
      <c r="I583" s="26" t="s">
        <v>5376</v>
      </c>
      <c r="J583" s="26" t="s">
        <v>5373</v>
      </c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53" t="s">
        <v>597</v>
      </c>
      <c r="C584" s="53" t="s">
        <v>5373</v>
      </c>
      <c r="D584" s="53" t="s">
        <v>850</v>
      </c>
      <c r="E584" s="53" t="s">
        <v>5399</v>
      </c>
      <c r="F584" s="53" t="s">
        <v>850</v>
      </c>
      <c r="G584" s="53" t="s">
        <v>5375</v>
      </c>
      <c r="H584" s="54">
        <v>1.037770866E8</v>
      </c>
      <c r="I584" s="26" t="s">
        <v>5376</v>
      </c>
      <c r="J584" s="26" t="s">
        <v>5373</v>
      </c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53" t="s">
        <v>597</v>
      </c>
      <c r="C585" s="53" t="s">
        <v>5373</v>
      </c>
      <c r="D585" s="53" t="s">
        <v>850</v>
      </c>
      <c r="E585" s="53" t="s">
        <v>5400</v>
      </c>
      <c r="F585" s="53" t="s">
        <v>850</v>
      </c>
      <c r="G585" s="53" t="s">
        <v>5379</v>
      </c>
      <c r="H585" s="54">
        <v>4.2501589452E8</v>
      </c>
      <c r="I585" s="26" t="s">
        <v>5376</v>
      </c>
      <c r="J585" s="26" t="s">
        <v>5373</v>
      </c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53" t="s">
        <v>597</v>
      </c>
      <c r="C586" s="53" t="s">
        <v>5373</v>
      </c>
      <c r="D586" s="53" t="s">
        <v>728</v>
      </c>
      <c r="E586" s="53" t="s">
        <v>5401</v>
      </c>
      <c r="F586" s="53" t="s">
        <v>728</v>
      </c>
      <c r="G586" s="53" t="s">
        <v>5379</v>
      </c>
      <c r="H586" s="54">
        <v>0.0</v>
      </c>
      <c r="I586" s="26" t="s">
        <v>5376</v>
      </c>
      <c r="J586" s="26" t="s">
        <v>5373</v>
      </c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53" t="s">
        <v>597</v>
      </c>
      <c r="C587" s="53" t="s">
        <v>5373</v>
      </c>
      <c r="D587" s="53" t="s">
        <v>862</v>
      </c>
      <c r="E587" s="53" t="s">
        <v>5402</v>
      </c>
      <c r="F587" s="53" t="s">
        <v>862</v>
      </c>
      <c r="G587" s="53" t="s">
        <v>5379</v>
      </c>
      <c r="H587" s="54">
        <v>1.6869428604E8</v>
      </c>
      <c r="I587" s="26" t="s">
        <v>5376</v>
      </c>
      <c r="J587" s="26" t="s">
        <v>5373</v>
      </c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53" t="s">
        <v>597</v>
      </c>
      <c r="C588" s="53" t="s">
        <v>5373</v>
      </c>
      <c r="D588" s="53" t="s">
        <v>730</v>
      </c>
      <c r="E588" s="53" t="s">
        <v>5403</v>
      </c>
      <c r="F588" s="53" t="s">
        <v>730</v>
      </c>
      <c r="G588" s="53" t="s">
        <v>5375</v>
      </c>
      <c r="H588" s="54">
        <v>1.95846244308E9</v>
      </c>
      <c r="I588" s="26" t="s">
        <v>5376</v>
      </c>
      <c r="J588" s="26" t="s">
        <v>5373</v>
      </c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53" t="s">
        <v>597</v>
      </c>
      <c r="C589" s="53" t="s">
        <v>5373</v>
      </c>
      <c r="D589" s="53" t="s">
        <v>715</v>
      </c>
      <c r="E589" s="53" t="s">
        <v>5404</v>
      </c>
      <c r="F589" s="53" t="s">
        <v>715</v>
      </c>
      <c r="G589" s="53" t="s">
        <v>5375</v>
      </c>
      <c r="H589" s="54">
        <v>0.0</v>
      </c>
      <c r="I589" s="26" t="s">
        <v>5376</v>
      </c>
      <c r="J589" s="26" t="s">
        <v>5373</v>
      </c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53" t="s">
        <v>597</v>
      </c>
      <c r="C590" s="53" t="s">
        <v>5373</v>
      </c>
      <c r="D590" s="53" t="s">
        <v>866</v>
      </c>
      <c r="E590" s="53" t="s">
        <v>5405</v>
      </c>
      <c r="F590" s="53" t="s">
        <v>866</v>
      </c>
      <c r="G590" s="53" t="s">
        <v>5379</v>
      </c>
      <c r="H590" s="54">
        <v>6.815690541E8</v>
      </c>
      <c r="I590" s="26" t="s">
        <v>5376</v>
      </c>
      <c r="J590" s="26" t="s">
        <v>5373</v>
      </c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53" t="s">
        <v>597</v>
      </c>
      <c r="C591" s="53" t="s">
        <v>5373</v>
      </c>
      <c r="D591" s="53" t="s">
        <v>701</v>
      </c>
      <c r="E591" s="53" t="s">
        <v>5406</v>
      </c>
      <c r="F591" s="53" t="s">
        <v>701</v>
      </c>
      <c r="G591" s="53" t="s">
        <v>5379</v>
      </c>
      <c r="H591" s="54">
        <v>1.5087100896E8</v>
      </c>
      <c r="I591" s="26" t="s">
        <v>5376</v>
      </c>
      <c r="J591" s="26" t="s">
        <v>5373</v>
      </c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53" t="s">
        <v>597</v>
      </c>
      <c r="C592" s="53" t="s">
        <v>5373</v>
      </c>
      <c r="D592" s="53" t="s">
        <v>868</v>
      </c>
      <c r="E592" s="53" t="s">
        <v>5407</v>
      </c>
      <c r="F592" s="53" t="s">
        <v>868</v>
      </c>
      <c r="G592" s="53" t="s">
        <v>5379</v>
      </c>
      <c r="H592" s="54">
        <v>4314794.4</v>
      </c>
      <c r="I592" s="26" t="s">
        <v>5376</v>
      </c>
      <c r="J592" s="26" t="s">
        <v>5373</v>
      </c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53" t="s">
        <v>597</v>
      </c>
      <c r="C593" s="53" t="s">
        <v>5373</v>
      </c>
      <c r="D593" s="53" t="s">
        <v>870</v>
      </c>
      <c r="E593" s="53" t="s">
        <v>5408</v>
      </c>
      <c r="F593" s="53" t="s">
        <v>870</v>
      </c>
      <c r="G593" s="53" t="s">
        <v>5375</v>
      </c>
      <c r="H593" s="54">
        <v>0.0</v>
      </c>
      <c r="I593" s="26" t="s">
        <v>5376</v>
      </c>
      <c r="J593" s="26" t="s">
        <v>5373</v>
      </c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53" t="s">
        <v>597</v>
      </c>
      <c r="C594" s="53" t="s">
        <v>5373</v>
      </c>
      <c r="D594" s="53" t="s">
        <v>870</v>
      </c>
      <c r="E594" s="53" t="s">
        <v>5409</v>
      </c>
      <c r="F594" s="53" t="s">
        <v>870</v>
      </c>
      <c r="G594" s="53" t="s">
        <v>5379</v>
      </c>
      <c r="H594" s="54">
        <v>0.0</v>
      </c>
      <c r="I594" s="26" t="s">
        <v>5376</v>
      </c>
      <c r="J594" s="26" t="s">
        <v>5373</v>
      </c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53" t="s">
        <v>597</v>
      </c>
      <c r="C595" s="53" t="s">
        <v>5373</v>
      </c>
      <c r="D595" s="53" t="s">
        <v>1265</v>
      </c>
      <c r="E595" s="53" t="s">
        <v>5410</v>
      </c>
      <c r="F595" s="53" t="s">
        <v>1265</v>
      </c>
      <c r="G595" s="53" t="s">
        <v>5379</v>
      </c>
      <c r="H595" s="54">
        <v>0.0</v>
      </c>
      <c r="I595" s="26" t="s">
        <v>5376</v>
      </c>
      <c r="J595" s="26" t="s">
        <v>5373</v>
      </c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53" t="s">
        <v>597</v>
      </c>
      <c r="C596" s="53" t="s">
        <v>5373</v>
      </c>
      <c r="D596" s="53" t="s">
        <v>734</v>
      </c>
      <c r="E596" s="53" t="s">
        <v>5411</v>
      </c>
      <c r="F596" s="53" t="s">
        <v>734</v>
      </c>
      <c r="G596" s="53" t="s">
        <v>5379</v>
      </c>
      <c r="H596" s="54">
        <v>1.359347724E7</v>
      </c>
      <c r="I596" s="26" t="s">
        <v>5376</v>
      </c>
      <c r="J596" s="26" t="s">
        <v>5373</v>
      </c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53" t="s">
        <v>597</v>
      </c>
      <c r="C597" s="53" t="s">
        <v>5373</v>
      </c>
      <c r="D597" s="53" t="s">
        <v>876</v>
      </c>
      <c r="E597" s="53" t="s">
        <v>5412</v>
      </c>
      <c r="F597" s="53" t="s">
        <v>876</v>
      </c>
      <c r="G597" s="53" t="s">
        <v>5375</v>
      </c>
      <c r="H597" s="54">
        <v>0.0</v>
      </c>
      <c r="I597" s="26" t="s">
        <v>5376</v>
      </c>
      <c r="J597" s="26" t="s">
        <v>5373</v>
      </c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53" t="s">
        <v>597</v>
      </c>
      <c r="C598" s="53" t="s">
        <v>5373</v>
      </c>
      <c r="D598" s="53" t="s">
        <v>876</v>
      </c>
      <c r="E598" s="53" t="s">
        <v>5413</v>
      </c>
      <c r="F598" s="53" t="s">
        <v>739</v>
      </c>
      <c r="G598" s="53" t="s">
        <v>5379</v>
      </c>
      <c r="H598" s="54">
        <v>1.07053487078E9</v>
      </c>
      <c r="I598" s="26" t="s">
        <v>5376</v>
      </c>
      <c r="J598" s="26" t="s">
        <v>5373</v>
      </c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53" t="s">
        <v>597</v>
      </c>
      <c r="C599" s="53" t="s">
        <v>5373</v>
      </c>
      <c r="D599" s="53" t="s">
        <v>880</v>
      </c>
      <c r="E599" s="53" t="s">
        <v>5414</v>
      </c>
      <c r="F599" s="53" t="s">
        <v>880</v>
      </c>
      <c r="G599" s="53" t="s">
        <v>5375</v>
      </c>
      <c r="H599" s="54">
        <v>4.041566793E8</v>
      </c>
      <c r="I599" s="26" t="s">
        <v>5376</v>
      </c>
      <c r="J599" s="26" t="s">
        <v>5373</v>
      </c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53" t="s">
        <v>597</v>
      </c>
      <c r="C600" s="53" t="s">
        <v>5373</v>
      </c>
      <c r="D600" s="53" t="s">
        <v>884</v>
      </c>
      <c r="E600" s="53" t="s">
        <v>5415</v>
      </c>
      <c r="F600" s="53" t="s">
        <v>884</v>
      </c>
      <c r="G600" s="53" t="s">
        <v>5394</v>
      </c>
      <c r="H600" s="54">
        <v>1623520.8</v>
      </c>
      <c r="I600" s="26" t="s">
        <v>5376</v>
      </c>
      <c r="J600" s="26" t="s">
        <v>5373</v>
      </c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53" t="s">
        <v>597</v>
      </c>
      <c r="C601" s="53" t="s">
        <v>5373</v>
      </c>
      <c r="D601" s="53" t="s">
        <v>898</v>
      </c>
      <c r="E601" s="53" t="s">
        <v>5416</v>
      </c>
      <c r="F601" s="53" t="s">
        <v>898</v>
      </c>
      <c r="G601" s="53" t="s">
        <v>5379</v>
      </c>
      <c r="H601" s="54">
        <v>3.122093016E7</v>
      </c>
      <c r="I601" s="26" t="s">
        <v>5376</v>
      </c>
      <c r="J601" s="26" t="s">
        <v>5373</v>
      </c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53" t="s">
        <v>597</v>
      </c>
      <c r="C602" s="53" t="s">
        <v>5373</v>
      </c>
      <c r="D602" s="53" t="s">
        <v>906</v>
      </c>
      <c r="E602" s="53" t="s">
        <v>5417</v>
      </c>
      <c r="F602" s="53" t="s">
        <v>906</v>
      </c>
      <c r="G602" s="53" t="s">
        <v>5379</v>
      </c>
      <c r="H602" s="54">
        <v>2.953139868E7</v>
      </c>
      <c r="I602" s="26" t="s">
        <v>5376</v>
      </c>
      <c r="J602" s="26" t="s">
        <v>5373</v>
      </c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53" t="s">
        <v>597</v>
      </c>
      <c r="C603" s="53" t="s">
        <v>5373</v>
      </c>
      <c r="D603" s="53" t="s">
        <v>717</v>
      </c>
      <c r="E603" s="53" t="s">
        <v>5418</v>
      </c>
      <c r="F603" s="53" t="s">
        <v>717</v>
      </c>
      <c r="G603" s="53" t="s">
        <v>5379</v>
      </c>
      <c r="H603" s="54">
        <v>1.5979308408E8</v>
      </c>
      <c r="I603" s="26" t="s">
        <v>5376</v>
      </c>
      <c r="J603" s="26" t="s">
        <v>5373</v>
      </c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53" t="s">
        <v>597</v>
      </c>
      <c r="C604" s="53" t="s">
        <v>5373</v>
      </c>
      <c r="D604" s="53" t="s">
        <v>717</v>
      </c>
      <c r="E604" s="53" t="s">
        <v>5419</v>
      </c>
      <c r="F604" s="53" t="s">
        <v>717</v>
      </c>
      <c r="G604" s="53" t="s">
        <v>5375</v>
      </c>
      <c r="H604" s="54">
        <v>0.0</v>
      </c>
      <c r="I604" s="26" t="s">
        <v>5376</v>
      </c>
      <c r="J604" s="26" t="s">
        <v>5373</v>
      </c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53" t="s">
        <v>597</v>
      </c>
      <c r="C605" s="53" t="s">
        <v>5373</v>
      </c>
      <c r="D605" s="53" t="s">
        <v>5352</v>
      </c>
      <c r="E605" s="53" t="s">
        <v>5420</v>
      </c>
      <c r="F605" s="53" t="s">
        <v>5352</v>
      </c>
      <c r="G605" s="53" t="s">
        <v>5375</v>
      </c>
      <c r="H605" s="54">
        <v>1746300.6</v>
      </c>
      <c r="I605" s="26" t="s">
        <v>5376</v>
      </c>
      <c r="J605" s="26" t="s">
        <v>5373</v>
      </c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53" t="s">
        <v>597</v>
      </c>
      <c r="C606" s="53" t="s">
        <v>5373</v>
      </c>
      <c r="D606" s="53" t="s">
        <v>913</v>
      </c>
      <c r="E606" s="53" t="s">
        <v>5421</v>
      </c>
      <c r="F606" s="53" t="s">
        <v>913</v>
      </c>
      <c r="G606" s="53" t="s">
        <v>5379</v>
      </c>
      <c r="H606" s="54">
        <v>2883016.08</v>
      </c>
      <c r="I606" s="26" t="s">
        <v>5376</v>
      </c>
      <c r="J606" s="26" t="s">
        <v>5373</v>
      </c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53" t="s">
        <v>597</v>
      </c>
      <c r="C607" s="53" t="s">
        <v>5373</v>
      </c>
      <c r="D607" s="53" t="s">
        <v>915</v>
      </c>
      <c r="E607" s="53" t="s">
        <v>5422</v>
      </c>
      <c r="F607" s="53" t="s">
        <v>915</v>
      </c>
      <c r="G607" s="53" t="s">
        <v>5379</v>
      </c>
      <c r="H607" s="54">
        <v>1.03671030276E9</v>
      </c>
      <c r="I607" s="26" t="s">
        <v>5376</v>
      </c>
      <c r="J607" s="26" t="s">
        <v>5373</v>
      </c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53" t="s">
        <v>597</v>
      </c>
      <c r="C608" s="53" t="s">
        <v>5373</v>
      </c>
      <c r="D608" s="53" t="s">
        <v>917</v>
      </c>
      <c r="E608" s="53" t="s">
        <v>5423</v>
      </c>
      <c r="F608" s="53" t="s">
        <v>917</v>
      </c>
      <c r="G608" s="53" t="s">
        <v>5379</v>
      </c>
      <c r="H608" s="54">
        <v>1.33603874118E9</v>
      </c>
      <c r="I608" s="26" t="s">
        <v>5376</v>
      </c>
      <c r="J608" s="26" t="s">
        <v>5373</v>
      </c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53" t="s">
        <v>597</v>
      </c>
      <c r="C609" s="53" t="s">
        <v>5373</v>
      </c>
      <c r="D609" s="53" t="s">
        <v>736</v>
      </c>
      <c r="E609" s="53" t="s">
        <v>5424</v>
      </c>
      <c r="F609" s="53" t="s">
        <v>736</v>
      </c>
      <c r="G609" s="53" t="s">
        <v>5375</v>
      </c>
      <c r="H609" s="54">
        <v>0.0</v>
      </c>
      <c r="I609" s="26" t="s">
        <v>5376</v>
      </c>
      <c r="J609" s="26" t="s">
        <v>5373</v>
      </c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53" t="s">
        <v>597</v>
      </c>
      <c r="C610" s="53" t="s">
        <v>5373</v>
      </c>
      <c r="D610" s="53" t="s">
        <v>736</v>
      </c>
      <c r="E610" s="53" t="s">
        <v>5425</v>
      </c>
      <c r="F610" s="53" t="s">
        <v>736</v>
      </c>
      <c r="G610" s="53" t="s">
        <v>5379</v>
      </c>
      <c r="H610" s="54">
        <v>1.5455968668E8</v>
      </c>
      <c r="I610" s="26" t="s">
        <v>5376</v>
      </c>
      <c r="J610" s="26" t="s">
        <v>5373</v>
      </c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53" t="s">
        <v>597</v>
      </c>
      <c r="C611" s="53" t="s">
        <v>5373</v>
      </c>
      <c r="D611" s="53" t="s">
        <v>939</v>
      </c>
      <c r="E611" s="53" t="s">
        <v>5426</v>
      </c>
      <c r="F611" s="53" t="s">
        <v>939</v>
      </c>
      <c r="G611" s="53" t="s">
        <v>5375</v>
      </c>
      <c r="H611" s="54">
        <v>0.0</v>
      </c>
      <c r="I611" s="26" t="s">
        <v>5376</v>
      </c>
      <c r="J611" s="26" t="s">
        <v>5373</v>
      </c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53" t="s">
        <v>597</v>
      </c>
      <c r="C612" s="53" t="s">
        <v>5373</v>
      </c>
      <c r="D612" s="53" t="s">
        <v>939</v>
      </c>
      <c r="E612" s="53" t="s">
        <v>5427</v>
      </c>
      <c r="F612" s="53" t="s">
        <v>939</v>
      </c>
      <c r="G612" s="53" t="s">
        <v>5379</v>
      </c>
      <c r="H612" s="54">
        <v>5.140375632E7</v>
      </c>
      <c r="I612" s="26" t="s">
        <v>5376</v>
      </c>
      <c r="J612" s="26" t="s">
        <v>5373</v>
      </c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67"/>
      <c r="B613" s="67"/>
      <c r="C613" s="67"/>
      <c r="D613" s="67"/>
      <c r="E613" s="67"/>
      <c r="F613" s="67"/>
      <c r="G613" s="67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67"/>
      <c r="B614" s="67"/>
      <c r="C614" s="67"/>
      <c r="D614" s="67"/>
      <c r="E614" s="67"/>
      <c r="F614" s="67"/>
      <c r="G614" s="67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67"/>
      <c r="B615" s="68" t="s">
        <v>5428</v>
      </c>
      <c r="C615" s="67"/>
      <c r="D615" s="67"/>
      <c r="E615" s="67"/>
      <c r="F615" s="67"/>
      <c r="G615" s="67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67"/>
      <c r="B616" s="68" t="s">
        <v>5429</v>
      </c>
      <c r="C616" s="67"/>
      <c r="D616" s="67"/>
      <c r="E616" s="67"/>
      <c r="F616" s="67"/>
      <c r="G616" s="67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67"/>
      <c r="B617" s="68" t="s">
        <v>5430</v>
      </c>
      <c r="C617" s="67"/>
      <c r="D617" s="67"/>
      <c r="E617" s="67"/>
      <c r="F617" s="67"/>
      <c r="G617" s="67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67"/>
      <c r="B618" s="67"/>
      <c r="C618" s="67"/>
      <c r="D618" s="67"/>
      <c r="E618" s="67"/>
      <c r="F618" s="67"/>
      <c r="G618" s="67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67"/>
      <c r="B619" s="67"/>
      <c r="C619" s="67"/>
      <c r="D619" s="67"/>
      <c r="E619" s="67"/>
      <c r="F619" s="67"/>
      <c r="G619" s="67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67"/>
      <c r="B620" s="67"/>
      <c r="C620" s="67"/>
      <c r="D620" s="67"/>
      <c r="E620" s="67"/>
      <c r="F620" s="67"/>
      <c r="G620" s="67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67"/>
      <c r="B621" s="67"/>
      <c r="C621" s="67"/>
      <c r="D621" s="67"/>
      <c r="E621" s="67"/>
      <c r="F621" s="67"/>
      <c r="G621" s="67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67"/>
      <c r="B622" s="67"/>
      <c r="C622" s="67"/>
      <c r="D622" s="67"/>
      <c r="E622" s="67"/>
      <c r="F622" s="67"/>
      <c r="G622" s="67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67"/>
      <c r="B623" s="67"/>
      <c r="C623" s="67"/>
      <c r="D623" s="67"/>
      <c r="E623" s="67"/>
      <c r="F623" s="67"/>
      <c r="G623" s="67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67"/>
      <c r="B624" s="67"/>
      <c r="C624" s="67"/>
      <c r="D624" s="67"/>
      <c r="E624" s="67"/>
      <c r="F624" s="67"/>
      <c r="G624" s="67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67"/>
      <c r="B625" s="67"/>
      <c r="C625" s="67"/>
      <c r="D625" s="67"/>
      <c r="E625" s="67"/>
      <c r="F625" s="67"/>
      <c r="G625" s="67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67"/>
      <c r="B626" s="67"/>
      <c r="C626" s="67"/>
      <c r="D626" s="67"/>
      <c r="E626" s="67"/>
      <c r="F626" s="67"/>
      <c r="G626" s="67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67"/>
      <c r="B627" s="67"/>
      <c r="C627" s="67"/>
      <c r="D627" s="67"/>
      <c r="E627" s="67"/>
      <c r="F627" s="67"/>
      <c r="G627" s="67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67"/>
      <c r="B628" s="53"/>
      <c r="C628" s="67"/>
      <c r="D628" s="67"/>
      <c r="E628" s="67"/>
      <c r="F628" s="67"/>
      <c r="G628" s="67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67"/>
      <c r="B629" s="53"/>
      <c r="C629" s="67"/>
      <c r="D629" s="67"/>
      <c r="E629" s="67"/>
      <c r="F629" s="67"/>
      <c r="G629" s="67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67"/>
      <c r="B630" s="53"/>
      <c r="C630" s="67"/>
      <c r="D630" s="67"/>
      <c r="E630" s="67"/>
      <c r="F630" s="67"/>
      <c r="G630" s="67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67"/>
      <c r="C631" s="67"/>
      <c r="D631" s="67"/>
      <c r="E631" s="67"/>
      <c r="F631" s="67"/>
      <c r="G631" s="67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67"/>
      <c r="C632" s="67"/>
      <c r="D632" s="67"/>
      <c r="E632" s="67"/>
      <c r="F632" s="67"/>
      <c r="G632" s="67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67"/>
      <c r="C633" s="67"/>
      <c r="D633" s="67"/>
      <c r="E633" s="67"/>
      <c r="F633" s="67"/>
      <c r="G633" s="67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67"/>
      <c r="C634" s="67"/>
      <c r="D634" s="67"/>
      <c r="E634" s="67"/>
      <c r="F634" s="67"/>
      <c r="G634" s="67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67"/>
      <c r="C635" s="67"/>
      <c r="D635" s="67"/>
      <c r="E635" s="67"/>
      <c r="F635" s="67"/>
      <c r="G635" s="67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67"/>
      <c r="C636" s="67"/>
      <c r="D636" s="67"/>
      <c r="E636" s="67"/>
      <c r="F636" s="67"/>
      <c r="G636" s="67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67"/>
      <c r="C637" s="67"/>
      <c r="D637" s="67"/>
      <c r="E637" s="67"/>
      <c r="F637" s="67"/>
      <c r="G637" s="67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67"/>
      <c r="C638" s="67"/>
      <c r="D638" s="67"/>
      <c r="E638" s="67"/>
      <c r="F638" s="67"/>
      <c r="G638" s="67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67"/>
      <c r="C639" s="67"/>
      <c r="D639" s="67"/>
      <c r="E639" s="67"/>
      <c r="F639" s="67"/>
      <c r="G639" s="67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67"/>
      <c r="C640" s="67"/>
      <c r="D640" s="67"/>
      <c r="E640" s="67"/>
      <c r="F640" s="67"/>
      <c r="G640" s="67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67"/>
      <c r="C641" s="67"/>
      <c r="D641" s="67"/>
      <c r="E641" s="67"/>
      <c r="F641" s="67"/>
      <c r="G641" s="67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67"/>
      <c r="C642" s="67"/>
      <c r="D642" s="67"/>
      <c r="E642" s="67"/>
      <c r="F642" s="67"/>
      <c r="G642" s="67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67"/>
      <c r="C643" s="67"/>
      <c r="D643" s="67"/>
      <c r="E643" s="67"/>
      <c r="F643" s="67"/>
      <c r="G643" s="67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67"/>
      <c r="C644" s="67"/>
      <c r="D644" s="67"/>
      <c r="E644" s="67"/>
      <c r="F644" s="67"/>
      <c r="G644" s="67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67"/>
      <c r="C645" s="67"/>
      <c r="D645" s="67"/>
      <c r="E645" s="67"/>
      <c r="F645" s="67"/>
      <c r="G645" s="67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67"/>
      <c r="C646" s="67"/>
      <c r="D646" s="67"/>
      <c r="E646" s="67"/>
      <c r="F646" s="67"/>
      <c r="G646" s="67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67"/>
      <c r="C647" s="67"/>
      <c r="D647" s="67"/>
      <c r="E647" s="67"/>
      <c r="F647" s="67"/>
      <c r="G647" s="67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67"/>
      <c r="C648" s="67"/>
      <c r="D648" s="67"/>
      <c r="E648" s="67"/>
      <c r="F648" s="67"/>
      <c r="G648" s="67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67"/>
      <c r="C649" s="67"/>
      <c r="D649" s="67"/>
      <c r="E649" s="67"/>
      <c r="F649" s="67"/>
      <c r="G649" s="67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67"/>
      <c r="C650" s="67"/>
      <c r="D650" s="67"/>
      <c r="E650" s="67"/>
      <c r="F650" s="67"/>
      <c r="G650" s="67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67"/>
      <c r="C651" s="67"/>
      <c r="D651" s="67"/>
      <c r="E651" s="67"/>
      <c r="F651" s="67"/>
      <c r="G651" s="67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67"/>
      <c r="C652" s="67"/>
      <c r="D652" s="67"/>
      <c r="E652" s="67"/>
      <c r="F652" s="67"/>
      <c r="G652" s="67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67"/>
      <c r="C653" s="67"/>
      <c r="D653" s="67"/>
      <c r="E653" s="67"/>
      <c r="F653" s="67"/>
      <c r="G653" s="67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67"/>
      <c r="C654" s="67"/>
      <c r="D654" s="67"/>
      <c r="E654" s="67"/>
      <c r="F654" s="67"/>
      <c r="G654" s="67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67"/>
      <c r="C655" s="67"/>
      <c r="D655" s="67"/>
      <c r="E655" s="67"/>
      <c r="F655" s="67"/>
      <c r="G655" s="67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67"/>
      <c r="C656" s="67"/>
      <c r="D656" s="67"/>
      <c r="E656" s="67"/>
      <c r="F656" s="67"/>
      <c r="G656" s="67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67"/>
      <c r="C657" s="67"/>
      <c r="D657" s="67"/>
      <c r="E657" s="67"/>
      <c r="F657" s="67"/>
      <c r="G657" s="67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67"/>
      <c r="C658" s="67"/>
      <c r="D658" s="67"/>
      <c r="E658" s="67"/>
      <c r="F658" s="67"/>
      <c r="G658" s="67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67"/>
      <c r="C659" s="67"/>
      <c r="D659" s="67"/>
      <c r="E659" s="67"/>
      <c r="F659" s="67"/>
      <c r="G659" s="67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67"/>
      <c r="C660" s="67"/>
      <c r="D660" s="67"/>
      <c r="E660" s="67"/>
      <c r="F660" s="67"/>
      <c r="G660" s="67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67"/>
      <c r="C661" s="67"/>
      <c r="D661" s="67"/>
      <c r="E661" s="67"/>
      <c r="F661" s="67"/>
      <c r="G661" s="67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67"/>
      <c r="C662" s="67"/>
      <c r="D662" s="67"/>
      <c r="E662" s="67"/>
      <c r="F662" s="67"/>
      <c r="G662" s="67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67"/>
      <c r="C663" s="67"/>
      <c r="D663" s="67"/>
      <c r="E663" s="67"/>
      <c r="F663" s="67"/>
      <c r="G663" s="67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67"/>
      <c r="C664" s="67"/>
      <c r="D664" s="67"/>
      <c r="E664" s="67"/>
      <c r="F664" s="67"/>
      <c r="G664" s="67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67"/>
      <c r="C665" s="67"/>
      <c r="D665" s="67"/>
      <c r="E665" s="67"/>
      <c r="F665" s="67"/>
      <c r="G665" s="67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67"/>
      <c r="C666" s="67"/>
      <c r="D666" s="67"/>
      <c r="E666" s="67"/>
      <c r="F666" s="67"/>
      <c r="G666" s="67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67"/>
      <c r="C667" s="67"/>
      <c r="D667" s="67"/>
      <c r="E667" s="67"/>
      <c r="F667" s="67"/>
      <c r="G667" s="67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67"/>
      <c r="C668" s="67"/>
      <c r="D668" s="67"/>
      <c r="E668" s="67"/>
      <c r="F668" s="67"/>
      <c r="G668" s="67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67"/>
      <c r="C669" s="67"/>
      <c r="D669" s="67"/>
      <c r="E669" s="67"/>
      <c r="F669" s="67"/>
      <c r="G669" s="67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67"/>
      <c r="C670" s="67"/>
      <c r="D670" s="67"/>
      <c r="E670" s="67"/>
      <c r="F670" s="67"/>
      <c r="G670" s="67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67"/>
      <c r="C671" s="67"/>
      <c r="D671" s="67"/>
      <c r="E671" s="67"/>
      <c r="F671" s="67"/>
      <c r="G671" s="67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67"/>
      <c r="C672" s="67"/>
      <c r="D672" s="67"/>
      <c r="E672" s="67"/>
      <c r="F672" s="67"/>
      <c r="G672" s="67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67"/>
      <c r="C673" s="67"/>
      <c r="D673" s="67"/>
      <c r="E673" s="67"/>
      <c r="F673" s="67"/>
      <c r="G673" s="67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67"/>
      <c r="C674" s="67"/>
      <c r="D674" s="67"/>
      <c r="E674" s="67"/>
      <c r="F674" s="67"/>
      <c r="G674" s="67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67"/>
      <c r="C675" s="67"/>
      <c r="D675" s="67"/>
      <c r="E675" s="67"/>
      <c r="F675" s="67"/>
      <c r="G675" s="67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67"/>
      <c r="C676" s="67"/>
      <c r="D676" s="67"/>
      <c r="E676" s="67"/>
      <c r="F676" s="67"/>
      <c r="G676" s="67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67"/>
      <c r="C677" s="67"/>
      <c r="D677" s="67"/>
      <c r="E677" s="67"/>
      <c r="F677" s="67"/>
      <c r="G677" s="67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67"/>
      <c r="C678" s="67"/>
      <c r="D678" s="67"/>
      <c r="E678" s="67"/>
      <c r="F678" s="67"/>
      <c r="G678" s="67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67"/>
      <c r="C679" s="67"/>
      <c r="D679" s="67"/>
      <c r="E679" s="67"/>
      <c r="F679" s="67"/>
      <c r="G679" s="67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67"/>
      <c r="C680" s="67"/>
      <c r="D680" s="67"/>
      <c r="E680" s="67"/>
      <c r="F680" s="67"/>
      <c r="G680" s="67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67"/>
      <c r="C681" s="67"/>
      <c r="D681" s="67"/>
      <c r="E681" s="67"/>
      <c r="F681" s="67"/>
      <c r="G681" s="67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67"/>
      <c r="C682" s="67"/>
      <c r="D682" s="67"/>
      <c r="E682" s="67"/>
      <c r="F682" s="67"/>
      <c r="G682" s="67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67"/>
      <c r="C683" s="67"/>
      <c r="D683" s="67"/>
      <c r="E683" s="67"/>
      <c r="F683" s="67"/>
      <c r="G683" s="67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67"/>
      <c r="C684" s="67"/>
      <c r="D684" s="67"/>
      <c r="E684" s="67"/>
      <c r="F684" s="67"/>
      <c r="G684" s="67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67"/>
      <c r="C685" s="67"/>
      <c r="D685" s="67"/>
      <c r="E685" s="67"/>
      <c r="F685" s="67"/>
      <c r="G685" s="67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67"/>
      <c r="C686" s="67"/>
      <c r="D686" s="67"/>
      <c r="E686" s="67"/>
      <c r="F686" s="67"/>
      <c r="G686" s="67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67"/>
      <c r="C687" s="67"/>
      <c r="D687" s="67"/>
      <c r="E687" s="67"/>
      <c r="F687" s="67"/>
      <c r="G687" s="67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67"/>
      <c r="C688" s="67"/>
      <c r="D688" s="67"/>
      <c r="E688" s="67"/>
      <c r="F688" s="67"/>
      <c r="G688" s="67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67"/>
      <c r="C689" s="67"/>
      <c r="D689" s="67"/>
      <c r="E689" s="67"/>
      <c r="F689" s="67"/>
      <c r="G689" s="67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67"/>
      <c r="C690" s="67"/>
      <c r="D690" s="67"/>
      <c r="E690" s="67"/>
      <c r="F690" s="67"/>
      <c r="G690" s="67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67"/>
      <c r="C691" s="67"/>
      <c r="D691" s="67"/>
      <c r="E691" s="67"/>
      <c r="F691" s="67"/>
      <c r="G691" s="67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67"/>
      <c r="C692" s="67"/>
      <c r="D692" s="67"/>
      <c r="E692" s="67"/>
      <c r="F692" s="67"/>
      <c r="G692" s="67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67"/>
      <c r="C693" s="67"/>
      <c r="D693" s="67"/>
      <c r="E693" s="67"/>
      <c r="F693" s="67"/>
      <c r="G693" s="67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67"/>
      <c r="C694" s="67"/>
      <c r="D694" s="67"/>
      <c r="E694" s="67"/>
      <c r="F694" s="67"/>
      <c r="G694" s="67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67"/>
      <c r="C695" s="67"/>
      <c r="D695" s="67"/>
      <c r="E695" s="67"/>
      <c r="F695" s="67"/>
      <c r="G695" s="67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67"/>
      <c r="C696" s="67"/>
      <c r="D696" s="67"/>
      <c r="E696" s="67"/>
      <c r="F696" s="67"/>
      <c r="G696" s="67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67"/>
      <c r="C697" s="67"/>
      <c r="D697" s="67"/>
      <c r="E697" s="67"/>
      <c r="F697" s="67"/>
      <c r="G697" s="67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67"/>
      <c r="C698" s="67"/>
      <c r="D698" s="67"/>
      <c r="E698" s="67"/>
      <c r="F698" s="67"/>
      <c r="G698" s="67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67"/>
      <c r="C699" s="67"/>
      <c r="D699" s="67"/>
      <c r="E699" s="67"/>
      <c r="F699" s="67"/>
      <c r="G699" s="67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67"/>
      <c r="C700" s="67"/>
      <c r="D700" s="67"/>
      <c r="E700" s="67"/>
      <c r="F700" s="67"/>
      <c r="G700" s="67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67"/>
      <c r="C701" s="67"/>
      <c r="D701" s="67"/>
      <c r="E701" s="67"/>
      <c r="F701" s="67"/>
      <c r="G701" s="67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67"/>
      <c r="C702" s="67"/>
      <c r="D702" s="67"/>
      <c r="E702" s="67"/>
      <c r="F702" s="67"/>
      <c r="G702" s="67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67"/>
      <c r="C703" s="67"/>
      <c r="D703" s="67"/>
      <c r="E703" s="67"/>
      <c r="F703" s="67"/>
      <c r="G703" s="67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67"/>
      <c r="C704" s="67"/>
      <c r="D704" s="67"/>
      <c r="E704" s="67"/>
      <c r="F704" s="67"/>
      <c r="G704" s="67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67"/>
      <c r="C705" s="67"/>
      <c r="D705" s="67"/>
      <c r="E705" s="67"/>
      <c r="F705" s="67"/>
      <c r="G705" s="67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67"/>
      <c r="C706" s="67"/>
      <c r="D706" s="67"/>
      <c r="E706" s="67"/>
      <c r="F706" s="67"/>
      <c r="G706" s="67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67"/>
      <c r="C707" s="67"/>
      <c r="D707" s="67"/>
      <c r="E707" s="67"/>
      <c r="F707" s="67"/>
      <c r="G707" s="67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67"/>
      <c r="C708" s="67"/>
      <c r="D708" s="67"/>
      <c r="E708" s="67"/>
      <c r="F708" s="67"/>
      <c r="G708" s="67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67"/>
      <c r="C709" s="67"/>
      <c r="D709" s="67"/>
      <c r="E709" s="67"/>
      <c r="F709" s="67"/>
      <c r="G709" s="67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67"/>
      <c r="C710" s="67"/>
      <c r="D710" s="67"/>
      <c r="E710" s="67"/>
      <c r="F710" s="67"/>
      <c r="G710" s="67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67"/>
      <c r="C711" s="67"/>
      <c r="D711" s="67"/>
      <c r="E711" s="67"/>
      <c r="F711" s="67"/>
      <c r="G711" s="67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67"/>
      <c r="C712" s="67"/>
      <c r="D712" s="67"/>
      <c r="E712" s="67"/>
      <c r="F712" s="67"/>
      <c r="G712" s="67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67"/>
      <c r="C713" s="67"/>
      <c r="D713" s="67"/>
      <c r="E713" s="67"/>
      <c r="F713" s="67"/>
      <c r="G713" s="67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67"/>
      <c r="C714" s="67"/>
      <c r="D714" s="67"/>
      <c r="E714" s="67"/>
      <c r="F714" s="67"/>
      <c r="G714" s="67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67"/>
      <c r="C715" s="67"/>
      <c r="D715" s="67"/>
      <c r="E715" s="67"/>
      <c r="F715" s="67"/>
      <c r="G715" s="67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67"/>
      <c r="C716" s="67"/>
      <c r="D716" s="67"/>
      <c r="E716" s="67"/>
      <c r="F716" s="67"/>
      <c r="G716" s="67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67"/>
      <c r="C717" s="67"/>
      <c r="D717" s="67"/>
      <c r="E717" s="67"/>
      <c r="F717" s="67"/>
      <c r="G717" s="67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67"/>
      <c r="C718" s="67"/>
      <c r="D718" s="67"/>
      <c r="E718" s="67"/>
      <c r="F718" s="67"/>
      <c r="G718" s="67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67"/>
      <c r="C719" s="67"/>
      <c r="D719" s="67"/>
      <c r="E719" s="67"/>
      <c r="F719" s="67"/>
      <c r="G719" s="67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67"/>
      <c r="C720" s="67"/>
      <c r="D720" s="67"/>
      <c r="E720" s="67"/>
      <c r="F720" s="67"/>
      <c r="G720" s="67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67"/>
      <c r="C721" s="67"/>
      <c r="D721" s="67"/>
      <c r="E721" s="67"/>
      <c r="F721" s="67"/>
      <c r="G721" s="67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67"/>
      <c r="C722" s="67"/>
      <c r="D722" s="67"/>
      <c r="E722" s="67"/>
      <c r="F722" s="67"/>
      <c r="G722" s="67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67"/>
      <c r="C723" s="67"/>
      <c r="D723" s="67"/>
      <c r="E723" s="67"/>
      <c r="F723" s="67"/>
      <c r="G723" s="67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67"/>
      <c r="C724" s="67"/>
      <c r="D724" s="67"/>
      <c r="E724" s="67"/>
      <c r="F724" s="67"/>
      <c r="G724" s="67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67"/>
      <c r="C725" s="67"/>
      <c r="D725" s="67"/>
      <c r="E725" s="67"/>
      <c r="F725" s="67"/>
      <c r="G725" s="67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67"/>
      <c r="C726" s="67"/>
      <c r="D726" s="67"/>
      <c r="E726" s="67"/>
      <c r="F726" s="67"/>
      <c r="G726" s="67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67"/>
      <c r="C727" s="67"/>
      <c r="D727" s="67"/>
      <c r="E727" s="67"/>
      <c r="F727" s="67"/>
      <c r="G727" s="67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67"/>
      <c r="C728" s="67"/>
      <c r="D728" s="67"/>
      <c r="E728" s="67"/>
      <c r="F728" s="67"/>
      <c r="G728" s="67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67"/>
      <c r="C729" s="67"/>
      <c r="D729" s="67"/>
      <c r="E729" s="67"/>
      <c r="F729" s="67"/>
      <c r="G729" s="67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67"/>
      <c r="C730" s="67"/>
      <c r="D730" s="67"/>
      <c r="E730" s="67"/>
      <c r="F730" s="67"/>
      <c r="G730" s="67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67"/>
      <c r="C731" s="67"/>
      <c r="D731" s="67"/>
      <c r="E731" s="67"/>
      <c r="F731" s="67"/>
      <c r="G731" s="67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67"/>
      <c r="C732" s="67"/>
      <c r="D732" s="67"/>
      <c r="E732" s="67"/>
      <c r="F732" s="67"/>
      <c r="G732" s="67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67"/>
      <c r="C733" s="67"/>
      <c r="D733" s="67"/>
      <c r="E733" s="67"/>
      <c r="F733" s="67"/>
      <c r="G733" s="67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67"/>
      <c r="C734" s="67"/>
      <c r="D734" s="67"/>
      <c r="E734" s="67"/>
      <c r="F734" s="67"/>
      <c r="G734" s="67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67"/>
      <c r="C735" s="67"/>
      <c r="D735" s="67"/>
      <c r="E735" s="67"/>
      <c r="F735" s="67"/>
      <c r="G735" s="67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67"/>
      <c r="C736" s="67"/>
      <c r="D736" s="67"/>
      <c r="E736" s="67"/>
      <c r="F736" s="67"/>
      <c r="G736" s="67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67"/>
      <c r="C737" s="67"/>
      <c r="D737" s="67"/>
      <c r="E737" s="67"/>
      <c r="F737" s="67"/>
      <c r="G737" s="67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67"/>
      <c r="C738" s="67"/>
      <c r="D738" s="67"/>
      <c r="E738" s="67"/>
      <c r="F738" s="67"/>
      <c r="G738" s="67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67"/>
      <c r="C739" s="67"/>
      <c r="D739" s="67"/>
      <c r="E739" s="67"/>
      <c r="F739" s="67"/>
      <c r="G739" s="67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67"/>
      <c r="C740" s="67"/>
      <c r="D740" s="67"/>
      <c r="E740" s="67"/>
      <c r="F740" s="67"/>
      <c r="G740" s="67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67"/>
      <c r="C741" s="67"/>
      <c r="D741" s="67"/>
      <c r="E741" s="67"/>
      <c r="F741" s="67"/>
      <c r="G741" s="67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67"/>
      <c r="B742" s="67"/>
      <c r="C742" s="67"/>
      <c r="D742" s="67"/>
      <c r="E742" s="67"/>
      <c r="F742" s="67"/>
      <c r="G742" s="67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67"/>
      <c r="B743" s="67"/>
      <c r="C743" s="67"/>
      <c r="D743" s="67"/>
      <c r="E743" s="67"/>
      <c r="F743" s="67"/>
      <c r="G743" s="67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67"/>
      <c r="B744" s="67"/>
      <c r="C744" s="67"/>
      <c r="D744" s="67"/>
      <c r="E744" s="67"/>
      <c r="F744" s="67"/>
      <c r="G744" s="67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67"/>
      <c r="B745" s="67"/>
      <c r="C745" s="67"/>
      <c r="D745" s="67"/>
      <c r="E745" s="67"/>
      <c r="F745" s="67"/>
      <c r="G745" s="67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67"/>
      <c r="B746" s="67"/>
      <c r="C746" s="67"/>
      <c r="D746" s="67"/>
      <c r="E746" s="67"/>
      <c r="F746" s="67"/>
      <c r="G746" s="67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67"/>
      <c r="B747" s="67"/>
      <c r="C747" s="67"/>
      <c r="D747" s="67"/>
      <c r="E747" s="67"/>
      <c r="F747" s="67"/>
      <c r="G747" s="67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67"/>
      <c r="B748" s="67"/>
      <c r="C748" s="67"/>
      <c r="D748" s="67"/>
      <c r="E748" s="67"/>
      <c r="F748" s="67"/>
      <c r="G748" s="67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67"/>
      <c r="B749" s="67"/>
      <c r="C749" s="67"/>
      <c r="D749" s="67"/>
      <c r="E749" s="67"/>
      <c r="F749" s="67"/>
      <c r="G749" s="67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67"/>
      <c r="B750" s="67"/>
      <c r="C750" s="67"/>
      <c r="D750" s="67"/>
      <c r="E750" s="67"/>
      <c r="F750" s="67"/>
      <c r="G750" s="67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67"/>
      <c r="B751" s="67"/>
      <c r="C751" s="67"/>
      <c r="D751" s="67"/>
      <c r="E751" s="67"/>
      <c r="F751" s="67"/>
      <c r="G751" s="67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67"/>
      <c r="B752" s="67"/>
      <c r="C752" s="67"/>
      <c r="D752" s="67"/>
      <c r="E752" s="67"/>
      <c r="F752" s="67"/>
      <c r="G752" s="67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67"/>
      <c r="B753" s="67"/>
      <c r="C753" s="67"/>
      <c r="D753" s="67"/>
      <c r="E753" s="67"/>
      <c r="F753" s="67"/>
      <c r="G753" s="67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67"/>
      <c r="B754" s="67"/>
      <c r="C754" s="67"/>
      <c r="D754" s="67"/>
      <c r="E754" s="67"/>
      <c r="F754" s="67"/>
      <c r="G754" s="67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67"/>
      <c r="B755" s="67"/>
      <c r="C755" s="67"/>
      <c r="D755" s="67"/>
      <c r="E755" s="67"/>
      <c r="F755" s="67"/>
      <c r="G755" s="67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67"/>
      <c r="B756" s="67"/>
      <c r="C756" s="67"/>
      <c r="D756" s="67"/>
      <c r="E756" s="67"/>
      <c r="F756" s="67"/>
      <c r="G756" s="67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67"/>
      <c r="B757" s="67"/>
      <c r="C757" s="67"/>
      <c r="D757" s="67"/>
      <c r="E757" s="67"/>
      <c r="F757" s="67"/>
      <c r="G757" s="67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67"/>
      <c r="B758" s="67"/>
      <c r="C758" s="67"/>
      <c r="D758" s="67"/>
      <c r="E758" s="67"/>
      <c r="F758" s="67"/>
      <c r="G758" s="67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67"/>
      <c r="B759" s="67"/>
      <c r="C759" s="67"/>
      <c r="D759" s="67"/>
      <c r="E759" s="67"/>
      <c r="F759" s="67"/>
      <c r="G759" s="67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67"/>
      <c r="B760" s="67"/>
      <c r="C760" s="67"/>
      <c r="D760" s="67"/>
      <c r="E760" s="67"/>
      <c r="F760" s="67"/>
      <c r="G760" s="67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67"/>
      <c r="B761" s="67"/>
      <c r="C761" s="67"/>
      <c r="D761" s="67"/>
      <c r="E761" s="67"/>
      <c r="F761" s="67"/>
      <c r="G761" s="67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67"/>
      <c r="B762" s="67"/>
      <c r="C762" s="67"/>
      <c r="D762" s="67"/>
      <c r="E762" s="67"/>
      <c r="F762" s="67"/>
      <c r="G762" s="67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67"/>
      <c r="B763" s="67"/>
      <c r="C763" s="67"/>
      <c r="D763" s="67"/>
      <c r="E763" s="67"/>
      <c r="F763" s="67"/>
      <c r="G763" s="67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67"/>
      <c r="B764" s="67"/>
      <c r="C764" s="67"/>
      <c r="D764" s="67"/>
      <c r="E764" s="67"/>
      <c r="F764" s="67"/>
      <c r="G764" s="67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67"/>
      <c r="B765" s="67"/>
      <c r="C765" s="67"/>
      <c r="D765" s="67"/>
      <c r="E765" s="67"/>
      <c r="F765" s="67"/>
      <c r="G765" s="67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67"/>
      <c r="B766" s="67"/>
      <c r="C766" s="67"/>
      <c r="D766" s="67"/>
      <c r="E766" s="67"/>
      <c r="F766" s="67"/>
      <c r="G766" s="67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67"/>
      <c r="B767" s="67"/>
      <c r="C767" s="67"/>
      <c r="D767" s="67"/>
      <c r="E767" s="67"/>
      <c r="F767" s="67"/>
      <c r="G767" s="67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67"/>
      <c r="B768" s="67"/>
      <c r="C768" s="67"/>
      <c r="D768" s="67"/>
      <c r="E768" s="67"/>
      <c r="F768" s="67"/>
      <c r="G768" s="67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67"/>
      <c r="B769" s="67"/>
      <c r="C769" s="67"/>
      <c r="D769" s="67"/>
      <c r="E769" s="67"/>
      <c r="F769" s="67"/>
      <c r="G769" s="67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67"/>
      <c r="B770" s="67"/>
      <c r="C770" s="67"/>
      <c r="D770" s="67"/>
      <c r="E770" s="67"/>
      <c r="F770" s="67"/>
      <c r="G770" s="67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67"/>
      <c r="B771" s="67"/>
      <c r="C771" s="67"/>
      <c r="D771" s="67"/>
      <c r="E771" s="67"/>
      <c r="F771" s="67"/>
      <c r="G771" s="67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67"/>
      <c r="B772" s="67"/>
      <c r="C772" s="67"/>
      <c r="D772" s="67"/>
      <c r="E772" s="67"/>
      <c r="F772" s="67"/>
      <c r="G772" s="67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67"/>
      <c r="B773" s="67"/>
      <c r="C773" s="67"/>
      <c r="D773" s="67"/>
      <c r="E773" s="67"/>
      <c r="F773" s="67"/>
      <c r="G773" s="67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67"/>
      <c r="B774" s="67"/>
      <c r="C774" s="67"/>
      <c r="D774" s="67"/>
      <c r="E774" s="67"/>
      <c r="F774" s="67"/>
      <c r="G774" s="67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67"/>
      <c r="B775" s="67"/>
      <c r="C775" s="67"/>
      <c r="D775" s="67"/>
      <c r="E775" s="67"/>
      <c r="F775" s="67"/>
      <c r="G775" s="67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67"/>
      <c r="B776" s="67"/>
      <c r="C776" s="67"/>
      <c r="D776" s="67"/>
      <c r="E776" s="67"/>
      <c r="F776" s="67"/>
      <c r="G776" s="67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67"/>
      <c r="B777" s="67"/>
      <c r="C777" s="67"/>
      <c r="D777" s="67"/>
      <c r="E777" s="67"/>
      <c r="F777" s="67"/>
      <c r="G777" s="67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67"/>
      <c r="B778" s="67"/>
      <c r="C778" s="67"/>
      <c r="D778" s="67"/>
      <c r="E778" s="67"/>
      <c r="F778" s="67"/>
      <c r="G778" s="67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67"/>
      <c r="B779" s="67"/>
      <c r="C779" s="67"/>
      <c r="D779" s="67"/>
      <c r="E779" s="67"/>
      <c r="F779" s="67"/>
      <c r="G779" s="67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67"/>
      <c r="B780" s="67"/>
      <c r="C780" s="67"/>
      <c r="D780" s="67"/>
      <c r="E780" s="67"/>
      <c r="F780" s="67"/>
      <c r="G780" s="67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67"/>
      <c r="B781" s="67"/>
      <c r="C781" s="67"/>
      <c r="D781" s="67"/>
      <c r="E781" s="67"/>
      <c r="F781" s="67"/>
      <c r="G781" s="67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67"/>
      <c r="B782" s="67"/>
      <c r="C782" s="67"/>
      <c r="D782" s="67"/>
      <c r="E782" s="67"/>
      <c r="F782" s="67"/>
      <c r="G782" s="67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67"/>
      <c r="B783" s="67"/>
      <c r="C783" s="67"/>
      <c r="D783" s="67"/>
      <c r="E783" s="67"/>
      <c r="F783" s="67"/>
      <c r="G783" s="67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67"/>
      <c r="B784" s="67"/>
      <c r="C784" s="67"/>
      <c r="D784" s="67"/>
      <c r="E784" s="67"/>
      <c r="F784" s="67"/>
      <c r="G784" s="67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67"/>
      <c r="B785" s="67"/>
      <c r="C785" s="67"/>
      <c r="D785" s="67"/>
      <c r="E785" s="67"/>
      <c r="F785" s="67"/>
      <c r="G785" s="67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67"/>
      <c r="B786" s="67"/>
      <c r="C786" s="67"/>
      <c r="D786" s="67"/>
      <c r="E786" s="67"/>
      <c r="F786" s="67"/>
      <c r="G786" s="67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67"/>
      <c r="B787" s="67"/>
      <c r="C787" s="67"/>
      <c r="D787" s="67"/>
      <c r="E787" s="67"/>
      <c r="F787" s="67"/>
      <c r="G787" s="67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67"/>
      <c r="B788" s="67"/>
      <c r="C788" s="67"/>
      <c r="D788" s="67"/>
      <c r="E788" s="67"/>
      <c r="F788" s="67"/>
      <c r="G788" s="67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67"/>
      <c r="B789" s="67"/>
      <c r="C789" s="67"/>
      <c r="D789" s="67"/>
      <c r="E789" s="67"/>
      <c r="F789" s="67"/>
      <c r="G789" s="67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67"/>
      <c r="B790" s="67"/>
      <c r="C790" s="67"/>
      <c r="D790" s="67"/>
      <c r="E790" s="67"/>
      <c r="F790" s="67"/>
      <c r="G790" s="67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67"/>
      <c r="B791" s="67"/>
      <c r="C791" s="67"/>
      <c r="D791" s="67"/>
      <c r="E791" s="67"/>
      <c r="F791" s="67"/>
      <c r="G791" s="67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67"/>
      <c r="B792" s="67"/>
      <c r="C792" s="67"/>
      <c r="D792" s="67"/>
      <c r="E792" s="67"/>
      <c r="F792" s="67"/>
      <c r="G792" s="67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67"/>
      <c r="B793" s="67"/>
      <c r="C793" s="67"/>
      <c r="D793" s="67"/>
      <c r="E793" s="67"/>
      <c r="F793" s="67"/>
      <c r="G793" s="67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67"/>
      <c r="B794" s="67"/>
      <c r="C794" s="67"/>
      <c r="D794" s="67"/>
      <c r="E794" s="67"/>
      <c r="F794" s="67"/>
      <c r="G794" s="67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67"/>
      <c r="B795" s="67"/>
      <c r="C795" s="67"/>
      <c r="D795" s="67"/>
      <c r="E795" s="67"/>
      <c r="F795" s="67"/>
      <c r="G795" s="67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67"/>
      <c r="B796" s="67"/>
      <c r="C796" s="67"/>
      <c r="D796" s="67"/>
      <c r="E796" s="67"/>
      <c r="F796" s="67"/>
      <c r="G796" s="67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67"/>
      <c r="B797" s="67"/>
      <c r="C797" s="67"/>
      <c r="D797" s="67"/>
      <c r="E797" s="67"/>
      <c r="F797" s="67"/>
      <c r="G797" s="67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67"/>
      <c r="B798" s="67"/>
      <c r="C798" s="67"/>
      <c r="D798" s="67"/>
      <c r="E798" s="67"/>
      <c r="F798" s="67"/>
      <c r="G798" s="67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67"/>
      <c r="B799" s="67"/>
      <c r="C799" s="67"/>
      <c r="D799" s="67"/>
      <c r="E799" s="67"/>
      <c r="F799" s="67"/>
      <c r="G799" s="67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67"/>
      <c r="B800" s="67"/>
      <c r="C800" s="67"/>
      <c r="D800" s="67"/>
      <c r="E800" s="67"/>
      <c r="F800" s="67"/>
      <c r="G800" s="67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67"/>
      <c r="B801" s="67"/>
      <c r="C801" s="67"/>
      <c r="D801" s="67"/>
      <c r="E801" s="67"/>
      <c r="F801" s="67"/>
      <c r="G801" s="67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67"/>
      <c r="B802" s="67"/>
      <c r="C802" s="67"/>
      <c r="D802" s="67"/>
      <c r="E802" s="67"/>
      <c r="F802" s="67"/>
      <c r="G802" s="67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67"/>
      <c r="B803" s="67"/>
      <c r="C803" s="67"/>
      <c r="D803" s="67"/>
      <c r="E803" s="67"/>
      <c r="F803" s="67"/>
      <c r="G803" s="67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67"/>
      <c r="B804" s="67"/>
      <c r="C804" s="67"/>
      <c r="D804" s="67"/>
      <c r="E804" s="67"/>
      <c r="F804" s="67"/>
      <c r="G804" s="67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67"/>
      <c r="B805" s="67"/>
      <c r="C805" s="67"/>
      <c r="D805" s="67"/>
      <c r="E805" s="67"/>
      <c r="F805" s="67"/>
      <c r="G805" s="67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67"/>
      <c r="B806" s="67"/>
      <c r="C806" s="67"/>
      <c r="D806" s="67"/>
      <c r="E806" s="67"/>
      <c r="F806" s="67"/>
      <c r="G806" s="67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67"/>
      <c r="B807" s="67"/>
      <c r="C807" s="67"/>
      <c r="D807" s="67"/>
      <c r="E807" s="67"/>
      <c r="F807" s="67"/>
      <c r="G807" s="67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67"/>
      <c r="B808" s="67"/>
      <c r="C808" s="67"/>
      <c r="D808" s="67"/>
      <c r="E808" s="67"/>
      <c r="F808" s="67"/>
      <c r="G808" s="67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67"/>
      <c r="B809" s="67"/>
      <c r="C809" s="67"/>
      <c r="D809" s="67"/>
      <c r="E809" s="67"/>
      <c r="F809" s="67"/>
      <c r="G809" s="67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67"/>
      <c r="B810" s="67"/>
      <c r="C810" s="67"/>
      <c r="D810" s="67"/>
      <c r="E810" s="67"/>
      <c r="F810" s="67"/>
      <c r="G810" s="67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67"/>
      <c r="B811" s="67"/>
      <c r="C811" s="67"/>
      <c r="D811" s="67"/>
      <c r="E811" s="67"/>
      <c r="F811" s="67"/>
      <c r="G811" s="67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67"/>
      <c r="B812" s="67"/>
      <c r="C812" s="67"/>
      <c r="D812" s="67"/>
      <c r="E812" s="67"/>
      <c r="F812" s="67"/>
      <c r="G812" s="67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67"/>
      <c r="B813" s="67"/>
      <c r="C813" s="67"/>
      <c r="D813" s="67"/>
      <c r="E813" s="67"/>
      <c r="F813" s="67"/>
      <c r="G813" s="67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67"/>
      <c r="B814" s="67"/>
      <c r="C814" s="67"/>
      <c r="D814" s="67"/>
      <c r="E814" s="67"/>
      <c r="F814" s="67"/>
      <c r="G814" s="67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67"/>
      <c r="B815" s="67"/>
      <c r="C815" s="67"/>
      <c r="D815" s="67"/>
      <c r="E815" s="67"/>
      <c r="F815" s="67"/>
      <c r="G815" s="67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67"/>
      <c r="B816" s="67"/>
      <c r="C816" s="67"/>
      <c r="D816" s="67"/>
      <c r="E816" s="67"/>
      <c r="F816" s="67"/>
      <c r="G816" s="67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67"/>
      <c r="B817" s="67"/>
      <c r="C817" s="67"/>
      <c r="D817" s="67"/>
      <c r="E817" s="67"/>
      <c r="F817" s="67"/>
      <c r="G817" s="67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67"/>
      <c r="B818" s="67"/>
      <c r="C818" s="67"/>
      <c r="D818" s="67"/>
      <c r="E818" s="67"/>
      <c r="F818" s="67"/>
      <c r="G818" s="67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67"/>
      <c r="B819" s="67"/>
      <c r="C819" s="67"/>
      <c r="D819" s="67"/>
      <c r="E819" s="67"/>
      <c r="F819" s="67"/>
      <c r="G819" s="67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67"/>
      <c r="B820" s="67"/>
      <c r="C820" s="67"/>
      <c r="D820" s="67"/>
      <c r="E820" s="67"/>
      <c r="F820" s="67"/>
      <c r="G820" s="67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67"/>
      <c r="B821" s="67"/>
      <c r="C821" s="67"/>
      <c r="D821" s="67"/>
      <c r="E821" s="67"/>
      <c r="F821" s="67"/>
      <c r="G821" s="67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67"/>
      <c r="B822" s="67"/>
      <c r="C822" s="67"/>
      <c r="D822" s="67"/>
      <c r="E822" s="67"/>
      <c r="F822" s="67"/>
      <c r="G822" s="67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67"/>
      <c r="B823" s="67"/>
      <c r="C823" s="67"/>
      <c r="D823" s="67"/>
      <c r="E823" s="67"/>
      <c r="F823" s="67"/>
      <c r="G823" s="67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67"/>
      <c r="B824" s="67"/>
      <c r="C824" s="67"/>
      <c r="D824" s="67"/>
      <c r="E824" s="67"/>
      <c r="F824" s="67"/>
      <c r="G824" s="67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67"/>
      <c r="B825" s="67"/>
      <c r="C825" s="67"/>
      <c r="D825" s="67"/>
      <c r="E825" s="67"/>
      <c r="F825" s="67"/>
      <c r="G825" s="67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67"/>
      <c r="B826" s="67"/>
      <c r="C826" s="67"/>
      <c r="D826" s="67"/>
      <c r="E826" s="67"/>
      <c r="F826" s="67"/>
      <c r="G826" s="67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67"/>
      <c r="B827" s="67"/>
      <c r="C827" s="67"/>
      <c r="D827" s="67"/>
      <c r="E827" s="67"/>
      <c r="F827" s="67"/>
      <c r="G827" s="67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67"/>
      <c r="B828" s="67"/>
      <c r="C828" s="67"/>
      <c r="D828" s="67"/>
      <c r="E828" s="67"/>
      <c r="F828" s="67"/>
      <c r="G828" s="67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67"/>
      <c r="B829" s="67"/>
      <c r="C829" s="67"/>
      <c r="D829" s="67"/>
      <c r="E829" s="67"/>
      <c r="F829" s="67"/>
      <c r="G829" s="67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67"/>
      <c r="B830" s="67"/>
      <c r="C830" s="67"/>
      <c r="D830" s="67"/>
      <c r="E830" s="67"/>
      <c r="F830" s="67"/>
      <c r="G830" s="67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67"/>
      <c r="B831" s="67"/>
      <c r="C831" s="67"/>
      <c r="D831" s="67"/>
      <c r="E831" s="67"/>
      <c r="F831" s="67"/>
      <c r="G831" s="67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67"/>
      <c r="B832" s="67"/>
      <c r="C832" s="67"/>
      <c r="D832" s="67"/>
      <c r="E832" s="67"/>
      <c r="F832" s="67"/>
      <c r="G832" s="67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67"/>
      <c r="B833" s="67"/>
      <c r="C833" s="67"/>
      <c r="D833" s="67"/>
      <c r="E833" s="67"/>
      <c r="F833" s="67"/>
      <c r="G833" s="67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67"/>
      <c r="B834" s="67"/>
      <c r="C834" s="67"/>
      <c r="D834" s="67"/>
      <c r="E834" s="67"/>
      <c r="F834" s="67"/>
      <c r="G834" s="67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67"/>
      <c r="B835" s="67"/>
      <c r="C835" s="67"/>
      <c r="D835" s="67"/>
      <c r="E835" s="67"/>
      <c r="F835" s="67"/>
      <c r="G835" s="67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67"/>
      <c r="B836" s="67"/>
      <c r="C836" s="67"/>
      <c r="D836" s="67"/>
      <c r="E836" s="67"/>
      <c r="F836" s="67"/>
      <c r="G836" s="67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67"/>
      <c r="B837" s="67"/>
      <c r="C837" s="67"/>
      <c r="D837" s="67"/>
      <c r="E837" s="67"/>
      <c r="F837" s="67"/>
      <c r="G837" s="67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67"/>
      <c r="B838" s="67"/>
      <c r="C838" s="67"/>
      <c r="D838" s="67"/>
      <c r="E838" s="67"/>
      <c r="F838" s="67"/>
      <c r="G838" s="67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67"/>
      <c r="B839" s="67"/>
      <c r="C839" s="67"/>
      <c r="D839" s="67"/>
      <c r="E839" s="67"/>
      <c r="F839" s="67"/>
      <c r="G839" s="67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67"/>
      <c r="B840" s="67"/>
      <c r="C840" s="67"/>
      <c r="D840" s="67"/>
      <c r="E840" s="67"/>
      <c r="F840" s="67"/>
      <c r="G840" s="67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67"/>
      <c r="B841" s="67"/>
      <c r="C841" s="67"/>
      <c r="D841" s="67"/>
      <c r="E841" s="67"/>
      <c r="F841" s="67"/>
      <c r="G841" s="67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67"/>
      <c r="B842" s="67"/>
      <c r="C842" s="67"/>
      <c r="D842" s="67"/>
      <c r="E842" s="67"/>
      <c r="F842" s="67"/>
      <c r="G842" s="67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67"/>
      <c r="B843" s="67"/>
      <c r="C843" s="67"/>
      <c r="D843" s="67"/>
      <c r="E843" s="67"/>
      <c r="F843" s="67"/>
      <c r="G843" s="67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67"/>
      <c r="B844" s="67"/>
      <c r="C844" s="67"/>
      <c r="D844" s="67"/>
      <c r="E844" s="67"/>
      <c r="F844" s="67"/>
      <c r="G844" s="67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67"/>
      <c r="B845" s="67"/>
      <c r="C845" s="67"/>
      <c r="D845" s="67"/>
      <c r="E845" s="67"/>
      <c r="F845" s="67"/>
      <c r="G845" s="67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67"/>
      <c r="B846" s="67"/>
      <c r="C846" s="67"/>
      <c r="D846" s="67"/>
      <c r="E846" s="67"/>
      <c r="F846" s="67"/>
      <c r="G846" s="67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67"/>
      <c r="B847" s="67"/>
      <c r="C847" s="67"/>
      <c r="D847" s="67"/>
      <c r="E847" s="67"/>
      <c r="F847" s="67"/>
      <c r="G847" s="67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67"/>
      <c r="B848" s="67"/>
      <c r="C848" s="67"/>
      <c r="D848" s="67"/>
      <c r="E848" s="67"/>
      <c r="F848" s="67"/>
      <c r="G848" s="67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67"/>
      <c r="B849" s="67"/>
      <c r="C849" s="67"/>
      <c r="D849" s="67"/>
      <c r="E849" s="67"/>
      <c r="F849" s="67"/>
      <c r="G849" s="67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67"/>
      <c r="B850" s="67"/>
      <c r="C850" s="67"/>
      <c r="D850" s="67"/>
      <c r="E850" s="67"/>
      <c r="F850" s="67"/>
      <c r="G850" s="67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67"/>
      <c r="B851" s="67"/>
      <c r="C851" s="67"/>
      <c r="D851" s="67"/>
      <c r="E851" s="67"/>
      <c r="F851" s="67"/>
      <c r="G851" s="67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67"/>
      <c r="B852" s="67"/>
      <c r="C852" s="67"/>
      <c r="D852" s="67"/>
      <c r="E852" s="67"/>
      <c r="F852" s="67"/>
      <c r="G852" s="67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67"/>
      <c r="B853" s="67"/>
      <c r="C853" s="67"/>
      <c r="D853" s="67"/>
      <c r="E853" s="67"/>
      <c r="F853" s="67"/>
      <c r="G853" s="67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67"/>
      <c r="B854" s="67"/>
      <c r="C854" s="67"/>
      <c r="D854" s="67"/>
      <c r="E854" s="67"/>
      <c r="F854" s="67"/>
      <c r="G854" s="67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67"/>
      <c r="B855" s="67"/>
      <c r="C855" s="67"/>
      <c r="D855" s="67"/>
      <c r="E855" s="67"/>
      <c r="F855" s="67"/>
      <c r="G855" s="67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67"/>
      <c r="B856" s="67"/>
      <c r="C856" s="67"/>
      <c r="D856" s="67"/>
      <c r="E856" s="67"/>
      <c r="F856" s="67"/>
      <c r="G856" s="67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67"/>
      <c r="B857" s="67"/>
      <c r="C857" s="67"/>
      <c r="D857" s="67"/>
      <c r="E857" s="67"/>
      <c r="F857" s="67"/>
      <c r="G857" s="67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67"/>
      <c r="B858" s="67"/>
      <c r="C858" s="67"/>
      <c r="D858" s="67"/>
      <c r="E858" s="67"/>
      <c r="F858" s="67"/>
      <c r="G858" s="67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67"/>
      <c r="B859" s="67"/>
      <c r="C859" s="67"/>
      <c r="D859" s="67"/>
      <c r="E859" s="67"/>
      <c r="F859" s="67"/>
      <c r="G859" s="67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67"/>
      <c r="B860" s="67"/>
      <c r="C860" s="67"/>
      <c r="D860" s="67"/>
      <c r="E860" s="67"/>
      <c r="F860" s="67"/>
      <c r="G860" s="67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67"/>
      <c r="B861" s="67"/>
      <c r="C861" s="67"/>
      <c r="D861" s="67"/>
      <c r="E861" s="67"/>
      <c r="F861" s="67"/>
      <c r="G861" s="67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67"/>
      <c r="B862" s="67"/>
      <c r="C862" s="67"/>
      <c r="D862" s="67"/>
      <c r="E862" s="67"/>
      <c r="F862" s="67"/>
      <c r="G862" s="67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67"/>
      <c r="B863" s="67"/>
      <c r="C863" s="67"/>
      <c r="D863" s="67"/>
      <c r="E863" s="67"/>
      <c r="F863" s="67"/>
      <c r="G863" s="67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67"/>
      <c r="B864" s="67"/>
      <c r="C864" s="67"/>
      <c r="D864" s="67"/>
      <c r="E864" s="67"/>
      <c r="F864" s="67"/>
      <c r="G864" s="67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67"/>
      <c r="B865" s="67"/>
      <c r="C865" s="67"/>
      <c r="D865" s="67"/>
      <c r="E865" s="67"/>
      <c r="F865" s="67"/>
      <c r="G865" s="67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67"/>
      <c r="B866" s="67"/>
      <c r="C866" s="67"/>
      <c r="D866" s="67"/>
      <c r="E866" s="67"/>
      <c r="F866" s="67"/>
      <c r="G866" s="67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67"/>
      <c r="B867" s="67"/>
      <c r="C867" s="67"/>
      <c r="D867" s="67"/>
      <c r="E867" s="67"/>
      <c r="F867" s="67"/>
      <c r="G867" s="67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67"/>
      <c r="B868" s="67"/>
      <c r="C868" s="67"/>
      <c r="D868" s="67"/>
      <c r="E868" s="67"/>
      <c r="F868" s="67"/>
      <c r="G868" s="67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67"/>
      <c r="B869" s="67"/>
      <c r="C869" s="67"/>
      <c r="D869" s="67"/>
      <c r="E869" s="67"/>
      <c r="F869" s="67"/>
      <c r="G869" s="67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67"/>
      <c r="B870" s="67"/>
      <c r="C870" s="67"/>
      <c r="D870" s="67"/>
      <c r="E870" s="67"/>
      <c r="F870" s="67"/>
      <c r="G870" s="67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67"/>
      <c r="B871" s="67"/>
      <c r="C871" s="67"/>
      <c r="D871" s="67"/>
      <c r="E871" s="67"/>
      <c r="F871" s="67"/>
      <c r="G871" s="67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67"/>
      <c r="B872" s="67"/>
      <c r="C872" s="67"/>
      <c r="D872" s="67"/>
      <c r="E872" s="67"/>
      <c r="F872" s="67"/>
      <c r="G872" s="67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67"/>
      <c r="B873" s="67"/>
      <c r="C873" s="67"/>
      <c r="D873" s="67"/>
      <c r="E873" s="67"/>
      <c r="F873" s="67"/>
      <c r="G873" s="67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67"/>
      <c r="B874" s="67"/>
      <c r="C874" s="67"/>
      <c r="D874" s="67"/>
      <c r="E874" s="67"/>
      <c r="F874" s="67"/>
      <c r="G874" s="67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67"/>
      <c r="B875" s="67"/>
      <c r="C875" s="67"/>
      <c r="D875" s="67"/>
      <c r="E875" s="67"/>
      <c r="F875" s="67"/>
      <c r="G875" s="67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67"/>
      <c r="B876" s="67"/>
      <c r="C876" s="67"/>
      <c r="D876" s="67"/>
      <c r="E876" s="67"/>
      <c r="F876" s="67"/>
      <c r="G876" s="67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67"/>
      <c r="B877" s="67"/>
      <c r="C877" s="67"/>
      <c r="D877" s="67"/>
      <c r="E877" s="67"/>
      <c r="F877" s="67"/>
      <c r="G877" s="67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67"/>
      <c r="B878" s="67"/>
      <c r="C878" s="67"/>
      <c r="D878" s="67"/>
      <c r="E878" s="67"/>
      <c r="F878" s="67"/>
      <c r="G878" s="67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67"/>
      <c r="B879" s="67"/>
      <c r="C879" s="67"/>
      <c r="D879" s="67"/>
      <c r="E879" s="67"/>
      <c r="F879" s="67"/>
      <c r="G879" s="67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67"/>
      <c r="B880" s="67"/>
      <c r="C880" s="67"/>
      <c r="D880" s="67"/>
      <c r="E880" s="67"/>
      <c r="F880" s="67"/>
      <c r="G880" s="67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67"/>
      <c r="B881" s="67"/>
      <c r="C881" s="67"/>
      <c r="D881" s="67"/>
      <c r="E881" s="67"/>
      <c r="F881" s="67"/>
      <c r="G881" s="67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67"/>
      <c r="B882" s="67"/>
      <c r="C882" s="67"/>
      <c r="D882" s="67"/>
      <c r="E882" s="67"/>
      <c r="F882" s="67"/>
      <c r="G882" s="67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67"/>
      <c r="B883" s="67"/>
      <c r="C883" s="67"/>
      <c r="D883" s="67"/>
      <c r="E883" s="67"/>
      <c r="F883" s="67"/>
      <c r="G883" s="67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67"/>
      <c r="B884" s="67"/>
      <c r="C884" s="67"/>
      <c r="D884" s="67"/>
      <c r="E884" s="67"/>
      <c r="F884" s="67"/>
      <c r="G884" s="67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67"/>
      <c r="B885" s="67"/>
      <c r="C885" s="67"/>
      <c r="D885" s="67"/>
      <c r="E885" s="67"/>
      <c r="F885" s="67"/>
      <c r="G885" s="67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67"/>
      <c r="B886" s="67"/>
      <c r="C886" s="67"/>
      <c r="D886" s="67"/>
      <c r="E886" s="67"/>
      <c r="F886" s="67"/>
      <c r="G886" s="67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67"/>
      <c r="B887" s="67"/>
      <c r="C887" s="67"/>
      <c r="D887" s="67"/>
      <c r="E887" s="67"/>
      <c r="F887" s="67"/>
      <c r="G887" s="67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67"/>
      <c r="B888" s="67"/>
      <c r="C888" s="67"/>
      <c r="D888" s="67"/>
      <c r="E888" s="67"/>
      <c r="F888" s="67"/>
      <c r="G888" s="67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67"/>
      <c r="B889" s="67"/>
      <c r="C889" s="67"/>
      <c r="D889" s="67"/>
      <c r="E889" s="67"/>
      <c r="F889" s="67"/>
      <c r="G889" s="67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67"/>
      <c r="B890" s="67"/>
      <c r="C890" s="67"/>
      <c r="D890" s="67"/>
      <c r="E890" s="67"/>
      <c r="F890" s="67"/>
      <c r="G890" s="67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67"/>
      <c r="B891" s="67"/>
      <c r="C891" s="67"/>
      <c r="D891" s="67"/>
      <c r="E891" s="67"/>
      <c r="F891" s="67"/>
      <c r="G891" s="67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67"/>
      <c r="B892" s="67"/>
      <c r="C892" s="67"/>
      <c r="D892" s="67"/>
      <c r="E892" s="67"/>
      <c r="F892" s="67"/>
      <c r="G892" s="67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67"/>
      <c r="B893" s="67"/>
      <c r="C893" s="67"/>
      <c r="D893" s="67"/>
      <c r="E893" s="67"/>
      <c r="F893" s="67"/>
      <c r="G893" s="67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67"/>
      <c r="B894" s="67"/>
      <c r="C894" s="67"/>
      <c r="D894" s="67"/>
      <c r="E894" s="67"/>
      <c r="F894" s="67"/>
      <c r="G894" s="67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67"/>
      <c r="B895" s="67"/>
      <c r="C895" s="67"/>
      <c r="D895" s="67"/>
      <c r="E895" s="67"/>
      <c r="F895" s="67"/>
      <c r="G895" s="67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67"/>
      <c r="B896" s="67"/>
      <c r="C896" s="67"/>
      <c r="D896" s="67"/>
      <c r="E896" s="67"/>
      <c r="F896" s="67"/>
      <c r="G896" s="67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67"/>
      <c r="B897" s="67"/>
      <c r="C897" s="67"/>
      <c r="D897" s="67"/>
      <c r="E897" s="67"/>
      <c r="F897" s="67"/>
      <c r="G897" s="67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67"/>
      <c r="B898" s="67"/>
      <c r="C898" s="67"/>
      <c r="D898" s="67"/>
      <c r="E898" s="67"/>
      <c r="F898" s="67"/>
      <c r="G898" s="67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67"/>
      <c r="B899" s="67"/>
      <c r="C899" s="67"/>
      <c r="D899" s="67"/>
      <c r="E899" s="67"/>
      <c r="F899" s="67"/>
      <c r="G899" s="67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67"/>
      <c r="B900" s="67"/>
      <c r="C900" s="67"/>
      <c r="D900" s="67"/>
      <c r="E900" s="67"/>
      <c r="F900" s="67"/>
      <c r="G900" s="67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67"/>
      <c r="B901" s="67"/>
      <c r="C901" s="67"/>
      <c r="D901" s="67"/>
      <c r="E901" s="67"/>
      <c r="F901" s="67"/>
      <c r="G901" s="67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67"/>
      <c r="B902" s="67"/>
      <c r="C902" s="67"/>
      <c r="D902" s="67"/>
      <c r="E902" s="67"/>
      <c r="F902" s="67"/>
      <c r="G902" s="67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67"/>
      <c r="B903" s="67"/>
      <c r="C903" s="67"/>
      <c r="D903" s="67"/>
      <c r="E903" s="67"/>
      <c r="F903" s="67"/>
      <c r="G903" s="67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67"/>
      <c r="B904" s="67"/>
      <c r="C904" s="67"/>
      <c r="D904" s="67"/>
      <c r="E904" s="67"/>
      <c r="F904" s="67"/>
      <c r="G904" s="67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67"/>
      <c r="B905" s="67"/>
      <c r="C905" s="67"/>
      <c r="D905" s="67"/>
      <c r="E905" s="67"/>
      <c r="F905" s="67"/>
      <c r="G905" s="67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67"/>
      <c r="B906" s="67"/>
      <c r="C906" s="67"/>
      <c r="D906" s="67"/>
      <c r="E906" s="67"/>
      <c r="F906" s="67"/>
      <c r="G906" s="67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67"/>
      <c r="B907" s="67"/>
      <c r="C907" s="67"/>
      <c r="D907" s="67"/>
      <c r="E907" s="67"/>
      <c r="F907" s="67"/>
      <c r="G907" s="67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67"/>
      <c r="B908" s="67"/>
      <c r="C908" s="67"/>
      <c r="D908" s="67"/>
      <c r="E908" s="67"/>
      <c r="F908" s="67"/>
      <c r="G908" s="67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67"/>
      <c r="B909" s="67"/>
      <c r="C909" s="67"/>
      <c r="D909" s="67"/>
      <c r="E909" s="67"/>
      <c r="F909" s="67"/>
      <c r="G909" s="67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67"/>
      <c r="B910" s="67"/>
      <c r="C910" s="67"/>
      <c r="D910" s="67"/>
      <c r="E910" s="67"/>
      <c r="F910" s="67"/>
      <c r="G910" s="67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67"/>
      <c r="B911" s="67"/>
      <c r="C911" s="67"/>
      <c r="D911" s="67"/>
      <c r="E911" s="67"/>
      <c r="F911" s="67"/>
      <c r="G911" s="67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67"/>
      <c r="B912" s="67"/>
      <c r="C912" s="67"/>
      <c r="D912" s="67"/>
      <c r="E912" s="67"/>
      <c r="F912" s="67"/>
      <c r="G912" s="67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67"/>
      <c r="B913" s="67"/>
      <c r="C913" s="67"/>
      <c r="D913" s="67"/>
      <c r="E913" s="67"/>
      <c r="F913" s="67"/>
      <c r="G913" s="67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67"/>
      <c r="B914" s="67"/>
      <c r="C914" s="67"/>
      <c r="D914" s="67"/>
      <c r="E914" s="67"/>
      <c r="F914" s="67"/>
      <c r="G914" s="67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67"/>
      <c r="B915" s="67"/>
      <c r="C915" s="67"/>
      <c r="D915" s="67"/>
      <c r="E915" s="67"/>
      <c r="F915" s="67"/>
      <c r="G915" s="67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67"/>
      <c r="B916" s="67"/>
      <c r="C916" s="67"/>
      <c r="D916" s="67"/>
      <c r="E916" s="67"/>
      <c r="F916" s="67"/>
      <c r="G916" s="67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67"/>
      <c r="B917" s="67"/>
      <c r="C917" s="67"/>
      <c r="D917" s="67"/>
      <c r="E917" s="67"/>
      <c r="F917" s="67"/>
      <c r="G917" s="67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67"/>
      <c r="B918" s="67"/>
      <c r="C918" s="67"/>
      <c r="D918" s="67"/>
      <c r="E918" s="67"/>
      <c r="F918" s="67"/>
      <c r="G918" s="67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67"/>
      <c r="B919" s="67"/>
      <c r="C919" s="67"/>
      <c r="D919" s="67"/>
      <c r="E919" s="67"/>
      <c r="F919" s="67"/>
      <c r="G919" s="67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67"/>
      <c r="B920" s="67"/>
      <c r="C920" s="67"/>
      <c r="D920" s="67"/>
      <c r="E920" s="67"/>
      <c r="F920" s="67"/>
      <c r="G920" s="67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67"/>
      <c r="B921" s="67"/>
      <c r="C921" s="67"/>
      <c r="D921" s="67"/>
      <c r="E921" s="67"/>
      <c r="F921" s="67"/>
      <c r="G921" s="67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67"/>
      <c r="B922" s="67"/>
      <c r="C922" s="67"/>
      <c r="D922" s="67"/>
      <c r="E922" s="67"/>
      <c r="F922" s="67"/>
      <c r="G922" s="67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67"/>
      <c r="B923" s="67"/>
      <c r="C923" s="67"/>
      <c r="D923" s="67"/>
      <c r="E923" s="67"/>
      <c r="F923" s="67"/>
      <c r="G923" s="67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67"/>
      <c r="B924" s="67"/>
      <c r="C924" s="67"/>
      <c r="D924" s="67"/>
      <c r="E924" s="67"/>
      <c r="F924" s="67"/>
      <c r="G924" s="67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67"/>
      <c r="B925" s="67"/>
      <c r="C925" s="67"/>
      <c r="D925" s="67"/>
      <c r="E925" s="67"/>
      <c r="F925" s="67"/>
      <c r="G925" s="67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67"/>
      <c r="B926" s="67"/>
      <c r="C926" s="67"/>
      <c r="D926" s="67"/>
      <c r="E926" s="67"/>
      <c r="F926" s="67"/>
      <c r="G926" s="67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67"/>
      <c r="B927" s="67"/>
      <c r="C927" s="67"/>
      <c r="D927" s="67"/>
      <c r="E927" s="67"/>
      <c r="F927" s="67"/>
      <c r="G927" s="67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67"/>
      <c r="B928" s="67"/>
      <c r="C928" s="67"/>
      <c r="D928" s="67"/>
      <c r="E928" s="67"/>
      <c r="F928" s="67"/>
      <c r="G928" s="67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67"/>
      <c r="B929" s="67"/>
      <c r="C929" s="67"/>
      <c r="D929" s="67"/>
      <c r="E929" s="67"/>
      <c r="F929" s="67"/>
      <c r="G929" s="67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67"/>
      <c r="B930" s="67"/>
      <c r="C930" s="67"/>
      <c r="D930" s="67"/>
      <c r="E930" s="67"/>
      <c r="F930" s="67"/>
      <c r="G930" s="67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67"/>
      <c r="B931" s="67"/>
      <c r="C931" s="67"/>
      <c r="D931" s="67"/>
      <c r="E931" s="67"/>
      <c r="F931" s="67"/>
      <c r="G931" s="67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67"/>
      <c r="B932" s="67"/>
      <c r="C932" s="67"/>
      <c r="D932" s="67"/>
      <c r="E932" s="67"/>
      <c r="F932" s="67"/>
      <c r="G932" s="67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67"/>
      <c r="B933" s="67"/>
      <c r="C933" s="67"/>
      <c r="D933" s="67"/>
      <c r="E933" s="67"/>
      <c r="F933" s="67"/>
      <c r="G933" s="67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67"/>
      <c r="B934" s="67"/>
      <c r="C934" s="67"/>
      <c r="D934" s="67"/>
      <c r="E934" s="67"/>
      <c r="F934" s="67"/>
      <c r="G934" s="67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67"/>
      <c r="B935" s="67"/>
      <c r="C935" s="67"/>
      <c r="D935" s="67"/>
      <c r="E935" s="67"/>
      <c r="F935" s="67"/>
      <c r="G935" s="67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67"/>
      <c r="B936" s="67"/>
      <c r="C936" s="67"/>
      <c r="D936" s="67"/>
      <c r="E936" s="67"/>
      <c r="F936" s="67"/>
      <c r="G936" s="67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67"/>
      <c r="B937" s="67"/>
      <c r="C937" s="67"/>
      <c r="D937" s="67"/>
      <c r="E937" s="67"/>
      <c r="F937" s="67"/>
      <c r="G937" s="67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67"/>
      <c r="B938" s="67"/>
      <c r="C938" s="67"/>
      <c r="D938" s="67"/>
      <c r="E938" s="67"/>
      <c r="F938" s="67"/>
      <c r="G938" s="67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67"/>
      <c r="B939" s="67"/>
      <c r="C939" s="67"/>
      <c r="D939" s="67"/>
      <c r="E939" s="67"/>
      <c r="F939" s="67"/>
      <c r="G939" s="67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67"/>
      <c r="B940" s="67"/>
      <c r="C940" s="67"/>
      <c r="D940" s="67"/>
      <c r="E940" s="67"/>
      <c r="F940" s="67"/>
      <c r="G940" s="67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67"/>
      <c r="B941" s="67"/>
      <c r="C941" s="67"/>
      <c r="D941" s="67"/>
      <c r="E941" s="67"/>
      <c r="F941" s="67"/>
      <c r="G941" s="67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67"/>
      <c r="B942" s="67"/>
      <c r="C942" s="67"/>
      <c r="D942" s="67"/>
      <c r="E942" s="67"/>
      <c r="F942" s="67"/>
      <c r="G942" s="67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67"/>
      <c r="B943" s="67"/>
      <c r="C943" s="67"/>
      <c r="D943" s="67"/>
      <c r="E943" s="67"/>
      <c r="F943" s="67"/>
      <c r="G943" s="67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67"/>
      <c r="B944" s="67"/>
      <c r="C944" s="67"/>
      <c r="D944" s="67"/>
      <c r="E944" s="67"/>
      <c r="F944" s="67"/>
      <c r="G944" s="67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67"/>
      <c r="B945" s="67"/>
      <c r="C945" s="67"/>
      <c r="D945" s="67"/>
      <c r="E945" s="67"/>
      <c r="F945" s="67"/>
      <c r="G945" s="67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67"/>
      <c r="B946" s="67"/>
      <c r="C946" s="67"/>
      <c r="D946" s="67"/>
      <c r="E946" s="67"/>
      <c r="F946" s="67"/>
      <c r="G946" s="67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67"/>
      <c r="B947" s="67"/>
      <c r="C947" s="67"/>
      <c r="D947" s="67"/>
      <c r="E947" s="67"/>
      <c r="F947" s="67"/>
      <c r="G947" s="67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67"/>
      <c r="B948" s="67"/>
      <c r="C948" s="67"/>
      <c r="D948" s="67"/>
      <c r="E948" s="67"/>
      <c r="F948" s="67"/>
      <c r="G948" s="67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67"/>
      <c r="B949" s="67"/>
      <c r="C949" s="67"/>
      <c r="D949" s="67"/>
      <c r="E949" s="67"/>
      <c r="F949" s="67"/>
      <c r="G949" s="67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67"/>
      <c r="B950" s="67"/>
      <c r="C950" s="67"/>
      <c r="D950" s="67"/>
      <c r="E950" s="67"/>
      <c r="F950" s="67"/>
      <c r="G950" s="67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67"/>
      <c r="B951" s="67"/>
      <c r="C951" s="67"/>
      <c r="D951" s="67"/>
      <c r="E951" s="67"/>
      <c r="F951" s="67"/>
      <c r="G951" s="67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67"/>
      <c r="B952" s="67"/>
      <c r="C952" s="67"/>
      <c r="D952" s="67"/>
      <c r="E952" s="67"/>
      <c r="F952" s="67"/>
      <c r="G952" s="67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67"/>
      <c r="B953" s="67"/>
      <c r="C953" s="67"/>
      <c r="D953" s="67"/>
      <c r="E953" s="67"/>
      <c r="F953" s="67"/>
      <c r="G953" s="67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67"/>
      <c r="B954" s="67"/>
      <c r="C954" s="67"/>
      <c r="D954" s="67"/>
      <c r="E954" s="67"/>
      <c r="F954" s="67"/>
      <c r="G954" s="67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67"/>
      <c r="B955" s="67"/>
      <c r="C955" s="67"/>
      <c r="D955" s="67"/>
      <c r="E955" s="67"/>
      <c r="F955" s="67"/>
      <c r="G955" s="67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67"/>
      <c r="B956" s="67"/>
      <c r="C956" s="67"/>
      <c r="D956" s="67"/>
      <c r="E956" s="67"/>
      <c r="F956" s="67"/>
      <c r="G956" s="67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67"/>
      <c r="B957" s="67"/>
      <c r="C957" s="67"/>
      <c r="D957" s="67"/>
      <c r="E957" s="67"/>
      <c r="F957" s="67"/>
      <c r="G957" s="67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67"/>
      <c r="B958" s="67"/>
      <c r="C958" s="67"/>
      <c r="D958" s="67"/>
      <c r="E958" s="67"/>
      <c r="F958" s="67"/>
      <c r="G958" s="67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67"/>
      <c r="B959" s="67"/>
      <c r="C959" s="67"/>
      <c r="D959" s="67"/>
      <c r="E959" s="67"/>
      <c r="F959" s="67"/>
      <c r="G959" s="67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67"/>
      <c r="B960" s="67"/>
      <c r="C960" s="67"/>
      <c r="D960" s="67"/>
      <c r="E960" s="67"/>
      <c r="F960" s="67"/>
      <c r="G960" s="67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67"/>
      <c r="B961" s="67"/>
      <c r="C961" s="67"/>
      <c r="D961" s="67"/>
      <c r="E961" s="67"/>
      <c r="F961" s="67"/>
      <c r="G961" s="67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67"/>
      <c r="B962" s="67"/>
      <c r="C962" s="67"/>
      <c r="D962" s="67"/>
      <c r="E962" s="67"/>
      <c r="F962" s="67"/>
      <c r="G962" s="67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67"/>
      <c r="B963" s="67"/>
      <c r="C963" s="67"/>
      <c r="D963" s="67"/>
      <c r="E963" s="67"/>
      <c r="F963" s="67"/>
      <c r="G963" s="67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67"/>
      <c r="B964" s="67"/>
      <c r="C964" s="67"/>
      <c r="D964" s="67"/>
      <c r="E964" s="67"/>
      <c r="F964" s="67"/>
      <c r="G964" s="67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67"/>
      <c r="B965" s="67"/>
      <c r="C965" s="67"/>
      <c r="D965" s="67"/>
      <c r="E965" s="67"/>
      <c r="F965" s="67"/>
      <c r="G965" s="67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67"/>
      <c r="B966" s="67"/>
      <c r="C966" s="67"/>
      <c r="D966" s="67"/>
      <c r="E966" s="67"/>
      <c r="F966" s="67"/>
      <c r="G966" s="67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67"/>
      <c r="B967" s="67"/>
      <c r="C967" s="67"/>
      <c r="D967" s="67"/>
      <c r="E967" s="67"/>
      <c r="F967" s="67"/>
      <c r="G967" s="67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67"/>
      <c r="B968" s="67"/>
      <c r="C968" s="67"/>
      <c r="D968" s="67"/>
      <c r="E968" s="67"/>
      <c r="F968" s="67"/>
      <c r="G968" s="67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67"/>
      <c r="B969" s="67"/>
      <c r="C969" s="67"/>
      <c r="D969" s="67"/>
      <c r="E969" s="67"/>
      <c r="F969" s="67"/>
      <c r="G969" s="67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67"/>
      <c r="B970" s="67"/>
      <c r="C970" s="67"/>
      <c r="D970" s="67"/>
      <c r="E970" s="67"/>
      <c r="F970" s="67"/>
      <c r="G970" s="67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67"/>
      <c r="B971" s="67"/>
      <c r="C971" s="67"/>
      <c r="D971" s="67"/>
      <c r="E971" s="67"/>
      <c r="F971" s="67"/>
      <c r="G971" s="67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67"/>
      <c r="B972" s="67"/>
      <c r="C972" s="67"/>
      <c r="D972" s="67"/>
      <c r="E972" s="67"/>
      <c r="F972" s="67"/>
      <c r="G972" s="67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67"/>
      <c r="B973" s="67"/>
      <c r="C973" s="67"/>
      <c r="D973" s="67"/>
      <c r="E973" s="67"/>
      <c r="F973" s="67"/>
      <c r="G973" s="67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67"/>
      <c r="B974" s="67"/>
      <c r="C974" s="67"/>
      <c r="D974" s="67"/>
      <c r="E974" s="67"/>
      <c r="F974" s="67"/>
      <c r="G974" s="67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67"/>
      <c r="B975" s="67"/>
      <c r="C975" s="67"/>
      <c r="D975" s="67"/>
      <c r="E975" s="67"/>
      <c r="F975" s="67"/>
      <c r="G975" s="67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67"/>
      <c r="B976" s="67"/>
      <c r="C976" s="67"/>
      <c r="D976" s="67"/>
      <c r="E976" s="67"/>
      <c r="F976" s="67"/>
      <c r="G976" s="67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67"/>
      <c r="B977" s="67"/>
      <c r="C977" s="67"/>
      <c r="D977" s="67"/>
      <c r="E977" s="67"/>
      <c r="F977" s="67"/>
      <c r="G977" s="67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67"/>
      <c r="B978" s="67"/>
      <c r="C978" s="67"/>
      <c r="D978" s="67"/>
      <c r="E978" s="67"/>
      <c r="F978" s="67"/>
      <c r="G978" s="67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67"/>
      <c r="B979" s="67"/>
      <c r="C979" s="67"/>
      <c r="D979" s="67"/>
      <c r="E979" s="67"/>
      <c r="F979" s="67"/>
      <c r="G979" s="67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67"/>
      <c r="B980" s="67"/>
      <c r="C980" s="67"/>
      <c r="D980" s="67"/>
      <c r="E980" s="67"/>
      <c r="F980" s="67"/>
      <c r="G980" s="67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67"/>
      <c r="B981" s="67"/>
      <c r="C981" s="67"/>
      <c r="D981" s="67"/>
      <c r="E981" s="67"/>
      <c r="F981" s="67"/>
      <c r="G981" s="67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67"/>
      <c r="B982" s="67"/>
      <c r="C982" s="67"/>
      <c r="D982" s="67"/>
      <c r="E982" s="67"/>
      <c r="F982" s="67"/>
      <c r="G982" s="67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67"/>
      <c r="B983" s="67"/>
      <c r="C983" s="67"/>
      <c r="D983" s="67"/>
      <c r="E983" s="67"/>
      <c r="F983" s="67"/>
      <c r="G983" s="67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67"/>
      <c r="B984" s="67"/>
      <c r="C984" s="67"/>
      <c r="D984" s="67"/>
      <c r="E984" s="67"/>
      <c r="F984" s="67"/>
      <c r="G984" s="67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67"/>
      <c r="B985" s="67"/>
      <c r="C985" s="67"/>
      <c r="D985" s="67"/>
      <c r="E985" s="67"/>
      <c r="F985" s="67"/>
      <c r="G985" s="67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67"/>
      <c r="B986" s="67"/>
      <c r="C986" s="67"/>
      <c r="D986" s="67"/>
      <c r="E986" s="67"/>
      <c r="F986" s="67"/>
      <c r="G986" s="67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67"/>
      <c r="B987" s="67"/>
      <c r="C987" s="67"/>
      <c r="D987" s="67"/>
      <c r="E987" s="67"/>
      <c r="F987" s="67"/>
      <c r="G987" s="67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67"/>
      <c r="B988" s="67"/>
      <c r="C988" s="67"/>
      <c r="D988" s="67"/>
      <c r="E988" s="67"/>
      <c r="F988" s="67"/>
      <c r="G988" s="67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67"/>
      <c r="B989" s="67"/>
      <c r="C989" s="67"/>
      <c r="D989" s="67"/>
      <c r="E989" s="67"/>
      <c r="F989" s="67"/>
      <c r="G989" s="67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67"/>
      <c r="B990" s="67"/>
      <c r="C990" s="67"/>
      <c r="D990" s="67"/>
      <c r="E990" s="67"/>
      <c r="F990" s="67"/>
      <c r="G990" s="67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67"/>
      <c r="B991" s="67"/>
      <c r="C991" s="67"/>
      <c r="D991" s="67"/>
      <c r="E991" s="67"/>
      <c r="F991" s="67"/>
      <c r="G991" s="67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67"/>
      <c r="B992" s="67"/>
      <c r="C992" s="67"/>
      <c r="D992" s="67"/>
      <c r="E992" s="67"/>
      <c r="F992" s="67"/>
      <c r="G992" s="67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67"/>
      <c r="B993" s="67"/>
      <c r="C993" s="67"/>
      <c r="D993" s="67"/>
      <c r="E993" s="67"/>
      <c r="F993" s="67"/>
      <c r="G993" s="67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67"/>
      <c r="B994" s="67"/>
      <c r="C994" s="67"/>
      <c r="D994" s="67"/>
      <c r="E994" s="67"/>
      <c r="F994" s="67"/>
      <c r="G994" s="67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67"/>
      <c r="B995" s="67"/>
      <c r="C995" s="67"/>
      <c r="D995" s="67"/>
      <c r="E995" s="67"/>
      <c r="F995" s="67"/>
      <c r="G995" s="67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67"/>
      <c r="B996" s="67"/>
      <c r="C996" s="67"/>
      <c r="D996" s="67"/>
      <c r="E996" s="67"/>
      <c r="F996" s="67"/>
      <c r="G996" s="67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67"/>
      <c r="B997" s="67"/>
      <c r="C997" s="67"/>
      <c r="D997" s="67"/>
      <c r="E997" s="67"/>
      <c r="F997" s="67"/>
      <c r="G997" s="67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67"/>
      <c r="B998" s="67"/>
      <c r="C998" s="67"/>
      <c r="D998" s="67"/>
      <c r="E998" s="67"/>
      <c r="F998" s="67"/>
      <c r="G998" s="67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67"/>
      <c r="B999" s="67"/>
      <c r="C999" s="67"/>
      <c r="D999" s="67"/>
      <c r="E999" s="67"/>
      <c r="F999" s="67"/>
      <c r="G999" s="67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67"/>
      <c r="B1000" s="67"/>
      <c r="C1000" s="67"/>
      <c r="D1000" s="67"/>
      <c r="E1000" s="67"/>
      <c r="F1000" s="67"/>
      <c r="G1000" s="67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autoFilter ref="$B$4:$K$612">
    <filterColumn colId="7">
      <filters>
        <filter val="Fibrate"/>
        <filter val="Statin/Fibrate"/>
        <filter val="Omega-3"/>
      </filters>
    </filterColumn>
  </autoFilter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6.5"/>
    <col customWidth="1" min="3" max="3" width="22.88"/>
    <col customWidth="1" min="4" max="4" width="7.63"/>
    <col customWidth="1" min="5" max="5" width="14.13"/>
    <col customWidth="1" min="6" max="6" width="7.63"/>
    <col customWidth="1" min="7" max="7" width="12.75"/>
    <col customWidth="1" min="8" max="8" width="10.38"/>
    <col customWidth="1" min="9" max="10" width="7.63"/>
    <col customWidth="1" min="11" max="11" width="19.0"/>
    <col customWidth="1" min="12" max="16" width="7.63"/>
    <col customWidth="1" min="17" max="17" width="6.88"/>
    <col customWidth="1" min="18" max="18" width="80.25"/>
    <col customWidth="1" min="19" max="19" width="25.13"/>
    <col customWidth="1" min="20" max="20" width="7.63"/>
    <col customWidth="1" min="21" max="21" width="7.75"/>
    <col customWidth="1" min="22" max="22" width="12.38"/>
    <col customWidth="1" min="23" max="25" width="7.63"/>
    <col customWidth="1" min="26" max="26" width="18.5"/>
  </cols>
  <sheetData>
    <row r="1" ht="17.25" customHeight="1">
      <c r="A1" s="26"/>
      <c r="B1" s="27" t="s">
        <v>547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21.0" customHeight="1">
      <c r="A2" s="65"/>
      <c r="B2" s="8" t="s">
        <v>5431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7.25" customHeight="1"/>
    <row r="4" ht="17.25" customHeight="1"/>
    <row r="5" ht="17.25" customHeight="1">
      <c r="B5" s="48" t="s">
        <v>687</v>
      </c>
      <c r="C5" s="48" t="s">
        <v>688</v>
      </c>
      <c r="D5" s="48" t="s">
        <v>689</v>
      </c>
      <c r="E5" s="48" t="s">
        <v>690</v>
      </c>
      <c r="F5" s="48" t="s">
        <v>691</v>
      </c>
      <c r="G5" s="48" t="s">
        <v>1465</v>
      </c>
      <c r="H5" s="48" t="s">
        <v>1466</v>
      </c>
      <c r="I5" s="51" t="s">
        <v>5432</v>
      </c>
      <c r="J5" s="51" t="s">
        <v>5433</v>
      </c>
      <c r="K5" s="51" t="s">
        <v>555</v>
      </c>
      <c r="L5" s="51" t="s">
        <v>558</v>
      </c>
      <c r="M5" s="51" t="s">
        <v>1846</v>
      </c>
      <c r="N5" s="51" t="s">
        <v>1847</v>
      </c>
      <c r="Q5" s="69" t="s">
        <v>687</v>
      </c>
      <c r="R5" s="69" t="s">
        <v>688</v>
      </c>
      <c r="S5" s="69" t="s">
        <v>5434</v>
      </c>
      <c r="T5" s="69" t="s">
        <v>5435</v>
      </c>
      <c r="U5" s="69" t="s">
        <v>5436</v>
      </c>
      <c r="V5" s="69" t="s">
        <v>692</v>
      </c>
      <c r="X5" s="70" t="s">
        <v>692</v>
      </c>
      <c r="Y5" s="70" t="s">
        <v>5437</v>
      </c>
      <c r="Z5" s="70" t="s">
        <v>5438</v>
      </c>
    </row>
    <row r="6" ht="17.25" customHeight="1">
      <c r="B6" s="25" t="s">
        <v>576</v>
      </c>
      <c r="C6" s="25" t="s">
        <v>5439</v>
      </c>
      <c r="D6" s="25" t="s">
        <v>695</v>
      </c>
      <c r="E6" s="25" t="s">
        <v>5440</v>
      </c>
      <c r="F6" s="25" t="s">
        <v>695</v>
      </c>
      <c r="G6" s="25">
        <v>2.0900278971E8</v>
      </c>
      <c r="H6" s="25">
        <v>365316.22</v>
      </c>
      <c r="I6" s="26" t="s">
        <v>5441</v>
      </c>
      <c r="J6" s="26" t="s">
        <v>5442</v>
      </c>
      <c r="K6" s="26" t="str">
        <f t="shared" ref="K6:K1086" si="1">VLOOKUP(C6,$R$6:$V$195,5,FALSE)</f>
        <v>ARB</v>
      </c>
      <c r="L6" s="26" t="str">
        <f t="shared" ref="L6:L1086" si="2">VLOOKUP(C6,$R$6:$V$195,2,FALSE)</f>
        <v>Candesartan </v>
      </c>
      <c r="M6" s="26"/>
      <c r="Q6" s="69" t="s">
        <v>576</v>
      </c>
      <c r="R6" s="69" t="s">
        <v>5439</v>
      </c>
      <c r="S6" s="69" t="s">
        <v>5443</v>
      </c>
      <c r="T6" s="69" t="s">
        <v>5444</v>
      </c>
      <c r="U6" s="69" t="s">
        <v>5445</v>
      </c>
      <c r="V6" s="69" t="s">
        <v>5446</v>
      </c>
      <c r="X6" s="70" t="s">
        <v>5447</v>
      </c>
      <c r="Y6" s="70" t="s">
        <v>5448</v>
      </c>
      <c r="Z6" s="71" t="s">
        <v>5449</v>
      </c>
    </row>
    <row r="7" ht="17.25" customHeight="1">
      <c r="B7" s="25" t="s">
        <v>576</v>
      </c>
      <c r="C7" s="25" t="s">
        <v>5439</v>
      </c>
      <c r="D7" s="25" t="s">
        <v>742</v>
      </c>
      <c r="E7" s="25" t="s">
        <v>5450</v>
      </c>
      <c r="F7" s="25" t="s">
        <v>742</v>
      </c>
      <c r="G7" s="25">
        <v>6.359614475E7</v>
      </c>
      <c r="H7" s="25">
        <v>131617.73</v>
      </c>
      <c r="I7" s="26" t="s">
        <v>5441</v>
      </c>
      <c r="J7" s="26" t="s">
        <v>5442</v>
      </c>
      <c r="K7" s="26" t="str">
        <f t="shared" si="1"/>
        <v>ARB</v>
      </c>
      <c r="L7" s="26" t="str">
        <f t="shared" si="2"/>
        <v>Candesartan </v>
      </c>
      <c r="M7" s="26"/>
      <c r="Q7" s="69" t="s">
        <v>576</v>
      </c>
      <c r="R7" s="69" t="s">
        <v>5451</v>
      </c>
      <c r="S7" s="69" t="s">
        <v>5452</v>
      </c>
      <c r="T7" s="69" t="s">
        <v>5453</v>
      </c>
      <c r="U7" s="69" t="s">
        <v>5445</v>
      </c>
      <c r="V7" s="69" t="s">
        <v>5446</v>
      </c>
      <c r="X7" s="70" t="s">
        <v>5447</v>
      </c>
      <c r="Y7" s="70" t="s">
        <v>5454</v>
      </c>
      <c r="Z7" s="71" t="s">
        <v>5449</v>
      </c>
    </row>
    <row r="8" ht="17.25" customHeight="1">
      <c r="B8" s="25" t="s">
        <v>576</v>
      </c>
      <c r="C8" s="25" t="s">
        <v>5439</v>
      </c>
      <c r="D8" s="25" t="s">
        <v>744</v>
      </c>
      <c r="E8" s="25" t="s">
        <v>5455</v>
      </c>
      <c r="F8" s="25" t="s">
        <v>744</v>
      </c>
      <c r="G8" s="25">
        <v>1.68193809E7</v>
      </c>
      <c r="H8" s="25">
        <v>26697.43</v>
      </c>
      <c r="I8" s="26" t="s">
        <v>5441</v>
      </c>
      <c r="J8" s="26" t="s">
        <v>5442</v>
      </c>
      <c r="K8" s="26" t="str">
        <f t="shared" si="1"/>
        <v>ARB</v>
      </c>
      <c r="L8" s="26" t="str">
        <f t="shared" si="2"/>
        <v>Candesartan </v>
      </c>
      <c r="M8" s="26"/>
      <c r="Q8" s="69" t="s">
        <v>576</v>
      </c>
      <c r="R8" s="69" t="s">
        <v>5456</v>
      </c>
      <c r="S8" s="69" t="s">
        <v>5457</v>
      </c>
      <c r="T8" s="69" t="s">
        <v>5458</v>
      </c>
      <c r="U8" s="69" t="s">
        <v>5445</v>
      </c>
      <c r="V8" s="69" t="s">
        <v>5446</v>
      </c>
      <c r="X8" s="70" t="s">
        <v>5447</v>
      </c>
      <c r="Y8" s="70" t="s">
        <v>5459</v>
      </c>
      <c r="Z8" s="71" t="s">
        <v>5460</v>
      </c>
    </row>
    <row r="9" ht="17.25" customHeight="1">
      <c r="B9" s="25" t="s">
        <v>576</v>
      </c>
      <c r="C9" s="25" t="s">
        <v>5439</v>
      </c>
      <c r="D9" s="25" t="s">
        <v>699</v>
      </c>
      <c r="E9" s="25" t="s">
        <v>5461</v>
      </c>
      <c r="F9" s="25" t="s">
        <v>699</v>
      </c>
      <c r="G9" s="25">
        <v>4.2596915887E8</v>
      </c>
      <c r="H9" s="25">
        <v>969859.22</v>
      </c>
      <c r="I9" s="26" t="s">
        <v>5441</v>
      </c>
      <c r="J9" s="26" t="s">
        <v>5442</v>
      </c>
      <c r="K9" s="26" t="str">
        <f t="shared" si="1"/>
        <v>ARB</v>
      </c>
      <c r="L9" s="26" t="str">
        <f t="shared" si="2"/>
        <v>Candesartan </v>
      </c>
      <c r="M9" s="26"/>
      <c r="Q9" s="69" t="s">
        <v>576</v>
      </c>
      <c r="R9" s="69" t="s">
        <v>5462</v>
      </c>
      <c r="S9" s="69" t="s">
        <v>5463</v>
      </c>
      <c r="T9" s="69" t="s">
        <v>5464</v>
      </c>
      <c r="U9" s="69" t="s">
        <v>5445</v>
      </c>
      <c r="V9" s="69" t="s">
        <v>5446</v>
      </c>
      <c r="X9" s="70" t="s">
        <v>5447</v>
      </c>
      <c r="Y9" s="70" t="s">
        <v>5465</v>
      </c>
      <c r="Z9" s="71" t="s">
        <v>5466</v>
      </c>
    </row>
    <row r="10" ht="17.25" customHeight="1">
      <c r="B10" s="25" t="s">
        <v>576</v>
      </c>
      <c r="C10" s="25" t="s">
        <v>5439</v>
      </c>
      <c r="D10" s="25" t="s">
        <v>761</v>
      </c>
      <c r="E10" s="25" t="s">
        <v>5467</v>
      </c>
      <c r="F10" s="25" t="s">
        <v>761</v>
      </c>
      <c r="G10" s="25">
        <v>2.0641794999E8</v>
      </c>
      <c r="H10" s="25">
        <v>423550.72</v>
      </c>
      <c r="I10" s="26" t="s">
        <v>5441</v>
      </c>
      <c r="J10" s="26" t="s">
        <v>5442</v>
      </c>
      <c r="K10" s="26" t="str">
        <f t="shared" si="1"/>
        <v>ARB</v>
      </c>
      <c r="L10" s="26" t="str">
        <f t="shared" si="2"/>
        <v>Candesartan </v>
      </c>
      <c r="M10" s="26"/>
      <c r="Q10" s="69" t="s">
        <v>576</v>
      </c>
      <c r="R10" s="69" t="s">
        <v>5468</v>
      </c>
      <c r="S10" s="69" t="s">
        <v>5469</v>
      </c>
      <c r="T10" s="69" t="s">
        <v>5470</v>
      </c>
      <c r="U10" s="69" t="s">
        <v>5445</v>
      </c>
      <c r="V10" s="69" t="s">
        <v>5446</v>
      </c>
      <c r="X10" s="70" t="s">
        <v>5447</v>
      </c>
      <c r="Y10" s="70" t="s">
        <v>5471</v>
      </c>
      <c r="Z10" s="71" t="s">
        <v>5466</v>
      </c>
    </row>
    <row r="11" ht="17.25" customHeight="1">
      <c r="B11" s="25" t="s">
        <v>576</v>
      </c>
      <c r="C11" s="25" t="s">
        <v>5439</v>
      </c>
      <c r="D11" s="25" t="s">
        <v>774</v>
      </c>
      <c r="E11" s="25" t="s">
        <v>5472</v>
      </c>
      <c r="F11" s="25" t="s">
        <v>774</v>
      </c>
      <c r="G11" s="25">
        <v>1.33764818E7</v>
      </c>
      <c r="H11" s="25">
        <v>28434.02</v>
      </c>
      <c r="I11" s="26" t="s">
        <v>5441</v>
      </c>
      <c r="J11" s="26" t="s">
        <v>5442</v>
      </c>
      <c r="K11" s="26" t="str">
        <f t="shared" si="1"/>
        <v>ARB</v>
      </c>
      <c r="L11" s="26" t="str">
        <f t="shared" si="2"/>
        <v>Candesartan </v>
      </c>
      <c r="M11" s="26"/>
      <c r="Q11" s="69" t="s">
        <v>576</v>
      </c>
      <c r="R11" s="69" t="s">
        <v>5473</v>
      </c>
      <c r="S11" s="69" t="s">
        <v>5469</v>
      </c>
      <c r="T11" s="69" t="s">
        <v>5474</v>
      </c>
      <c r="U11" s="69" t="s">
        <v>5445</v>
      </c>
      <c r="V11" s="69" t="s">
        <v>5446</v>
      </c>
      <c r="X11" s="70" t="s">
        <v>5447</v>
      </c>
      <c r="Y11" s="70" t="s">
        <v>5475</v>
      </c>
      <c r="Z11" s="71" t="s">
        <v>5449</v>
      </c>
    </row>
    <row r="12" ht="17.25" customHeight="1">
      <c r="B12" s="25" t="s">
        <v>576</v>
      </c>
      <c r="C12" s="25" t="s">
        <v>5439</v>
      </c>
      <c r="D12" s="25" t="s">
        <v>776</v>
      </c>
      <c r="E12" s="25" t="s">
        <v>5476</v>
      </c>
      <c r="F12" s="25" t="s">
        <v>776</v>
      </c>
      <c r="G12" s="25">
        <v>1.952512065E7</v>
      </c>
      <c r="H12" s="25">
        <v>30992.26</v>
      </c>
      <c r="I12" s="26" t="s">
        <v>5441</v>
      </c>
      <c r="J12" s="26" t="s">
        <v>5442</v>
      </c>
      <c r="K12" s="26" t="str">
        <f t="shared" si="1"/>
        <v>ARB</v>
      </c>
      <c r="L12" s="26" t="str">
        <f t="shared" si="2"/>
        <v>Candesartan </v>
      </c>
      <c r="M12" s="26"/>
      <c r="Q12" s="69" t="s">
        <v>576</v>
      </c>
      <c r="R12" s="69" t="s">
        <v>5477</v>
      </c>
      <c r="S12" s="69" t="s">
        <v>5478</v>
      </c>
      <c r="T12" s="69" t="s">
        <v>5479</v>
      </c>
      <c r="U12" s="69" t="s">
        <v>5445</v>
      </c>
      <c r="V12" s="69" t="s">
        <v>5446</v>
      </c>
      <c r="X12" s="70" t="s">
        <v>5447</v>
      </c>
      <c r="Y12" s="70" t="s">
        <v>5480</v>
      </c>
      <c r="Z12" s="71" t="s">
        <v>5449</v>
      </c>
    </row>
    <row r="13" ht="17.25" customHeight="1">
      <c r="B13" s="25" t="s">
        <v>576</v>
      </c>
      <c r="C13" s="25" t="s">
        <v>5439</v>
      </c>
      <c r="D13" s="25" t="s">
        <v>5481</v>
      </c>
      <c r="E13" s="25" t="s">
        <v>5482</v>
      </c>
      <c r="F13" s="25" t="s">
        <v>5481</v>
      </c>
      <c r="G13" s="25">
        <v>7.591500726E7</v>
      </c>
      <c r="H13" s="25">
        <v>84537.87</v>
      </c>
      <c r="I13" s="26" t="s">
        <v>5441</v>
      </c>
      <c r="J13" s="26" t="s">
        <v>5442</v>
      </c>
      <c r="K13" s="26" t="str">
        <f t="shared" si="1"/>
        <v>ARB</v>
      </c>
      <c r="L13" s="26" t="str">
        <f t="shared" si="2"/>
        <v>Candesartan </v>
      </c>
      <c r="M13" s="26"/>
      <c r="Q13" s="69" t="s">
        <v>576</v>
      </c>
      <c r="R13" s="69" t="s">
        <v>5483</v>
      </c>
      <c r="S13" s="69" t="s">
        <v>5484</v>
      </c>
      <c r="T13" s="69" t="s">
        <v>5485</v>
      </c>
      <c r="U13" s="69" t="s">
        <v>5445</v>
      </c>
      <c r="V13" s="69" t="s">
        <v>5446</v>
      </c>
      <c r="X13" s="70" t="s">
        <v>5447</v>
      </c>
      <c r="Y13" s="70" t="s">
        <v>5486</v>
      </c>
      <c r="Z13" s="71" t="s">
        <v>5487</v>
      </c>
    </row>
    <row r="14" ht="17.25" customHeight="1">
      <c r="B14" s="25" t="s">
        <v>576</v>
      </c>
      <c r="C14" s="25" t="s">
        <v>5439</v>
      </c>
      <c r="D14" s="25" t="s">
        <v>5481</v>
      </c>
      <c r="E14" s="25" t="s">
        <v>5488</v>
      </c>
      <c r="F14" s="25" t="s">
        <v>701</v>
      </c>
      <c r="G14" s="25">
        <v>2.10723943687E9</v>
      </c>
      <c r="H14" s="25">
        <v>3640160.03</v>
      </c>
      <c r="I14" s="26" t="s">
        <v>5441</v>
      </c>
      <c r="J14" s="26" t="s">
        <v>5442</v>
      </c>
      <c r="K14" s="26" t="str">
        <f t="shared" si="1"/>
        <v>ARB</v>
      </c>
      <c r="L14" s="26" t="str">
        <f t="shared" si="2"/>
        <v>Candesartan </v>
      </c>
      <c r="M14" s="26"/>
      <c r="Q14" s="69" t="s">
        <v>576</v>
      </c>
      <c r="R14" s="69" t="s">
        <v>5489</v>
      </c>
      <c r="S14" s="69" t="s">
        <v>5490</v>
      </c>
      <c r="T14" s="69" t="s">
        <v>5491</v>
      </c>
      <c r="U14" s="69" t="s">
        <v>5445</v>
      </c>
      <c r="V14" s="69" t="s">
        <v>5446</v>
      </c>
      <c r="X14" s="70" t="s">
        <v>5447</v>
      </c>
      <c r="Y14" s="70" t="s">
        <v>5492</v>
      </c>
      <c r="Z14" s="71" t="s">
        <v>5449</v>
      </c>
    </row>
    <row r="15" ht="17.25" customHeight="1">
      <c r="B15" s="25" t="s">
        <v>576</v>
      </c>
      <c r="C15" s="25" t="s">
        <v>5439</v>
      </c>
      <c r="D15" s="25" t="s">
        <v>783</v>
      </c>
      <c r="E15" s="25" t="s">
        <v>5493</v>
      </c>
      <c r="F15" s="25" t="s">
        <v>783</v>
      </c>
      <c r="G15" s="25">
        <v>2.58154021E7</v>
      </c>
      <c r="H15" s="25">
        <v>45358.93</v>
      </c>
      <c r="I15" s="26" t="s">
        <v>5441</v>
      </c>
      <c r="J15" s="26" t="s">
        <v>5442</v>
      </c>
      <c r="K15" s="26" t="str">
        <f t="shared" si="1"/>
        <v>ARB</v>
      </c>
      <c r="L15" s="26" t="str">
        <f t="shared" si="2"/>
        <v>Candesartan </v>
      </c>
      <c r="M15" s="26"/>
      <c r="Q15" s="69" t="s">
        <v>576</v>
      </c>
      <c r="R15" s="69" t="s">
        <v>5494</v>
      </c>
      <c r="S15" s="69" t="s">
        <v>5495</v>
      </c>
      <c r="T15" s="69" t="s">
        <v>5496</v>
      </c>
      <c r="U15" s="69" t="s">
        <v>5445</v>
      </c>
      <c r="V15" s="69" t="s">
        <v>5446</v>
      </c>
      <c r="X15" s="70" t="s">
        <v>5447</v>
      </c>
      <c r="Y15" s="70" t="s">
        <v>5497</v>
      </c>
      <c r="Z15" s="71" t="s">
        <v>5449</v>
      </c>
    </row>
    <row r="16" ht="17.25" customHeight="1">
      <c r="B16" s="25" t="s">
        <v>576</v>
      </c>
      <c r="C16" s="25" t="s">
        <v>5439</v>
      </c>
      <c r="D16" s="25" t="s">
        <v>708</v>
      </c>
      <c r="E16" s="25" t="s">
        <v>5498</v>
      </c>
      <c r="F16" s="25" t="s">
        <v>708</v>
      </c>
      <c r="G16" s="25">
        <v>1.8520709353E8</v>
      </c>
      <c r="H16" s="25">
        <v>344178.24</v>
      </c>
      <c r="I16" s="26" t="s">
        <v>5441</v>
      </c>
      <c r="J16" s="26" t="s">
        <v>5442</v>
      </c>
      <c r="K16" s="26" t="str">
        <f t="shared" si="1"/>
        <v>ARB</v>
      </c>
      <c r="L16" s="26" t="str">
        <f t="shared" si="2"/>
        <v>Candesartan </v>
      </c>
      <c r="M16" s="26"/>
      <c r="Q16" s="69" t="s">
        <v>589</v>
      </c>
      <c r="R16" s="69" t="s">
        <v>5499</v>
      </c>
      <c r="S16" s="69" t="s">
        <v>5500</v>
      </c>
      <c r="T16" s="69" t="s">
        <v>5501</v>
      </c>
      <c r="U16" s="69" t="s">
        <v>5502</v>
      </c>
      <c r="V16" s="69" t="s">
        <v>5503</v>
      </c>
      <c r="X16" s="70" t="s">
        <v>5447</v>
      </c>
      <c r="Y16" s="70" t="s">
        <v>5504</v>
      </c>
      <c r="Z16" s="71" t="s">
        <v>5487</v>
      </c>
    </row>
    <row r="17" ht="17.25" customHeight="1">
      <c r="B17" s="25" t="s">
        <v>576</v>
      </c>
      <c r="C17" s="25" t="s">
        <v>5439</v>
      </c>
      <c r="D17" s="25" t="s">
        <v>796</v>
      </c>
      <c r="E17" s="25" t="s">
        <v>5505</v>
      </c>
      <c r="F17" s="25" t="s">
        <v>796</v>
      </c>
      <c r="G17" s="25">
        <v>2.69266338E7</v>
      </c>
      <c r="H17" s="25">
        <v>49072.17</v>
      </c>
      <c r="I17" s="26" t="s">
        <v>5441</v>
      </c>
      <c r="J17" s="26" t="s">
        <v>5442</v>
      </c>
      <c r="K17" s="26" t="str">
        <f t="shared" si="1"/>
        <v>ARB</v>
      </c>
      <c r="L17" s="26" t="str">
        <f t="shared" si="2"/>
        <v>Candesartan </v>
      </c>
      <c r="M17" s="26"/>
      <c r="Q17" s="69" t="s">
        <v>589</v>
      </c>
      <c r="R17" s="69" t="s">
        <v>5506</v>
      </c>
      <c r="S17" s="69" t="s">
        <v>5507</v>
      </c>
      <c r="T17" s="69" t="s">
        <v>5508</v>
      </c>
      <c r="U17" s="69" t="s">
        <v>5502</v>
      </c>
      <c r="V17" s="69" t="s">
        <v>5503</v>
      </c>
      <c r="X17" s="70" t="s">
        <v>5447</v>
      </c>
      <c r="Y17" s="70" t="s">
        <v>5509</v>
      </c>
      <c r="Z17" s="71" t="s">
        <v>5449</v>
      </c>
    </row>
    <row r="18" ht="17.25" customHeight="1">
      <c r="B18" s="25" t="s">
        <v>576</v>
      </c>
      <c r="C18" s="25" t="s">
        <v>5439</v>
      </c>
      <c r="D18" s="25" t="s">
        <v>810</v>
      </c>
      <c r="E18" s="25" t="s">
        <v>5510</v>
      </c>
      <c r="F18" s="25" t="s">
        <v>810</v>
      </c>
      <c r="G18" s="25">
        <v>7.8924005338E8</v>
      </c>
      <c r="H18" s="25">
        <v>1430453.96</v>
      </c>
      <c r="I18" s="26" t="s">
        <v>5441</v>
      </c>
      <c r="J18" s="26" t="s">
        <v>5442</v>
      </c>
      <c r="K18" s="26" t="str">
        <f t="shared" si="1"/>
        <v>ARB</v>
      </c>
      <c r="L18" s="26" t="str">
        <f t="shared" si="2"/>
        <v>Candesartan </v>
      </c>
      <c r="M18" s="26"/>
      <c r="Q18" s="69" t="s">
        <v>589</v>
      </c>
      <c r="R18" s="69" t="s">
        <v>5511</v>
      </c>
      <c r="S18" s="69" t="s">
        <v>5512</v>
      </c>
      <c r="T18" s="69" t="s">
        <v>5513</v>
      </c>
      <c r="U18" s="69" t="s">
        <v>5502</v>
      </c>
      <c r="V18" s="69" t="s">
        <v>5503</v>
      </c>
      <c r="X18" s="70" t="s">
        <v>5447</v>
      </c>
      <c r="Y18" s="70" t="s">
        <v>5514</v>
      </c>
      <c r="Z18" s="71" t="s">
        <v>5515</v>
      </c>
    </row>
    <row r="19" ht="17.25" customHeight="1">
      <c r="B19" s="25" t="s">
        <v>576</v>
      </c>
      <c r="C19" s="25" t="s">
        <v>5439</v>
      </c>
      <c r="D19" s="25" t="s">
        <v>814</v>
      </c>
      <c r="E19" s="25" t="s">
        <v>5516</v>
      </c>
      <c r="F19" s="25" t="s">
        <v>814</v>
      </c>
      <c r="G19" s="25">
        <v>1.1386509311E8</v>
      </c>
      <c r="H19" s="25">
        <v>222635.01</v>
      </c>
      <c r="I19" s="26" t="s">
        <v>5441</v>
      </c>
      <c r="J19" s="26" t="s">
        <v>5442</v>
      </c>
      <c r="K19" s="26" t="str">
        <f t="shared" si="1"/>
        <v>ARB</v>
      </c>
      <c r="L19" s="26" t="str">
        <f t="shared" si="2"/>
        <v>Candesartan </v>
      </c>
      <c r="M19" s="26"/>
      <c r="Q19" s="69" t="s">
        <v>589</v>
      </c>
      <c r="R19" s="69" t="s">
        <v>5517</v>
      </c>
      <c r="S19" s="69" t="s">
        <v>5518</v>
      </c>
      <c r="T19" s="69" t="s">
        <v>5519</v>
      </c>
      <c r="U19" s="69" t="s">
        <v>5502</v>
      </c>
      <c r="V19" s="69" t="s">
        <v>5503</v>
      </c>
      <c r="X19" s="70" t="s">
        <v>5447</v>
      </c>
      <c r="Y19" s="70" t="s">
        <v>5520</v>
      </c>
      <c r="Z19" s="71" t="s">
        <v>5487</v>
      </c>
    </row>
    <row r="20" ht="17.25" customHeight="1">
      <c r="B20" s="25" t="s">
        <v>576</v>
      </c>
      <c r="C20" s="25" t="s">
        <v>5439</v>
      </c>
      <c r="D20" s="25" t="s">
        <v>826</v>
      </c>
      <c r="E20" s="25" t="s">
        <v>5521</v>
      </c>
      <c r="F20" s="25" t="s">
        <v>826</v>
      </c>
      <c r="G20" s="25">
        <v>4.5021927099E8</v>
      </c>
      <c r="H20" s="25">
        <v>882436.93</v>
      </c>
      <c r="I20" s="26" t="s">
        <v>5441</v>
      </c>
      <c r="J20" s="26" t="s">
        <v>5442</v>
      </c>
      <c r="K20" s="26" t="str">
        <f t="shared" si="1"/>
        <v>ARB</v>
      </c>
      <c r="L20" s="26" t="str">
        <f t="shared" si="2"/>
        <v>Candesartan </v>
      </c>
      <c r="M20" s="26"/>
      <c r="Q20" s="69" t="s">
        <v>589</v>
      </c>
      <c r="R20" s="69" t="s">
        <v>5522</v>
      </c>
      <c r="S20" s="69" t="s">
        <v>5523</v>
      </c>
      <c r="T20" s="69" t="s">
        <v>5524</v>
      </c>
      <c r="U20" s="69" t="s">
        <v>5502</v>
      </c>
      <c r="V20" s="69" t="s">
        <v>5503</v>
      </c>
      <c r="X20" s="70" t="s">
        <v>5447</v>
      </c>
      <c r="Y20" s="70" t="s">
        <v>5525</v>
      </c>
      <c r="Z20" s="71" t="s">
        <v>5515</v>
      </c>
    </row>
    <row r="21" ht="17.25" customHeight="1">
      <c r="B21" s="25" t="s">
        <v>576</v>
      </c>
      <c r="C21" s="25" t="s">
        <v>5439</v>
      </c>
      <c r="D21" s="25" t="s">
        <v>834</v>
      </c>
      <c r="E21" s="25" t="s">
        <v>5526</v>
      </c>
      <c r="F21" s="25" t="s">
        <v>834</v>
      </c>
      <c r="G21" s="25">
        <v>2.3242185816E8</v>
      </c>
      <c r="H21" s="25">
        <v>360163.15</v>
      </c>
      <c r="I21" s="26" t="s">
        <v>5441</v>
      </c>
      <c r="J21" s="26" t="s">
        <v>5442</v>
      </c>
      <c r="K21" s="26" t="str">
        <f t="shared" si="1"/>
        <v>ARB</v>
      </c>
      <c r="L21" s="26" t="str">
        <f t="shared" si="2"/>
        <v>Candesartan </v>
      </c>
      <c r="M21" s="26"/>
      <c r="Q21" s="69" t="s">
        <v>589</v>
      </c>
      <c r="R21" s="69" t="s">
        <v>5527</v>
      </c>
      <c r="S21" s="69" t="s">
        <v>5528</v>
      </c>
      <c r="T21" s="69" t="s">
        <v>5529</v>
      </c>
      <c r="U21" s="69" t="s">
        <v>5502</v>
      </c>
      <c r="V21" s="69" t="s">
        <v>5503</v>
      </c>
      <c r="X21" s="70" t="s">
        <v>5447</v>
      </c>
      <c r="Y21" s="70" t="s">
        <v>5530</v>
      </c>
      <c r="Z21" s="71" t="s">
        <v>5515</v>
      </c>
    </row>
    <row r="22" ht="17.25" customHeight="1">
      <c r="B22" s="25" t="s">
        <v>576</v>
      </c>
      <c r="C22" s="25" t="s">
        <v>5439</v>
      </c>
      <c r="D22" s="25" t="s">
        <v>850</v>
      </c>
      <c r="E22" s="25" t="s">
        <v>5531</v>
      </c>
      <c r="F22" s="25" t="s">
        <v>850</v>
      </c>
      <c r="G22" s="25">
        <v>9.360071148E7</v>
      </c>
      <c r="H22" s="25">
        <v>164055.73</v>
      </c>
      <c r="I22" s="26" t="s">
        <v>5441</v>
      </c>
      <c r="J22" s="26" t="s">
        <v>5442</v>
      </c>
      <c r="K22" s="26" t="str">
        <f t="shared" si="1"/>
        <v>ARB</v>
      </c>
      <c r="L22" s="26" t="str">
        <f t="shared" si="2"/>
        <v>Candesartan </v>
      </c>
      <c r="M22" s="26"/>
      <c r="Q22" s="69" t="s">
        <v>589</v>
      </c>
      <c r="R22" s="69" t="s">
        <v>5532</v>
      </c>
      <c r="S22" s="69" t="s">
        <v>5533</v>
      </c>
      <c r="T22" s="69" t="s">
        <v>5534</v>
      </c>
      <c r="U22" s="69" t="s">
        <v>5502</v>
      </c>
      <c r="V22" s="69" t="s">
        <v>5503</v>
      </c>
      <c r="X22" s="70" t="s">
        <v>5447</v>
      </c>
      <c r="Y22" s="70" t="s">
        <v>5535</v>
      </c>
      <c r="Z22" s="71" t="s">
        <v>5466</v>
      </c>
    </row>
    <row r="23" ht="17.25" customHeight="1">
      <c r="B23" s="25" t="s">
        <v>576</v>
      </c>
      <c r="C23" s="25" t="s">
        <v>5439</v>
      </c>
      <c r="D23" s="25" t="s">
        <v>1040</v>
      </c>
      <c r="E23" s="25" t="s">
        <v>5536</v>
      </c>
      <c r="F23" s="25" t="s">
        <v>1040</v>
      </c>
      <c r="G23" s="25">
        <v>4.959838728E7</v>
      </c>
      <c r="H23" s="25">
        <v>87405.3</v>
      </c>
      <c r="I23" s="26" t="s">
        <v>5441</v>
      </c>
      <c r="J23" s="26" t="s">
        <v>5442</v>
      </c>
      <c r="K23" s="26" t="str">
        <f t="shared" si="1"/>
        <v>ARB</v>
      </c>
      <c r="L23" s="26" t="str">
        <f t="shared" si="2"/>
        <v>Candesartan </v>
      </c>
      <c r="M23" s="26"/>
      <c r="Q23" s="69" t="s">
        <v>589</v>
      </c>
      <c r="R23" s="69" t="s">
        <v>5537</v>
      </c>
      <c r="S23" s="69" t="s">
        <v>5538</v>
      </c>
      <c r="T23" s="69" t="s">
        <v>5539</v>
      </c>
      <c r="U23" s="69" t="s">
        <v>5502</v>
      </c>
      <c r="V23" s="69" t="s">
        <v>5503</v>
      </c>
      <c r="X23" s="70" t="s">
        <v>5447</v>
      </c>
      <c r="Y23" s="70" t="s">
        <v>5540</v>
      </c>
      <c r="Z23" s="71" t="s">
        <v>5541</v>
      </c>
    </row>
    <row r="24" ht="17.25" customHeight="1">
      <c r="B24" s="25" t="s">
        <v>576</v>
      </c>
      <c r="C24" s="25" t="s">
        <v>5439</v>
      </c>
      <c r="D24" s="25" t="s">
        <v>874</v>
      </c>
      <c r="E24" s="25" t="s">
        <v>5542</v>
      </c>
      <c r="F24" s="25" t="s">
        <v>874</v>
      </c>
      <c r="G24" s="25">
        <v>5217078.3</v>
      </c>
      <c r="H24" s="25">
        <v>10541.4</v>
      </c>
      <c r="I24" s="26" t="s">
        <v>5441</v>
      </c>
      <c r="J24" s="26" t="s">
        <v>5442</v>
      </c>
      <c r="K24" s="26" t="str">
        <f t="shared" si="1"/>
        <v>ARB</v>
      </c>
      <c r="L24" s="26" t="str">
        <f t="shared" si="2"/>
        <v>Candesartan </v>
      </c>
      <c r="M24" s="26"/>
      <c r="Q24" s="69" t="s">
        <v>589</v>
      </c>
      <c r="R24" s="69" t="s">
        <v>5543</v>
      </c>
      <c r="S24" s="69" t="s">
        <v>5544</v>
      </c>
      <c r="T24" s="69" t="s">
        <v>5545</v>
      </c>
      <c r="U24" s="69" t="s">
        <v>5502</v>
      </c>
      <c r="V24" s="69" t="s">
        <v>5503</v>
      </c>
      <c r="X24" s="70" t="s">
        <v>5447</v>
      </c>
      <c r="Y24" s="70" t="s">
        <v>5546</v>
      </c>
      <c r="Z24" s="71" t="s">
        <v>5515</v>
      </c>
    </row>
    <row r="25" ht="17.25" customHeight="1">
      <c r="B25" s="25" t="s">
        <v>576</v>
      </c>
      <c r="C25" s="25" t="s">
        <v>5439</v>
      </c>
      <c r="D25" s="25" t="s">
        <v>880</v>
      </c>
      <c r="E25" s="25" t="s">
        <v>5547</v>
      </c>
      <c r="F25" s="25" t="s">
        <v>880</v>
      </c>
      <c r="G25" s="25">
        <v>1.08517611228E9</v>
      </c>
      <c r="H25" s="25">
        <v>1975933.62</v>
      </c>
      <c r="I25" s="26" t="s">
        <v>5441</v>
      </c>
      <c r="J25" s="26" t="s">
        <v>5442</v>
      </c>
      <c r="K25" s="26" t="str">
        <f t="shared" si="1"/>
        <v>ARB</v>
      </c>
      <c r="L25" s="26" t="str">
        <f t="shared" si="2"/>
        <v>Candesartan </v>
      </c>
      <c r="M25" s="26"/>
      <c r="Q25" s="69" t="s">
        <v>589</v>
      </c>
      <c r="R25" s="69" t="s">
        <v>5548</v>
      </c>
      <c r="S25" s="69" t="s">
        <v>5549</v>
      </c>
      <c r="T25" s="69" t="s">
        <v>5550</v>
      </c>
      <c r="U25" s="69" t="s">
        <v>5502</v>
      </c>
      <c r="V25" s="69" t="s">
        <v>5503</v>
      </c>
      <c r="X25" s="70" t="s">
        <v>5447</v>
      </c>
      <c r="Y25" s="70" t="s">
        <v>5551</v>
      </c>
      <c r="Z25" s="71" t="s">
        <v>5552</v>
      </c>
    </row>
    <row r="26" ht="17.25" customHeight="1">
      <c r="B26" s="25" t="s">
        <v>576</v>
      </c>
      <c r="C26" s="25" t="s">
        <v>5439</v>
      </c>
      <c r="D26" s="25" t="s">
        <v>898</v>
      </c>
      <c r="E26" s="25" t="s">
        <v>5553</v>
      </c>
      <c r="F26" s="25" t="s">
        <v>898</v>
      </c>
      <c r="G26" s="25">
        <v>2.1265363E7</v>
      </c>
      <c r="H26" s="25">
        <v>30379.09</v>
      </c>
      <c r="I26" s="26" t="s">
        <v>5441</v>
      </c>
      <c r="J26" s="26" t="s">
        <v>5442</v>
      </c>
      <c r="K26" s="26" t="str">
        <f t="shared" si="1"/>
        <v>ARB</v>
      </c>
      <c r="L26" s="26" t="str">
        <f t="shared" si="2"/>
        <v>Candesartan </v>
      </c>
      <c r="M26" s="26"/>
      <c r="Q26" s="69" t="s">
        <v>598</v>
      </c>
      <c r="R26" s="69" t="s">
        <v>5554</v>
      </c>
      <c r="S26" s="69" t="s">
        <v>5555</v>
      </c>
      <c r="T26" s="69" t="s">
        <v>5556</v>
      </c>
      <c r="U26" s="69" t="s">
        <v>5502</v>
      </c>
      <c r="V26" s="69" t="s">
        <v>5557</v>
      </c>
      <c r="X26" s="70" t="s">
        <v>5447</v>
      </c>
      <c r="Y26" s="70" t="s">
        <v>5558</v>
      </c>
      <c r="Z26" s="71" t="s">
        <v>5552</v>
      </c>
    </row>
    <row r="27" ht="17.25" customHeight="1">
      <c r="B27" s="25" t="s">
        <v>576</v>
      </c>
      <c r="C27" s="25" t="s">
        <v>5439</v>
      </c>
      <c r="D27" s="25" t="s">
        <v>717</v>
      </c>
      <c r="E27" s="25" t="s">
        <v>5559</v>
      </c>
      <c r="F27" s="25" t="s">
        <v>717</v>
      </c>
      <c r="G27" s="25">
        <v>2.4752052648E8</v>
      </c>
      <c r="H27" s="25">
        <v>423979.55</v>
      </c>
      <c r="I27" s="26" t="s">
        <v>5441</v>
      </c>
      <c r="J27" s="26" t="s">
        <v>5442</v>
      </c>
      <c r="K27" s="26" t="str">
        <f t="shared" si="1"/>
        <v>ARB</v>
      </c>
      <c r="L27" s="26" t="str">
        <f t="shared" si="2"/>
        <v>Candesartan </v>
      </c>
      <c r="M27" s="26"/>
      <c r="Q27" s="69" t="s">
        <v>598</v>
      </c>
      <c r="R27" s="69" t="s">
        <v>5560</v>
      </c>
      <c r="S27" s="69" t="s">
        <v>5561</v>
      </c>
      <c r="T27" s="69" t="s">
        <v>5562</v>
      </c>
      <c r="U27" s="69" t="s">
        <v>5502</v>
      </c>
      <c r="V27" s="69" t="s">
        <v>5557</v>
      </c>
      <c r="X27" s="70" t="s">
        <v>5447</v>
      </c>
      <c r="Y27" s="70" t="s">
        <v>5563</v>
      </c>
      <c r="Z27" s="71" t="s">
        <v>5515</v>
      </c>
    </row>
    <row r="28" ht="17.25" customHeight="1">
      <c r="B28" s="25" t="s">
        <v>576</v>
      </c>
      <c r="C28" s="25" t="s">
        <v>5439</v>
      </c>
      <c r="D28" s="25" t="s">
        <v>917</v>
      </c>
      <c r="E28" s="25" t="s">
        <v>5564</v>
      </c>
      <c r="F28" s="25" t="s">
        <v>917</v>
      </c>
      <c r="G28" s="25">
        <v>5.56877104E7</v>
      </c>
      <c r="H28" s="25">
        <v>103810.5</v>
      </c>
      <c r="I28" s="26" t="s">
        <v>5441</v>
      </c>
      <c r="J28" s="26" t="s">
        <v>5442</v>
      </c>
      <c r="K28" s="26" t="str">
        <f t="shared" si="1"/>
        <v>ARB</v>
      </c>
      <c r="L28" s="26" t="str">
        <f t="shared" si="2"/>
        <v>Candesartan </v>
      </c>
      <c r="M28" s="26"/>
      <c r="Q28" s="69" t="s">
        <v>598</v>
      </c>
      <c r="R28" s="69" t="s">
        <v>5565</v>
      </c>
      <c r="S28" s="69" t="s">
        <v>5566</v>
      </c>
      <c r="T28" s="69" t="s">
        <v>5567</v>
      </c>
      <c r="U28" s="69" t="s">
        <v>5502</v>
      </c>
      <c r="V28" s="69" t="s">
        <v>5557</v>
      </c>
      <c r="X28" s="70" t="s">
        <v>5447</v>
      </c>
      <c r="Y28" s="70" t="s">
        <v>5568</v>
      </c>
      <c r="Z28" s="71" t="s">
        <v>5515</v>
      </c>
    </row>
    <row r="29" ht="17.25" customHeight="1">
      <c r="B29" s="25" t="s">
        <v>576</v>
      </c>
      <c r="C29" s="25" t="s">
        <v>5439</v>
      </c>
      <c r="D29" s="25" t="s">
        <v>931</v>
      </c>
      <c r="E29" s="25" t="s">
        <v>5569</v>
      </c>
      <c r="F29" s="25" t="s">
        <v>931</v>
      </c>
      <c r="G29" s="25">
        <v>1.57472835E7</v>
      </c>
      <c r="H29" s="25">
        <v>33897.87</v>
      </c>
      <c r="I29" s="26" t="s">
        <v>5441</v>
      </c>
      <c r="J29" s="26" t="s">
        <v>5442</v>
      </c>
      <c r="K29" s="26" t="str">
        <f t="shared" si="1"/>
        <v>ARB</v>
      </c>
      <c r="L29" s="26" t="str">
        <f t="shared" si="2"/>
        <v>Candesartan </v>
      </c>
      <c r="M29" s="26"/>
      <c r="Q29" s="69" t="s">
        <v>598</v>
      </c>
      <c r="R29" s="69" t="s">
        <v>5570</v>
      </c>
      <c r="S29" s="69" t="s">
        <v>5566</v>
      </c>
      <c r="T29" s="69" t="s">
        <v>5571</v>
      </c>
      <c r="U29" s="69" t="s">
        <v>5502</v>
      </c>
      <c r="V29" s="69" t="s">
        <v>5557</v>
      </c>
      <c r="X29" s="70" t="s">
        <v>5447</v>
      </c>
      <c r="Y29" s="70" t="s">
        <v>5572</v>
      </c>
      <c r="Z29" s="71" t="s">
        <v>5515</v>
      </c>
    </row>
    <row r="30" ht="17.25" customHeight="1">
      <c r="B30" s="25" t="s">
        <v>576</v>
      </c>
      <c r="C30" s="25" t="s">
        <v>5439</v>
      </c>
      <c r="D30" s="25" t="s">
        <v>736</v>
      </c>
      <c r="E30" s="25" t="s">
        <v>5573</v>
      </c>
      <c r="F30" s="25" t="s">
        <v>736</v>
      </c>
      <c r="G30" s="25">
        <v>1.0645289559E8</v>
      </c>
      <c r="H30" s="25">
        <v>218025.6</v>
      </c>
      <c r="I30" s="26" t="s">
        <v>5441</v>
      </c>
      <c r="J30" s="26" t="s">
        <v>5442</v>
      </c>
      <c r="K30" s="26" t="str">
        <f t="shared" si="1"/>
        <v>ARB</v>
      </c>
      <c r="L30" s="26" t="str">
        <f t="shared" si="2"/>
        <v>Candesartan </v>
      </c>
      <c r="M30" s="26"/>
      <c r="Q30" s="69" t="s">
        <v>598</v>
      </c>
      <c r="R30" s="69" t="s">
        <v>5574</v>
      </c>
      <c r="S30" s="69" t="s">
        <v>5575</v>
      </c>
      <c r="T30" s="69" t="s">
        <v>5576</v>
      </c>
      <c r="U30" s="69" t="s">
        <v>5502</v>
      </c>
      <c r="V30" s="69" t="s">
        <v>5557</v>
      </c>
      <c r="X30" s="70" t="s">
        <v>5447</v>
      </c>
      <c r="Y30" s="70" t="s">
        <v>5577</v>
      </c>
      <c r="Z30" s="71" t="s">
        <v>5515</v>
      </c>
    </row>
    <row r="31" ht="17.25" customHeight="1">
      <c r="B31" s="25" t="s">
        <v>576</v>
      </c>
      <c r="C31" s="25" t="s">
        <v>5451</v>
      </c>
      <c r="D31" s="25" t="s">
        <v>1445</v>
      </c>
      <c r="E31" s="25" t="s">
        <v>5578</v>
      </c>
      <c r="F31" s="25" t="s">
        <v>1445</v>
      </c>
      <c r="G31" s="25">
        <v>8.188557943E7</v>
      </c>
      <c r="H31" s="25">
        <v>104312.87</v>
      </c>
      <c r="I31" s="26" t="s">
        <v>5441</v>
      </c>
      <c r="J31" s="26" t="s">
        <v>5442</v>
      </c>
      <c r="K31" s="26" t="str">
        <f t="shared" si="1"/>
        <v>ARB</v>
      </c>
      <c r="L31" s="26" t="str">
        <f t="shared" si="2"/>
        <v>Eprosartan</v>
      </c>
      <c r="M31" s="26"/>
      <c r="Q31" s="69" t="s">
        <v>598</v>
      </c>
      <c r="R31" s="69" t="s">
        <v>5579</v>
      </c>
      <c r="S31" s="69" t="s">
        <v>5580</v>
      </c>
      <c r="T31" s="69" t="s">
        <v>5581</v>
      </c>
      <c r="U31" s="69" t="s">
        <v>5502</v>
      </c>
      <c r="V31" s="69" t="s">
        <v>5557</v>
      </c>
    </row>
    <row r="32" ht="17.25" customHeight="1">
      <c r="B32" s="25" t="s">
        <v>576</v>
      </c>
      <c r="C32" s="25" t="s">
        <v>5456</v>
      </c>
      <c r="D32" s="25" t="s">
        <v>761</v>
      </c>
      <c r="E32" s="25" t="s">
        <v>5582</v>
      </c>
      <c r="F32" s="25" t="s">
        <v>761</v>
      </c>
      <c r="G32" s="25">
        <v>9658025.72</v>
      </c>
      <c r="H32" s="25">
        <v>41242.86</v>
      </c>
      <c r="I32" s="26" t="s">
        <v>5441</v>
      </c>
      <c r="J32" s="26" t="s">
        <v>5442</v>
      </c>
      <c r="K32" s="26" t="str">
        <f t="shared" si="1"/>
        <v>ARB</v>
      </c>
      <c r="L32" s="26" t="str">
        <f t="shared" si="2"/>
        <v>Fimasartan </v>
      </c>
      <c r="M32" s="26"/>
      <c r="Q32" s="69" t="s">
        <v>598</v>
      </c>
      <c r="R32" s="69" t="s">
        <v>5583</v>
      </c>
      <c r="S32" s="69" t="s">
        <v>5584</v>
      </c>
      <c r="T32" s="69" t="s">
        <v>5585</v>
      </c>
      <c r="U32" s="69" t="s">
        <v>5502</v>
      </c>
      <c r="V32" s="69" t="s">
        <v>5557</v>
      </c>
    </row>
    <row r="33" ht="17.25" customHeight="1">
      <c r="B33" s="25" t="s">
        <v>576</v>
      </c>
      <c r="C33" s="25" t="s">
        <v>5456</v>
      </c>
      <c r="D33" s="25" t="s">
        <v>776</v>
      </c>
      <c r="E33" s="25" t="s">
        <v>5586</v>
      </c>
      <c r="F33" s="25" t="s">
        <v>776</v>
      </c>
      <c r="G33" s="25">
        <v>1831350.0</v>
      </c>
      <c r="H33" s="25">
        <v>9156.75</v>
      </c>
      <c r="I33" s="26" t="s">
        <v>5441</v>
      </c>
      <c r="J33" s="26" t="s">
        <v>5442</v>
      </c>
      <c r="K33" s="26" t="str">
        <f t="shared" si="1"/>
        <v>ARB</v>
      </c>
      <c r="L33" s="26" t="str">
        <f t="shared" si="2"/>
        <v>Fimasartan </v>
      </c>
      <c r="M33" s="26"/>
      <c r="Q33" s="69" t="s">
        <v>598</v>
      </c>
      <c r="R33" s="69" t="s">
        <v>5587</v>
      </c>
      <c r="S33" s="69" t="s">
        <v>5588</v>
      </c>
      <c r="T33" s="69" t="s">
        <v>5589</v>
      </c>
      <c r="U33" s="69" t="s">
        <v>5502</v>
      </c>
      <c r="V33" s="69" t="s">
        <v>5557</v>
      </c>
    </row>
    <row r="34" ht="17.25" customHeight="1">
      <c r="B34" s="25" t="s">
        <v>576</v>
      </c>
      <c r="C34" s="25" t="s">
        <v>5456</v>
      </c>
      <c r="D34" s="25" t="s">
        <v>788</v>
      </c>
      <c r="E34" s="25" t="s">
        <v>5590</v>
      </c>
      <c r="F34" s="25" t="s">
        <v>788</v>
      </c>
      <c r="G34" s="25">
        <v>6.21743810001E9</v>
      </c>
      <c r="H34" s="25">
        <v>1.180581684E7</v>
      </c>
      <c r="I34" s="26" t="s">
        <v>5441</v>
      </c>
      <c r="J34" s="26" t="s">
        <v>5442</v>
      </c>
      <c r="K34" s="26" t="str">
        <f t="shared" si="1"/>
        <v>ARB</v>
      </c>
      <c r="L34" s="26" t="str">
        <f t="shared" si="2"/>
        <v>Fimasartan </v>
      </c>
      <c r="M34" s="26"/>
      <c r="Q34" s="69" t="s">
        <v>598</v>
      </c>
      <c r="R34" s="69" t="s">
        <v>5591</v>
      </c>
      <c r="S34" s="69" t="s">
        <v>5592</v>
      </c>
      <c r="T34" s="69" t="s">
        <v>5593</v>
      </c>
      <c r="U34" s="69" t="s">
        <v>5502</v>
      </c>
      <c r="V34" s="69" t="s">
        <v>5557</v>
      </c>
    </row>
    <row r="35" ht="17.25" customHeight="1">
      <c r="B35" s="25" t="s">
        <v>576</v>
      </c>
      <c r="C35" s="25" t="s">
        <v>5456</v>
      </c>
      <c r="D35" s="25" t="s">
        <v>834</v>
      </c>
      <c r="E35" s="25" t="s">
        <v>5594</v>
      </c>
      <c r="F35" s="25" t="s">
        <v>834</v>
      </c>
      <c r="G35" s="25">
        <v>2.295854168E7</v>
      </c>
      <c r="H35" s="25">
        <v>76971.25</v>
      </c>
      <c r="I35" s="26" t="s">
        <v>5441</v>
      </c>
      <c r="J35" s="26" t="s">
        <v>5442</v>
      </c>
      <c r="K35" s="26" t="str">
        <f t="shared" si="1"/>
        <v>ARB</v>
      </c>
      <c r="L35" s="26" t="str">
        <f t="shared" si="2"/>
        <v>Fimasartan </v>
      </c>
      <c r="M35" s="26"/>
      <c r="Q35" s="69" t="s">
        <v>598</v>
      </c>
      <c r="R35" s="69" t="s">
        <v>5595</v>
      </c>
      <c r="S35" s="69" t="s">
        <v>5596</v>
      </c>
      <c r="T35" s="69" t="s">
        <v>5597</v>
      </c>
      <c r="U35" s="69" t="s">
        <v>5502</v>
      </c>
      <c r="V35" s="69" t="s">
        <v>5557</v>
      </c>
    </row>
    <row r="36" ht="17.25" customHeight="1">
      <c r="B36" s="25" t="s">
        <v>576</v>
      </c>
      <c r="C36" s="25" t="s">
        <v>5456</v>
      </c>
      <c r="D36" s="25" t="s">
        <v>915</v>
      </c>
      <c r="E36" s="25" t="s">
        <v>5598</v>
      </c>
      <c r="F36" s="25" t="s">
        <v>915</v>
      </c>
      <c r="G36" s="25">
        <v>3670024.9</v>
      </c>
      <c r="H36" s="25">
        <v>11811.92</v>
      </c>
      <c r="I36" s="26" t="s">
        <v>5441</v>
      </c>
      <c r="J36" s="26" t="s">
        <v>5442</v>
      </c>
      <c r="K36" s="26" t="str">
        <f t="shared" si="1"/>
        <v>ARB</v>
      </c>
      <c r="L36" s="26" t="str">
        <f t="shared" si="2"/>
        <v>Fimasartan </v>
      </c>
      <c r="M36" s="26"/>
      <c r="Q36" s="69" t="s">
        <v>598</v>
      </c>
      <c r="R36" s="69" t="s">
        <v>5599</v>
      </c>
      <c r="S36" s="69" t="s">
        <v>5600</v>
      </c>
      <c r="T36" s="69" t="s">
        <v>5601</v>
      </c>
      <c r="U36" s="69" t="s">
        <v>5502</v>
      </c>
      <c r="V36" s="69" t="s">
        <v>5557</v>
      </c>
    </row>
    <row r="37" ht="17.25" customHeight="1">
      <c r="B37" s="25" t="s">
        <v>576</v>
      </c>
      <c r="C37" s="25" t="s">
        <v>5456</v>
      </c>
      <c r="D37" s="25" t="s">
        <v>736</v>
      </c>
      <c r="E37" s="25" t="s">
        <v>5602</v>
      </c>
      <c r="F37" s="25" t="s">
        <v>736</v>
      </c>
      <c r="G37" s="25">
        <v>309620.0</v>
      </c>
      <c r="H37" s="25">
        <v>1548.1</v>
      </c>
      <c r="I37" s="26" t="s">
        <v>5441</v>
      </c>
      <c r="J37" s="26" t="s">
        <v>5442</v>
      </c>
      <c r="K37" s="26" t="str">
        <f t="shared" si="1"/>
        <v>ARB</v>
      </c>
      <c r="L37" s="26" t="str">
        <f t="shared" si="2"/>
        <v>Fimasartan </v>
      </c>
      <c r="M37" s="26"/>
      <c r="Q37" s="69" t="s">
        <v>598</v>
      </c>
      <c r="R37" s="69" t="s">
        <v>5603</v>
      </c>
      <c r="S37" s="69" t="s">
        <v>5555</v>
      </c>
      <c r="T37" s="69" t="s">
        <v>5604</v>
      </c>
      <c r="U37" s="69" t="s">
        <v>5502</v>
      </c>
      <c r="V37" s="69" t="s">
        <v>5557</v>
      </c>
    </row>
    <row r="38" ht="17.25" customHeight="1">
      <c r="B38" s="25" t="s">
        <v>576</v>
      </c>
      <c r="C38" s="25" t="s">
        <v>5462</v>
      </c>
      <c r="D38" s="25" t="s">
        <v>1554</v>
      </c>
      <c r="E38" s="25" t="s">
        <v>5605</v>
      </c>
      <c r="F38" s="25" t="s">
        <v>1554</v>
      </c>
      <c r="G38" s="25">
        <v>9971286.23</v>
      </c>
      <c r="H38" s="25">
        <v>17088.39</v>
      </c>
      <c r="I38" s="26" t="s">
        <v>5441</v>
      </c>
      <c r="J38" s="26" t="s">
        <v>5442</v>
      </c>
      <c r="K38" s="26" t="str">
        <f t="shared" si="1"/>
        <v>ARB</v>
      </c>
      <c r="L38" s="26" t="str">
        <f t="shared" si="2"/>
        <v>Irbesartan</v>
      </c>
      <c r="M38" s="26"/>
      <c r="Q38" s="69" t="s">
        <v>598</v>
      </c>
      <c r="R38" s="69" t="s">
        <v>5606</v>
      </c>
      <c r="S38" s="69" t="s">
        <v>5607</v>
      </c>
      <c r="T38" s="69" t="s">
        <v>5608</v>
      </c>
      <c r="U38" s="69" t="s">
        <v>5502</v>
      </c>
      <c r="V38" s="69" t="s">
        <v>5557</v>
      </c>
    </row>
    <row r="39" ht="17.25" customHeight="1">
      <c r="B39" s="25" t="s">
        <v>576</v>
      </c>
      <c r="C39" s="25" t="s">
        <v>5462</v>
      </c>
      <c r="D39" s="25" t="s">
        <v>1637</v>
      </c>
      <c r="E39" s="25" t="s">
        <v>5609</v>
      </c>
      <c r="F39" s="25" t="s">
        <v>1637</v>
      </c>
      <c r="G39" s="25">
        <v>1.438352796E7</v>
      </c>
      <c r="H39" s="25">
        <v>29534.97</v>
      </c>
      <c r="I39" s="26" t="s">
        <v>5441</v>
      </c>
      <c r="J39" s="26" t="s">
        <v>5442</v>
      </c>
      <c r="K39" s="26" t="str">
        <f t="shared" si="1"/>
        <v>ARB</v>
      </c>
      <c r="L39" s="26" t="str">
        <f t="shared" si="2"/>
        <v>Irbesartan</v>
      </c>
      <c r="M39" s="26"/>
      <c r="Q39" s="69" t="s">
        <v>598</v>
      </c>
      <c r="R39" s="69" t="s">
        <v>5610</v>
      </c>
      <c r="S39" s="69" t="s">
        <v>5611</v>
      </c>
      <c r="T39" s="69" t="s">
        <v>5612</v>
      </c>
      <c r="U39" s="69" t="s">
        <v>5502</v>
      </c>
      <c r="V39" s="69" t="s">
        <v>5557</v>
      </c>
    </row>
    <row r="40" ht="17.25" customHeight="1">
      <c r="B40" s="25" t="s">
        <v>576</v>
      </c>
      <c r="C40" s="25" t="s">
        <v>5462</v>
      </c>
      <c r="D40" s="25" t="s">
        <v>5613</v>
      </c>
      <c r="E40" s="25" t="s">
        <v>5614</v>
      </c>
      <c r="F40" s="25" t="s">
        <v>1445</v>
      </c>
      <c r="G40" s="25">
        <v>1.20057513956E9</v>
      </c>
      <c r="H40" s="25">
        <v>2115102.42</v>
      </c>
      <c r="I40" s="26" t="s">
        <v>5441</v>
      </c>
      <c r="J40" s="26" t="s">
        <v>5442</v>
      </c>
      <c r="K40" s="26" t="str">
        <f t="shared" si="1"/>
        <v>ARB</v>
      </c>
      <c r="L40" s="26" t="str">
        <f t="shared" si="2"/>
        <v>Irbesartan</v>
      </c>
      <c r="M40" s="26"/>
      <c r="Q40" s="69" t="s">
        <v>598</v>
      </c>
      <c r="R40" s="69" t="s">
        <v>5615</v>
      </c>
      <c r="S40" s="69" t="s">
        <v>5596</v>
      </c>
      <c r="T40" s="69" t="s">
        <v>5616</v>
      </c>
      <c r="U40" s="69" t="s">
        <v>5502</v>
      </c>
      <c r="V40" s="69" t="s">
        <v>5557</v>
      </c>
    </row>
    <row r="41" ht="17.25" customHeight="1">
      <c r="B41" s="25" t="s">
        <v>576</v>
      </c>
      <c r="C41" s="25" t="s">
        <v>5462</v>
      </c>
      <c r="D41" s="25" t="s">
        <v>953</v>
      </c>
      <c r="E41" s="25" t="s">
        <v>5617</v>
      </c>
      <c r="F41" s="25" t="s">
        <v>953</v>
      </c>
      <c r="G41" s="25">
        <v>8116238.0</v>
      </c>
      <c r="H41" s="25">
        <v>19557.2</v>
      </c>
      <c r="I41" s="26" t="s">
        <v>5441</v>
      </c>
      <c r="J41" s="26" t="s">
        <v>5442</v>
      </c>
      <c r="K41" s="26" t="str">
        <f t="shared" si="1"/>
        <v>ARB</v>
      </c>
      <c r="L41" s="26" t="str">
        <f t="shared" si="2"/>
        <v>Irbesartan</v>
      </c>
      <c r="M41" s="26"/>
      <c r="Q41" s="69" t="s">
        <v>598</v>
      </c>
      <c r="R41" s="69" t="s">
        <v>5618</v>
      </c>
      <c r="S41" s="69" t="s">
        <v>5555</v>
      </c>
      <c r="T41" s="69" t="s">
        <v>5619</v>
      </c>
      <c r="U41" s="69" t="s">
        <v>5502</v>
      </c>
      <c r="V41" s="69" t="s">
        <v>5557</v>
      </c>
    </row>
    <row r="42" ht="17.25" customHeight="1">
      <c r="B42" s="25" t="s">
        <v>576</v>
      </c>
      <c r="C42" s="25" t="s">
        <v>5462</v>
      </c>
      <c r="D42" s="25" t="s">
        <v>810</v>
      </c>
      <c r="E42" s="25" t="s">
        <v>5620</v>
      </c>
      <c r="F42" s="25" t="s">
        <v>810</v>
      </c>
      <c r="G42" s="25">
        <v>5.021993021E7</v>
      </c>
      <c r="H42" s="25">
        <v>121011.89</v>
      </c>
      <c r="I42" s="26" t="s">
        <v>5441</v>
      </c>
      <c r="J42" s="26" t="s">
        <v>5442</v>
      </c>
      <c r="K42" s="26" t="str">
        <f t="shared" si="1"/>
        <v>ARB</v>
      </c>
      <c r="L42" s="26" t="str">
        <f t="shared" si="2"/>
        <v>Irbesartan</v>
      </c>
      <c r="M42" s="26"/>
      <c r="Q42" s="69" t="s">
        <v>598</v>
      </c>
      <c r="R42" s="69" t="s">
        <v>5621</v>
      </c>
      <c r="S42" s="69" t="s">
        <v>5596</v>
      </c>
      <c r="T42" s="69" t="s">
        <v>5622</v>
      </c>
      <c r="U42" s="69" t="s">
        <v>5502</v>
      </c>
      <c r="V42" s="69" t="s">
        <v>5557</v>
      </c>
    </row>
    <row r="43" ht="17.25" customHeight="1">
      <c r="B43" s="25" t="s">
        <v>576</v>
      </c>
      <c r="C43" s="25" t="s">
        <v>5462</v>
      </c>
      <c r="D43" s="25" t="s">
        <v>814</v>
      </c>
      <c r="E43" s="25" t="s">
        <v>5623</v>
      </c>
      <c r="F43" s="25" t="s">
        <v>814</v>
      </c>
      <c r="G43" s="25">
        <v>3.605396515E7</v>
      </c>
      <c r="H43" s="25">
        <v>62243.93</v>
      </c>
      <c r="I43" s="26" t="s">
        <v>5441</v>
      </c>
      <c r="J43" s="26" t="s">
        <v>5442</v>
      </c>
      <c r="K43" s="26" t="str">
        <f t="shared" si="1"/>
        <v>ARB</v>
      </c>
      <c r="L43" s="26" t="str">
        <f t="shared" si="2"/>
        <v>Irbesartan</v>
      </c>
      <c r="M43" s="26"/>
      <c r="Q43" s="69" t="s">
        <v>598</v>
      </c>
      <c r="R43" s="69" t="s">
        <v>5624</v>
      </c>
      <c r="S43" s="69" t="s">
        <v>5625</v>
      </c>
      <c r="T43" s="69" t="s">
        <v>5626</v>
      </c>
      <c r="U43" s="69" t="s">
        <v>5502</v>
      </c>
      <c r="V43" s="69" t="s">
        <v>5557</v>
      </c>
    </row>
    <row r="44" ht="17.25" customHeight="1">
      <c r="B44" s="25" t="s">
        <v>576</v>
      </c>
      <c r="C44" s="25" t="s">
        <v>5462</v>
      </c>
      <c r="D44" s="25" t="s">
        <v>830</v>
      </c>
      <c r="E44" s="25" t="s">
        <v>5627</v>
      </c>
      <c r="F44" s="25" t="s">
        <v>830</v>
      </c>
      <c r="G44" s="25">
        <v>2.264727724E7</v>
      </c>
      <c r="H44" s="25">
        <v>46408.37</v>
      </c>
      <c r="I44" s="26" t="s">
        <v>5441</v>
      </c>
      <c r="J44" s="26" t="s">
        <v>5442</v>
      </c>
      <c r="K44" s="26" t="str">
        <f t="shared" si="1"/>
        <v>ARB</v>
      </c>
      <c r="L44" s="26" t="str">
        <f t="shared" si="2"/>
        <v>Irbesartan</v>
      </c>
      <c r="M44" s="26"/>
      <c r="Q44" s="69" t="s">
        <v>598</v>
      </c>
      <c r="R44" s="69" t="s">
        <v>5628</v>
      </c>
      <c r="S44" s="69" t="s">
        <v>5629</v>
      </c>
      <c r="T44" s="69" t="s">
        <v>5630</v>
      </c>
      <c r="U44" s="69" t="s">
        <v>5502</v>
      </c>
      <c r="V44" s="69" t="s">
        <v>5557</v>
      </c>
    </row>
    <row r="45" ht="17.25" customHeight="1">
      <c r="B45" s="25" t="s">
        <v>576</v>
      </c>
      <c r="C45" s="25" t="s">
        <v>5462</v>
      </c>
      <c r="D45" s="25" t="s">
        <v>1139</v>
      </c>
      <c r="E45" s="25" t="s">
        <v>5631</v>
      </c>
      <c r="F45" s="25" t="s">
        <v>1139</v>
      </c>
      <c r="G45" s="25">
        <v>5.365743418E7</v>
      </c>
      <c r="H45" s="25">
        <v>118761.65</v>
      </c>
      <c r="I45" s="26" t="s">
        <v>5441</v>
      </c>
      <c r="J45" s="26" t="s">
        <v>5442</v>
      </c>
      <c r="K45" s="26" t="str">
        <f t="shared" si="1"/>
        <v>ARB</v>
      </c>
      <c r="L45" s="26" t="str">
        <f t="shared" si="2"/>
        <v>Irbesartan</v>
      </c>
      <c r="M45" s="26"/>
      <c r="Q45" s="69" t="s">
        <v>598</v>
      </c>
      <c r="R45" s="69" t="s">
        <v>5632</v>
      </c>
      <c r="S45" s="69" t="s">
        <v>5629</v>
      </c>
      <c r="T45" s="69" t="s">
        <v>5633</v>
      </c>
      <c r="U45" s="69" t="s">
        <v>5502</v>
      </c>
      <c r="V45" s="69" t="s">
        <v>5557</v>
      </c>
    </row>
    <row r="46" ht="17.25" customHeight="1">
      <c r="B46" s="25" t="s">
        <v>576</v>
      </c>
      <c r="C46" s="25" t="s">
        <v>5462</v>
      </c>
      <c r="D46" s="25" t="s">
        <v>874</v>
      </c>
      <c r="E46" s="25" t="s">
        <v>5634</v>
      </c>
      <c r="F46" s="25" t="s">
        <v>874</v>
      </c>
      <c r="G46" s="25">
        <v>2.17018855E7</v>
      </c>
      <c r="H46" s="25">
        <v>52293.7</v>
      </c>
      <c r="I46" s="26" t="s">
        <v>5441</v>
      </c>
      <c r="J46" s="26" t="s">
        <v>5442</v>
      </c>
      <c r="K46" s="26" t="str">
        <f t="shared" si="1"/>
        <v>ARB</v>
      </c>
      <c r="L46" s="26" t="str">
        <f t="shared" si="2"/>
        <v>Irbesartan</v>
      </c>
      <c r="M46" s="26"/>
      <c r="Q46" s="69" t="s">
        <v>598</v>
      </c>
      <c r="R46" s="69" t="s">
        <v>5635</v>
      </c>
      <c r="S46" s="69" t="s">
        <v>5636</v>
      </c>
      <c r="T46" s="69" t="s">
        <v>5637</v>
      </c>
      <c r="U46" s="69" t="s">
        <v>5502</v>
      </c>
      <c r="V46" s="69" t="s">
        <v>5557</v>
      </c>
    </row>
    <row r="47" ht="17.25" customHeight="1">
      <c r="B47" s="25" t="s">
        <v>576</v>
      </c>
      <c r="C47" s="25" t="s">
        <v>5462</v>
      </c>
      <c r="D47" s="25" t="s">
        <v>838</v>
      </c>
      <c r="E47" s="25" t="s">
        <v>5638</v>
      </c>
      <c r="F47" s="25" t="s">
        <v>838</v>
      </c>
      <c r="G47" s="25">
        <v>1.088010152E7</v>
      </c>
      <c r="H47" s="25">
        <v>22295.29</v>
      </c>
      <c r="I47" s="26" t="s">
        <v>5441</v>
      </c>
      <c r="J47" s="26" t="s">
        <v>5442</v>
      </c>
      <c r="K47" s="26" t="str">
        <f t="shared" si="1"/>
        <v>ARB</v>
      </c>
      <c r="L47" s="26" t="str">
        <f t="shared" si="2"/>
        <v>Irbesartan</v>
      </c>
      <c r="M47" s="26"/>
      <c r="Q47" s="69" t="s">
        <v>598</v>
      </c>
      <c r="R47" s="69" t="s">
        <v>5639</v>
      </c>
      <c r="S47" s="69" t="s">
        <v>5640</v>
      </c>
      <c r="T47" s="69" t="s">
        <v>5641</v>
      </c>
      <c r="U47" s="69" t="s">
        <v>5502</v>
      </c>
      <c r="V47" s="69" t="s">
        <v>5557</v>
      </c>
    </row>
    <row r="48" ht="17.25" customHeight="1">
      <c r="B48" s="25" t="s">
        <v>576</v>
      </c>
      <c r="C48" s="25" t="s">
        <v>5462</v>
      </c>
      <c r="D48" s="25" t="s">
        <v>898</v>
      </c>
      <c r="E48" s="25" t="s">
        <v>5642</v>
      </c>
      <c r="F48" s="25" t="s">
        <v>898</v>
      </c>
      <c r="G48" s="25">
        <v>1.982555015E7</v>
      </c>
      <c r="H48" s="25">
        <v>47772.41</v>
      </c>
      <c r="I48" s="26" t="s">
        <v>5441</v>
      </c>
      <c r="J48" s="26" t="s">
        <v>5442</v>
      </c>
      <c r="K48" s="26" t="str">
        <f t="shared" si="1"/>
        <v>ARB</v>
      </c>
      <c r="L48" s="26" t="str">
        <f t="shared" si="2"/>
        <v>Irbesartan</v>
      </c>
      <c r="M48" s="26"/>
      <c r="Q48" s="69" t="s">
        <v>598</v>
      </c>
      <c r="R48" s="69" t="s">
        <v>5643</v>
      </c>
      <c r="S48" s="69" t="s">
        <v>5636</v>
      </c>
      <c r="T48" s="69" t="s">
        <v>5644</v>
      </c>
      <c r="U48" s="69" t="s">
        <v>5502</v>
      </c>
      <c r="V48" s="69" t="s">
        <v>5557</v>
      </c>
    </row>
    <row r="49" ht="17.25" customHeight="1">
      <c r="B49" s="25" t="s">
        <v>576</v>
      </c>
      <c r="C49" s="25" t="s">
        <v>5468</v>
      </c>
      <c r="D49" s="25" t="s">
        <v>749</v>
      </c>
      <c r="E49" s="25" t="s">
        <v>5645</v>
      </c>
      <c r="F49" s="25" t="s">
        <v>749</v>
      </c>
      <c r="G49" s="25">
        <v>6.722894093E7</v>
      </c>
      <c r="H49" s="25">
        <v>140352.72</v>
      </c>
      <c r="I49" s="26" t="s">
        <v>5441</v>
      </c>
      <c r="J49" s="26" t="s">
        <v>5442</v>
      </c>
      <c r="K49" s="26" t="str">
        <f t="shared" si="1"/>
        <v>ARB</v>
      </c>
      <c r="L49" s="26" t="str">
        <f t="shared" si="2"/>
        <v>Iosartan </v>
      </c>
      <c r="M49" s="26"/>
      <c r="Q49" s="69" t="s">
        <v>598</v>
      </c>
      <c r="R49" s="69" t="s">
        <v>5646</v>
      </c>
      <c r="S49" s="69" t="s">
        <v>5647</v>
      </c>
      <c r="T49" s="69" t="s">
        <v>5648</v>
      </c>
      <c r="U49" s="69" t="s">
        <v>5502</v>
      </c>
      <c r="V49" s="69" t="s">
        <v>5557</v>
      </c>
    </row>
    <row r="50" ht="17.25" customHeight="1">
      <c r="B50" s="25" t="s">
        <v>576</v>
      </c>
      <c r="C50" s="25" t="s">
        <v>5468</v>
      </c>
      <c r="D50" s="25" t="s">
        <v>761</v>
      </c>
      <c r="E50" s="25" t="s">
        <v>5649</v>
      </c>
      <c r="F50" s="25" t="s">
        <v>761</v>
      </c>
      <c r="G50" s="25">
        <v>7.763884697E7</v>
      </c>
      <c r="H50" s="25">
        <v>176969.18</v>
      </c>
      <c r="I50" s="26" t="s">
        <v>5441</v>
      </c>
      <c r="J50" s="26" t="s">
        <v>5442</v>
      </c>
      <c r="K50" s="26" t="str">
        <f t="shared" si="1"/>
        <v>ARB</v>
      </c>
      <c r="L50" s="26" t="str">
        <f t="shared" si="2"/>
        <v>Iosartan </v>
      </c>
      <c r="M50" s="26"/>
      <c r="Q50" s="69" t="s">
        <v>598</v>
      </c>
      <c r="R50" s="69" t="s">
        <v>5650</v>
      </c>
      <c r="S50" s="69" t="s">
        <v>5647</v>
      </c>
      <c r="T50" s="69" t="s">
        <v>5651</v>
      </c>
      <c r="U50" s="69" t="s">
        <v>5502</v>
      </c>
      <c r="V50" s="69" t="s">
        <v>5557</v>
      </c>
    </row>
    <row r="51" ht="17.25" customHeight="1">
      <c r="B51" s="25" t="s">
        <v>576</v>
      </c>
      <c r="C51" s="25" t="s">
        <v>5468</v>
      </c>
      <c r="D51" s="25" t="s">
        <v>765</v>
      </c>
      <c r="E51" s="25" t="s">
        <v>5652</v>
      </c>
      <c r="F51" s="25" t="s">
        <v>765</v>
      </c>
      <c r="G51" s="25">
        <v>8761038.03</v>
      </c>
      <c r="H51" s="25">
        <v>21110.94</v>
      </c>
      <c r="I51" s="26" t="s">
        <v>5441</v>
      </c>
      <c r="J51" s="26" t="s">
        <v>5442</v>
      </c>
      <c r="K51" s="26" t="str">
        <f t="shared" si="1"/>
        <v>ARB</v>
      </c>
      <c r="L51" s="26" t="str">
        <f t="shared" si="2"/>
        <v>Iosartan </v>
      </c>
      <c r="M51" s="26"/>
      <c r="Q51" s="69" t="s">
        <v>600</v>
      </c>
      <c r="R51" s="69" t="s">
        <v>1614</v>
      </c>
      <c r="S51" s="69" t="s">
        <v>5653</v>
      </c>
      <c r="T51" s="69" t="s">
        <v>5654</v>
      </c>
      <c r="U51" s="69" t="s">
        <v>5445</v>
      </c>
      <c r="V51" s="69" t="s">
        <v>5655</v>
      </c>
    </row>
    <row r="52" ht="17.25" customHeight="1">
      <c r="B52" s="25" t="s">
        <v>576</v>
      </c>
      <c r="C52" s="25" t="s">
        <v>5468</v>
      </c>
      <c r="D52" s="25" t="s">
        <v>768</v>
      </c>
      <c r="E52" s="25" t="s">
        <v>5656</v>
      </c>
      <c r="F52" s="25" t="s">
        <v>768</v>
      </c>
      <c r="G52" s="25">
        <v>2.643746588E7</v>
      </c>
      <c r="H52" s="25">
        <v>54175.14</v>
      </c>
      <c r="I52" s="26" t="s">
        <v>5441</v>
      </c>
      <c r="J52" s="26" t="s">
        <v>5442</v>
      </c>
      <c r="K52" s="26" t="str">
        <f t="shared" si="1"/>
        <v>ARB</v>
      </c>
      <c r="L52" s="26" t="str">
        <f t="shared" si="2"/>
        <v>Iosartan </v>
      </c>
      <c r="M52" s="26"/>
      <c r="Q52" s="69" t="s">
        <v>600</v>
      </c>
      <c r="R52" s="69" t="s">
        <v>1618</v>
      </c>
      <c r="S52" s="69" t="s">
        <v>5653</v>
      </c>
      <c r="T52" s="69" t="s">
        <v>5657</v>
      </c>
      <c r="U52" s="69" t="s">
        <v>5445</v>
      </c>
      <c r="V52" s="69" t="s">
        <v>5655</v>
      </c>
    </row>
    <row r="53" ht="17.25" customHeight="1">
      <c r="B53" s="25" t="s">
        <v>576</v>
      </c>
      <c r="C53" s="25" t="s">
        <v>5468</v>
      </c>
      <c r="D53" s="25" t="s">
        <v>774</v>
      </c>
      <c r="E53" s="25" t="s">
        <v>5658</v>
      </c>
      <c r="F53" s="25" t="s">
        <v>774</v>
      </c>
      <c r="G53" s="25">
        <v>1.27577406E7</v>
      </c>
      <c r="H53" s="25">
        <v>28669.08</v>
      </c>
      <c r="I53" s="26" t="s">
        <v>5441</v>
      </c>
      <c r="J53" s="26" t="s">
        <v>5442</v>
      </c>
      <c r="K53" s="26" t="str">
        <f t="shared" si="1"/>
        <v>ARB</v>
      </c>
      <c r="L53" s="26" t="str">
        <f t="shared" si="2"/>
        <v>Iosartan </v>
      </c>
      <c r="M53" s="26"/>
      <c r="Q53" s="69" t="s">
        <v>600</v>
      </c>
      <c r="R53" s="69" t="s">
        <v>5659</v>
      </c>
      <c r="S53" s="69" t="s">
        <v>5653</v>
      </c>
      <c r="T53" s="69" t="s">
        <v>5660</v>
      </c>
      <c r="U53" s="69" t="s">
        <v>5445</v>
      </c>
      <c r="V53" s="69" t="s">
        <v>5655</v>
      </c>
    </row>
    <row r="54" ht="17.25" customHeight="1">
      <c r="B54" s="25" t="s">
        <v>576</v>
      </c>
      <c r="C54" s="25" t="s">
        <v>5468</v>
      </c>
      <c r="D54" s="25" t="s">
        <v>1061</v>
      </c>
      <c r="E54" s="25" t="s">
        <v>5661</v>
      </c>
      <c r="F54" s="25" t="s">
        <v>1061</v>
      </c>
      <c r="G54" s="25">
        <v>1.032776384E8</v>
      </c>
      <c r="H54" s="25">
        <v>197770.04</v>
      </c>
      <c r="I54" s="26" t="s">
        <v>5441</v>
      </c>
      <c r="J54" s="26" t="s">
        <v>5442</v>
      </c>
      <c r="K54" s="26" t="str">
        <f t="shared" si="1"/>
        <v>ARB</v>
      </c>
      <c r="L54" s="26" t="str">
        <f t="shared" si="2"/>
        <v>Iosartan </v>
      </c>
      <c r="M54" s="26"/>
      <c r="Q54" s="69" t="s">
        <v>600</v>
      </c>
      <c r="R54" s="69" t="s">
        <v>1696</v>
      </c>
      <c r="S54" s="69" t="s">
        <v>5653</v>
      </c>
      <c r="T54" s="69" t="s">
        <v>5662</v>
      </c>
      <c r="U54" s="69" t="s">
        <v>5445</v>
      </c>
      <c r="V54" s="69" t="s">
        <v>5655</v>
      </c>
    </row>
    <row r="55" ht="17.25" customHeight="1">
      <c r="B55" s="25" t="s">
        <v>576</v>
      </c>
      <c r="C55" s="25" t="s">
        <v>5468</v>
      </c>
      <c r="D55" s="25" t="s">
        <v>796</v>
      </c>
      <c r="E55" s="25" t="s">
        <v>5663</v>
      </c>
      <c r="F55" s="25" t="s">
        <v>796</v>
      </c>
      <c r="G55" s="25">
        <v>5.9975979524E8</v>
      </c>
      <c r="H55" s="25">
        <v>1178891.71</v>
      </c>
      <c r="I55" s="26" t="s">
        <v>5441</v>
      </c>
      <c r="J55" s="26" t="s">
        <v>5442</v>
      </c>
      <c r="K55" s="26" t="str">
        <f t="shared" si="1"/>
        <v>ARB</v>
      </c>
      <c r="L55" s="26" t="str">
        <f t="shared" si="2"/>
        <v>Iosartan </v>
      </c>
      <c r="M55" s="26"/>
      <c r="Q55" s="69" t="s">
        <v>600</v>
      </c>
      <c r="R55" s="69" t="s">
        <v>5664</v>
      </c>
      <c r="S55" s="69" t="s">
        <v>5653</v>
      </c>
      <c r="T55" s="69" t="s">
        <v>5665</v>
      </c>
      <c r="U55" s="69" t="s">
        <v>5445</v>
      </c>
      <c r="V55" s="69" t="s">
        <v>5655</v>
      </c>
    </row>
    <row r="56" ht="17.25" customHeight="1">
      <c r="B56" s="25" t="s">
        <v>576</v>
      </c>
      <c r="C56" s="25" t="s">
        <v>5468</v>
      </c>
      <c r="D56" s="25" t="s">
        <v>800</v>
      </c>
      <c r="E56" s="25" t="s">
        <v>5666</v>
      </c>
      <c r="F56" s="25" t="s">
        <v>800</v>
      </c>
      <c r="G56" s="25">
        <v>2.949891588E7</v>
      </c>
      <c r="H56" s="25">
        <v>64549.08</v>
      </c>
      <c r="I56" s="26" t="s">
        <v>5441</v>
      </c>
      <c r="J56" s="26" t="s">
        <v>5442</v>
      </c>
      <c r="K56" s="26" t="str">
        <f t="shared" si="1"/>
        <v>ARB</v>
      </c>
      <c r="L56" s="26" t="str">
        <f t="shared" si="2"/>
        <v>Iosartan </v>
      </c>
      <c r="M56" s="26"/>
      <c r="Q56" s="69" t="s">
        <v>600</v>
      </c>
      <c r="R56" s="69" t="s">
        <v>1699</v>
      </c>
      <c r="S56" s="69" t="s">
        <v>5653</v>
      </c>
      <c r="T56" s="69" t="s">
        <v>5667</v>
      </c>
      <c r="U56" s="69" t="s">
        <v>5445</v>
      </c>
      <c r="V56" s="69" t="s">
        <v>5655</v>
      </c>
    </row>
    <row r="57" ht="17.25" customHeight="1">
      <c r="B57" s="25" t="s">
        <v>576</v>
      </c>
      <c r="C57" s="25" t="s">
        <v>5468</v>
      </c>
      <c r="D57" s="25" t="s">
        <v>1121</v>
      </c>
      <c r="E57" s="25" t="s">
        <v>5668</v>
      </c>
      <c r="F57" s="25" t="s">
        <v>1121</v>
      </c>
      <c r="G57" s="25">
        <v>8322322.85</v>
      </c>
      <c r="H57" s="25">
        <v>20053.79</v>
      </c>
      <c r="I57" s="26" t="s">
        <v>5441</v>
      </c>
      <c r="J57" s="26" t="s">
        <v>5442</v>
      </c>
      <c r="K57" s="26" t="str">
        <f t="shared" si="1"/>
        <v>ARB</v>
      </c>
      <c r="L57" s="26" t="str">
        <f t="shared" si="2"/>
        <v>Iosartan </v>
      </c>
      <c r="M57" s="26"/>
      <c r="Q57" s="69" t="s">
        <v>600</v>
      </c>
      <c r="R57" s="69" t="s">
        <v>1721</v>
      </c>
      <c r="S57" s="69" t="s">
        <v>5653</v>
      </c>
      <c r="T57" s="69" t="s">
        <v>5669</v>
      </c>
      <c r="U57" s="69" t="s">
        <v>5445</v>
      </c>
      <c r="V57" s="69" t="s">
        <v>5655</v>
      </c>
    </row>
    <row r="58" ht="17.25" customHeight="1">
      <c r="B58" s="25" t="s">
        <v>576</v>
      </c>
      <c r="C58" s="25" t="s">
        <v>5468</v>
      </c>
      <c r="D58" s="25" t="s">
        <v>810</v>
      </c>
      <c r="E58" s="25" t="s">
        <v>5670</v>
      </c>
      <c r="F58" s="25" t="s">
        <v>810</v>
      </c>
      <c r="G58" s="25">
        <v>2.4436581467E8</v>
      </c>
      <c r="H58" s="25">
        <v>500718.03</v>
      </c>
      <c r="I58" s="26" t="s">
        <v>5441</v>
      </c>
      <c r="J58" s="26" t="s">
        <v>5442</v>
      </c>
      <c r="K58" s="26" t="str">
        <f t="shared" si="1"/>
        <v>ARB</v>
      </c>
      <c r="L58" s="26" t="str">
        <f t="shared" si="2"/>
        <v>Iosartan </v>
      </c>
      <c r="M58" s="26"/>
      <c r="Q58" s="69" t="s">
        <v>600</v>
      </c>
      <c r="R58" s="69" t="s">
        <v>1726</v>
      </c>
      <c r="S58" s="69" t="s">
        <v>5653</v>
      </c>
      <c r="T58" s="69" t="s">
        <v>5671</v>
      </c>
      <c r="U58" s="69" t="s">
        <v>5445</v>
      </c>
      <c r="V58" s="69" t="s">
        <v>5655</v>
      </c>
    </row>
    <row r="59" ht="17.25" customHeight="1">
      <c r="B59" s="25" t="s">
        <v>576</v>
      </c>
      <c r="C59" s="25" t="s">
        <v>5468</v>
      </c>
      <c r="D59" s="25" t="s">
        <v>1028</v>
      </c>
      <c r="E59" s="25" t="s">
        <v>5672</v>
      </c>
      <c r="F59" s="25" t="s">
        <v>1028</v>
      </c>
      <c r="G59" s="25">
        <v>5986673.8</v>
      </c>
      <c r="H59" s="25">
        <v>14425.72</v>
      </c>
      <c r="I59" s="26" t="s">
        <v>5441</v>
      </c>
      <c r="J59" s="26" t="s">
        <v>5442</v>
      </c>
      <c r="K59" s="26" t="str">
        <f t="shared" si="1"/>
        <v>ARB</v>
      </c>
      <c r="L59" s="26" t="str">
        <f t="shared" si="2"/>
        <v>Iosartan </v>
      </c>
      <c r="M59" s="26"/>
      <c r="Q59" s="69" t="s">
        <v>600</v>
      </c>
      <c r="R59" s="69" t="s">
        <v>1729</v>
      </c>
      <c r="S59" s="69" t="s">
        <v>5653</v>
      </c>
      <c r="T59" s="69" t="s">
        <v>5673</v>
      </c>
      <c r="U59" s="69" t="s">
        <v>5445</v>
      </c>
      <c r="V59" s="69" t="s">
        <v>5655</v>
      </c>
    </row>
    <row r="60" ht="17.25" customHeight="1">
      <c r="B60" s="25" t="s">
        <v>576</v>
      </c>
      <c r="C60" s="25" t="s">
        <v>5468</v>
      </c>
      <c r="D60" s="25" t="s">
        <v>814</v>
      </c>
      <c r="E60" s="25" t="s">
        <v>5674</v>
      </c>
      <c r="F60" s="25" t="s">
        <v>814</v>
      </c>
      <c r="G60" s="25">
        <v>8808001.4</v>
      </c>
      <c r="H60" s="25">
        <v>18198.35</v>
      </c>
      <c r="I60" s="26" t="s">
        <v>5441</v>
      </c>
      <c r="J60" s="26" t="s">
        <v>5442</v>
      </c>
      <c r="K60" s="26" t="str">
        <f t="shared" si="1"/>
        <v>ARB</v>
      </c>
      <c r="L60" s="26" t="str">
        <f t="shared" si="2"/>
        <v>Iosartan </v>
      </c>
      <c r="M60" s="26"/>
      <c r="Q60" s="69" t="s">
        <v>600</v>
      </c>
      <c r="R60" s="69" t="s">
        <v>1731</v>
      </c>
      <c r="S60" s="69" t="s">
        <v>5675</v>
      </c>
      <c r="T60" s="69" t="s">
        <v>5676</v>
      </c>
      <c r="U60" s="69" t="s">
        <v>5445</v>
      </c>
      <c r="V60" s="69" t="s">
        <v>5655</v>
      </c>
    </row>
    <row r="61" ht="17.25" customHeight="1">
      <c r="B61" s="25" t="s">
        <v>576</v>
      </c>
      <c r="C61" s="25" t="s">
        <v>5468</v>
      </c>
      <c r="D61" s="25" t="s">
        <v>818</v>
      </c>
      <c r="E61" s="25" t="s">
        <v>5677</v>
      </c>
      <c r="F61" s="25" t="s">
        <v>818</v>
      </c>
      <c r="G61" s="25">
        <v>1425635.2</v>
      </c>
      <c r="H61" s="25">
        <v>1777.6</v>
      </c>
      <c r="I61" s="26" t="s">
        <v>5441</v>
      </c>
      <c r="J61" s="26" t="s">
        <v>5442</v>
      </c>
      <c r="K61" s="26" t="str">
        <f t="shared" si="1"/>
        <v>ARB</v>
      </c>
      <c r="L61" s="26" t="str">
        <f t="shared" si="2"/>
        <v>Iosartan </v>
      </c>
      <c r="M61" s="26"/>
      <c r="Q61" s="69" t="s">
        <v>600</v>
      </c>
      <c r="R61" s="69" t="s">
        <v>1737</v>
      </c>
      <c r="S61" s="69" t="s">
        <v>5678</v>
      </c>
      <c r="T61" s="69" t="s">
        <v>5679</v>
      </c>
      <c r="U61" s="69" t="s">
        <v>5445</v>
      </c>
      <c r="V61" s="69" t="s">
        <v>5655</v>
      </c>
    </row>
    <row r="62" ht="17.25" customHeight="1">
      <c r="B62" s="25" t="s">
        <v>576</v>
      </c>
      <c r="C62" s="25" t="s">
        <v>5468</v>
      </c>
      <c r="D62" s="25" t="s">
        <v>826</v>
      </c>
      <c r="E62" s="25" t="s">
        <v>5680</v>
      </c>
      <c r="F62" s="25" t="s">
        <v>826</v>
      </c>
      <c r="G62" s="25">
        <v>1.96582678E7</v>
      </c>
      <c r="H62" s="25">
        <v>47369.32</v>
      </c>
      <c r="I62" s="26" t="s">
        <v>5441</v>
      </c>
      <c r="J62" s="26" t="s">
        <v>5442</v>
      </c>
      <c r="K62" s="26" t="str">
        <f t="shared" si="1"/>
        <v>ARB</v>
      </c>
      <c r="L62" s="26" t="str">
        <f t="shared" si="2"/>
        <v>Iosartan </v>
      </c>
      <c r="M62" s="26"/>
      <c r="Q62" s="69" t="s">
        <v>600</v>
      </c>
      <c r="R62" s="69" t="s">
        <v>1741</v>
      </c>
      <c r="S62" s="69" t="s">
        <v>5681</v>
      </c>
      <c r="T62" s="69" t="s">
        <v>5682</v>
      </c>
      <c r="U62" s="69" t="s">
        <v>5445</v>
      </c>
      <c r="V62" s="69" t="s">
        <v>5655</v>
      </c>
    </row>
    <row r="63" ht="17.25" customHeight="1">
      <c r="B63" s="25" t="s">
        <v>576</v>
      </c>
      <c r="C63" s="25" t="s">
        <v>5468</v>
      </c>
      <c r="D63" s="25" t="s">
        <v>834</v>
      </c>
      <c r="E63" s="25" t="s">
        <v>5683</v>
      </c>
      <c r="F63" s="25" t="s">
        <v>834</v>
      </c>
      <c r="G63" s="25">
        <v>1.2307606788E8</v>
      </c>
      <c r="H63" s="25">
        <v>235691.03</v>
      </c>
      <c r="I63" s="26" t="s">
        <v>5441</v>
      </c>
      <c r="J63" s="26" t="s">
        <v>5442</v>
      </c>
      <c r="K63" s="26" t="str">
        <f t="shared" si="1"/>
        <v>ARB</v>
      </c>
      <c r="L63" s="26" t="str">
        <f t="shared" si="2"/>
        <v>Iosartan </v>
      </c>
      <c r="M63" s="26"/>
      <c r="Q63" s="69" t="s">
        <v>600</v>
      </c>
      <c r="R63" s="69" t="s">
        <v>1745</v>
      </c>
      <c r="S63" s="69" t="s">
        <v>5684</v>
      </c>
      <c r="T63" s="69" t="s">
        <v>5685</v>
      </c>
      <c r="U63" s="69" t="s">
        <v>5445</v>
      </c>
      <c r="V63" s="69" t="s">
        <v>5655</v>
      </c>
    </row>
    <row r="64" ht="17.25" customHeight="1">
      <c r="B64" s="25" t="s">
        <v>576</v>
      </c>
      <c r="C64" s="25" t="s">
        <v>5468</v>
      </c>
      <c r="D64" s="25" t="s">
        <v>836</v>
      </c>
      <c r="E64" s="25" t="s">
        <v>5686</v>
      </c>
      <c r="F64" s="25" t="s">
        <v>836</v>
      </c>
      <c r="G64" s="25">
        <v>6600990.8</v>
      </c>
      <c r="H64" s="25">
        <v>13985.15</v>
      </c>
      <c r="I64" s="26" t="s">
        <v>5441</v>
      </c>
      <c r="J64" s="26" t="s">
        <v>5442</v>
      </c>
      <c r="K64" s="26" t="str">
        <f t="shared" si="1"/>
        <v>ARB</v>
      </c>
      <c r="L64" s="26" t="str">
        <f t="shared" si="2"/>
        <v>Iosartan </v>
      </c>
      <c r="M64" s="26"/>
      <c r="Q64" s="69" t="s">
        <v>600</v>
      </c>
      <c r="R64" s="69" t="s">
        <v>1747</v>
      </c>
      <c r="S64" s="69" t="s">
        <v>1750</v>
      </c>
      <c r="T64" s="69" t="s">
        <v>5687</v>
      </c>
      <c r="U64" s="69" t="s">
        <v>5445</v>
      </c>
      <c r="V64" s="69" t="s">
        <v>5655</v>
      </c>
    </row>
    <row r="65" ht="17.25" customHeight="1">
      <c r="B65" s="25" t="s">
        <v>576</v>
      </c>
      <c r="C65" s="25" t="s">
        <v>5468</v>
      </c>
      <c r="D65" s="25" t="s">
        <v>710</v>
      </c>
      <c r="E65" s="25" t="s">
        <v>5688</v>
      </c>
      <c r="F65" s="25" t="s">
        <v>710</v>
      </c>
      <c r="G65" s="25">
        <v>7.50564827E7</v>
      </c>
      <c r="H65" s="25">
        <v>150505.95</v>
      </c>
      <c r="I65" s="26" t="s">
        <v>5441</v>
      </c>
      <c r="J65" s="26" t="s">
        <v>5442</v>
      </c>
      <c r="K65" s="26" t="str">
        <f t="shared" si="1"/>
        <v>ARB</v>
      </c>
      <c r="L65" s="26" t="str">
        <f t="shared" si="2"/>
        <v>Iosartan </v>
      </c>
      <c r="M65" s="26"/>
      <c r="Q65" s="69" t="s">
        <v>600</v>
      </c>
      <c r="R65" s="69" t="s">
        <v>1754</v>
      </c>
      <c r="S65" s="69" t="s">
        <v>1756</v>
      </c>
      <c r="T65" s="69" t="s">
        <v>5689</v>
      </c>
      <c r="U65" s="69" t="s">
        <v>5445</v>
      </c>
      <c r="V65" s="69" t="s">
        <v>5655</v>
      </c>
    </row>
    <row r="66" ht="17.25" customHeight="1">
      <c r="B66" s="25" t="s">
        <v>576</v>
      </c>
      <c r="C66" s="25" t="s">
        <v>5468</v>
      </c>
      <c r="D66" s="25" t="s">
        <v>846</v>
      </c>
      <c r="E66" s="25" t="s">
        <v>5690</v>
      </c>
      <c r="F66" s="25" t="s">
        <v>846</v>
      </c>
      <c r="G66" s="25">
        <v>602082.0</v>
      </c>
      <c r="H66" s="25">
        <v>1450.8</v>
      </c>
      <c r="I66" s="26" t="s">
        <v>5441</v>
      </c>
      <c r="J66" s="26" t="s">
        <v>5442</v>
      </c>
      <c r="K66" s="26" t="str">
        <f t="shared" si="1"/>
        <v>ARB</v>
      </c>
      <c r="L66" s="26" t="str">
        <f t="shared" si="2"/>
        <v>Iosartan </v>
      </c>
      <c r="M66" s="26"/>
      <c r="Q66" s="69" t="s">
        <v>600</v>
      </c>
      <c r="R66" s="69" t="s">
        <v>1757</v>
      </c>
      <c r="S66" s="69" t="s">
        <v>1757</v>
      </c>
      <c r="T66" s="69" t="s">
        <v>5691</v>
      </c>
      <c r="U66" s="69" t="s">
        <v>5445</v>
      </c>
      <c r="V66" s="69" t="s">
        <v>5655</v>
      </c>
    </row>
    <row r="67" ht="17.25" customHeight="1">
      <c r="B67" s="25" t="s">
        <v>576</v>
      </c>
      <c r="C67" s="25" t="s">
        <v>5468</v>
      </c>
      <c r="D67" s="25" t="s">
        <v>848</v>
      </c>
      <c r="E67" s="25" t="s">
        <v>5692</v>
      </c>
      <c r="F67" s="25" t="s">
        <v>848</v>
      </c>
      <c r="G67" s="25">
        <v>5.455555984E7</v>
      </c>
      <c r="H67" s="25">
        <v>111794.19</v>
      </c>
      <c r="I67" s="26" t="s">
        <v>5441</v>
      </c>
      <c r="J67" s="26" t="s">
        <v>5442</v>
      </c>
      <c r="K67" s="26" t="str">
        <f t="shared" si="1"/>
        <v>ARB</v>
      </c>
      <c r="L67" s="26" t="str">
        <f t="shared" si="2"/>
        <v>Iosartan </v>
      </c>
      <c r="M67" s="26"/>
      <c r="Q67" s="69" t="s">
        <v>600</v>
      </c>
      <c r="R67" s="69" t="s">
        <v>1775</v>
      </c>
      <c r="S67" s="69" t="s">
        <v>1775</v>
      </c>
      <c r="T67" s="69" t="s">
        <v>5693</v>
      </c>
      <c r="U67" s="69" t="s">
        <v>5445</v>
      </c>
      <c r="V67" s="69" t="s">
        <v>5655</v>
      </c>
    </row>
    <row r="68" ht="17.25" customHeight="1">
      <c r="B68" s="25" t="s">
        <v>576</v>
      </c>
      <c r="C68" s="25" t="s">
        <v>5468</v>
      </c>
      <c r="D68" s="25" t="s">
        <v>852</v>
      </c>
      <c r="E68" s="25" t="s">
        <v>5694</v>
      </c>
      <c r="F68" s="25" t="s">
        <v>852</v>
      </c>
      <c r="G68" s="25">
        <v>4.301622741E7</v>
      </c>
      <c r="H68" s="25">
        <v>103653.57</v>
      </c>
      <c r="I68" s="26" t="s">
        <v>5441</v>
      </c>
      <c r="J68" s="26" t="s">
        <v>5442</v>
      </c>
      <c r="K68" s="26" t="str">
        <f t="shared" si="1"/>
        <v>ARB</v>
      </c>
      <c r="L68" s="26" t="str">
        <f t="shared" si="2"/>
        <v>Iosartan </v>
      </c>
      <c r="M68" s="26"/>
      <c r="Q68" s="69" t="s">
        <v>600</v>
      </c>
      <c r="R68" s="69" t="s">
        <v>1778</v>
      </c>
      <c r="S68" s="69" t="s">
        <v>1780</v>
      </c>
      <c r="T68" s="69" t="s">
        <v>5695</v>
      </c>
      <c r="U68" s="69" t="s">
        <v>5445</v>
      </c>
      <c r="V68" s="69" t="s">
        <v>5655</v>
      </c>
    </row>
    <row r="69" ht="17.25" customHeight="1">
      <c r="B69" s="25" t="s">
        <v>576</v>
      </c>
      <c r="C69" s="25" t="s">
        <v>5468</v>
      </c>
      <c r="D69" s="25" t="s">
        <v>1979</v>
      </c>
      <c r="E69" s="25" t="s">
        <v>5696</v>
      </c>
      <c r="F69" s="25" t="s">
        <v>1979</v>
      </c>
      <c r="G69" s="25">
        <v>3.19677720552E9</v>
      </c>
      <c r="H69" s="25">
        <v>6106457.61</v>
      </c>
      <c r="I69" s="26" t="s">
        <v>5441</v>
      </c>
      <c r="J69" s="26" t="s">
        <v>5442</v>
      </c>
      <c r="K69" s="26" t="str">
        <f t="shared" si="1"/>
        <v>ARB</v>
      </c>
      <c r="L69" s="26" t="str">
        <f t="shared" si="2"/>
        <v>Iosartan </v>
      </c>
      <c r="M69" s="26"/>
      <c r="Q69" s="69" t="s">
        <v>600</v>
      </c>
      <c r="R69" s="69" t="s">
        <v>1793</v>
      </c>
      <c r="S69" s="69" t="s">
        <v>1795</v>
      </c>
      <c r="T69" s="69" t="s">
        <v>5697</v>
      </c>
      <c r="U69" s="69" t="s">
        <v>5445</v>
      </c>
      <c r="V69" s="69" t="s">
        <v>5655</v>
      </c>
    </row>
    <row r="70" ht="17.25" customHeight="1">
      <c r="B70" s="25" t="s">
        <v>576</v>
      </c>
      <c r="C70" s="25" t="s">
        <v>5468</v>
      </c>
      <c r="D70" s="25" t="s">
        <v>862</v>
      </c>
      <c r="E70" s="25" t="s">
        <v>5698</v>
      </c>
      <c r="F70" s="25" t="s">
        <v>862</v>
      </c>
      <c r="G70" s="25">
        <v>9.820752651E7</v>
      </c>
      <c r="H70" s="25">
        <v>203750.08</v>
      </c>
      <c r="I70" s="26" t="s">
        <v>5441</v>
      </c>
      <c r="J70" s="26" t="s">
        <v>5442</v>
      </c>
      <c r="K70" s="26" t="str">
        <f t="shared" si="1"/>
        <v>ARB</v>
      </c>
      <c r="L70" s="26" t="str">
        <f t="shared" si="2"/>
        <v>Iosartan </v>
      </c>
      <c r="M70" s="26"/>
      <c r="Q70" s="69" t="s">
        <v>600</v>
      </c>
      <c r="R70" s="69" t="s">
        <v>5699</v>
      </c>
      <c r="S70" s="69" t="s">
        <v>5700</v>
      </c>
      <c r="T70" s="69" t="s">
        <v>5701</v>
      </c>
      <c r="U70" s="69" t="s">
        <v>5445</v>
      </c>
      <c r="V70" s="69" t="s">
        <v>5655</v>
      </c>
    </row>
    <row r="71" ht="17.25" customHeight="1">
      <c r="B71" s="25" t="s">
        <v>576</v>
      </c>
      <c r="C71" s="25" t="s">
        <v>5468</v>
      </c>
      <c r="D71" s="25" t="s">
        <v>730</v>
      </c>
      <c r="E71" s="25" t="s">
        <v>5702</v>
      </c>
      <c r="F71" s="25" t="s">
        <v>730</v>
      </c>
      <c r="G71" s="25">
        <v>8.585884975E7</v>
      </c>
      <c r="H71" s="25">
        <v>319177.91</v>
      </c>
      <c r="I71" s="26" t="s">
        <v>5441</v>
      </c>
      <c r="J71" s="26" t="s">
        <v>5442</v>
      </c>
      <c r="K71" s="26" t="str">
        <f t="shared" si="1"/>
        <v>ARB</v>
      </c>
      <c r="L71" s="26" t="str">
        <f t="shared" si="2"/>
        <v>Iosartan </v>
      </c>
      <c r="M71" s="26"/>
      <c r="Q71" s="69" t="s">
        <v>600</v>
      </c>
      <c r="R71" s="69" t="s">
        <v>1796</v>
      </c>
      <c r="S71" s="69" t="s">
        <v>1796</v>
      </c>
      <c r="T71" s="69" t="s">
        <v>5703</v>
      </c>
      <c r="U71" s="69" t="s">
        <v>5445</v>
      </c>
      <c r="V71" s="69" t="s">
        <v>5655</v>
      </c>
    </row>
    <row r="72" ht="17.25" customHeight="1">
      <c r="B72" s="25" t="s">
        <v>576</v>
      </c>
      <c r="C72" s="25" t="s">
        <v>5468</v>
      </c>
      <c r="D72" s="25" t="s">
        <v>715</v>
      </c>
      <c r="E72" s="25" t="s">
        <v>5704</v>
      </c>
      <c r="F72" s="25" t="s">
        <v>715</v>
      </c>
      <c r="G72" s="25">
        <v>6457980.6</v>
      </c>
      <c r="H72" s="25">
        <v>13398.3</v>
      </c>
      <c r="I72" s="26" t="s">
        <v>5441</v>
      </c>
      <c r="J72" s="26" t="s">
        <v>5442</v>
      </c>
      <c r="K72" s="26" t="str">
        <f t="shared" si="1"/>
        <v>ARB</v>
      </c>
      <c r="L72" s="26" t="str">
        <f t="shared" si="2"/>
        <v>Iosartan </v>
      </c>
      <c r="M72" s="26"/>
      <c r="Q72" s="69" t="s">
        <v>600</v>
      </c>
      <c r="R72" s="69" t="s">
        <v>5705</v>
      </c>
      <c r="S72" s="69" t="s">
        <v>5705</v>
      </c>
      <c r="T72" s="69" t="s">
        <v>5706</v>
      </c>
      <c r="U72" s="69" t="s">
        <v>5445</v>
      </c>
      <c r="V72" s="69" t="s">
        <v>5655</v>
      </c>
    </row>
    <row r="73" ht="17.25" customHeight="1">
      <c r="B73" s="25" t="s">
        <v>576</v>
      </c>
      <c r="C73" s="25" t="s">
        <v>5468</v>
      </c>
      <c r="D73" s="25" t="s">
        <v>701</v>
      </c>
      <c r="E73" s="25" t="s">
        <v>5707</v>
      </c>
      <c r="F73" s="25" t="s">
        <v>701</v>
      </c>
      <c r="G73" s="25">
        <v>2.3717167666E8</v>
      </c>
      <c r="H73" s="25">
        <v>428249.43</v>
      </c>
      <c r="I73" s="26" t="s">
        <v>5441</v>
      </c>
      <c r="J73" s="26" t="s">
        <v>5442</v>
      </c>
      <c r="K73" s="26" t="str">
        <f t="shared" si="1"/>
        <v>ARB</v>
      </c>
      <c r="L73" s="26" t="str">
        <f t="shared" si="2"/>
        <v>Iosartan </v>
      </c>
      <c r="M73" s="26"/>
      <c r="Q73" s="69" t="s">
        <v>600</v>
      </c>
      <c r="R73" s="69" t="s">
        <v>1802</v>
      </c>
      <c r="S73" s="69" t="s">
        <v>1804</v>
      </c>
      <c r="T73" s="69" t="s">
        <v>5708</v>
      </c>
      <c r="U73" s="69" t="s">
        <v>5445</v>
      </c>
      <c r="V73" s="69" t="s">
        <v>5655</v>
      </c>
    </row>
    <row r="74" ht="17.25" customHeight="1">
      <c r="B74" s="25" t="s">
        <v>576</v>
      </c>
      <c r="C74" s="25" t="s">
        <v>5468</v>
      </c>
      <c r="D74" s="25" t="s">
        <v>868</v>
      </c>
      <c r="E74" s="25" t="s">
        <v>5709</v>
      </c>
      <c r="F74" s="25" t="s">
        <v>868</v>
      </c>
      <c r="G74" s="25">
        <v>2.552859552E7</v>
      </c>
      <c r="H74" s="25">
        <v>53920.2</v>
      </c>
      <c r="I74" s="26" t="s">
        <v>5441</v>
      </c>
      <c r="J74" s="26" t="s">
        <v>5442</v>
      </c>
      <c r="K74" s="26" t="str">
        <f t="shared" si="1"/>
        <v>ARB</v>
      </c>
      <c r="L74" s="26" t="str">
        <f t="shared" si="2"/>
        <v>Iosartan </v>
      </c>
      <c r="M74" s="26"/>
      <c r="Q74" s="69" t="s">
        <v>600</v>
      </c>
      <c r="R74" s="69" t="s">
        <v>1836</v>
      </c>
      <c r="S74" s="69" t="s">
        <v>1804</v>
      </c>
      <c r="T74" s="69" t="s">
        <v>5710</v>
      </c>
      <c r="U74" s="69" t="s">
        <v>5445</v>
      </c>
      <c r="V74" s="69" t="s">
        <v>5655</v>
      </c>
    </row>
    <row r="75" ht="17.25" customHeight="1">
      <c r="B75" s="25" t="s">
        <v>576</v>
      </c>
      <c r="C75" s="25" t="s">
        <v>5468</v>
      </c>
      <c r="D75" s="25" t="s">
        <v>870</v>
      </c>
      <c r="E75" s="25" t="s">
        <v>5711</v>
      </c>
      <c r="F75" s="25" t="s">
        <v>870</v>
      </c>
      <c r="G75" s="25">
        <v>3.465925524E7</v>
      </c>
      <c r="H75" s="25">
        <v>71315.34</v>
      </c>
      <c r="I75" s="26" t="s">
        <v>5441</v>
      </c>
      <c r="J75" s="26" t="s">
        <v>5442</v>
      </c>
      <c r="K75" s="26" t="str">
        <f t="shared" si="1"/>
        <v>ARB</v>
      </c>
      <c r="L75" s="26" t="str">
        <f t="shared" si="2"/>
        <v>Iosartan </v>
      </c>
      <c r="M75" s="26"/>
      <c r="Q75" s="69" t="s">
        <v>600</v>
      </c>
      <c r="R75" s="69" t="s">
        <v>5712</v>
      </c>
      <c r="S75" s="69" t="s">
        <v>1804</v>
      </c>
      <c r="T75" s="69" t="s">
        <v>5713</v>
      </c>
      <c r="U75" s="69" t="s">
        <v>5445</v>
      </c>
      <c r="V75" s="69" t="s">
        <v>5655</v>
      </c>
    </row>
    <row r="76" ht="17.25" customHeight="1">
      <c r="B76" s="25" t="s">
        <v>576</v>
      </c>
      <c r="C76" s="25" t="s">
        <v>5468</v>
      </c>
      <c r="D76" s="25" t="s">
        <v>1038</v>
      </c>
      <c r="E76" s="25" t="s">
        <v>5714</v>
      </c>
      <c r="F76" s="25" t="s">
        <v>1038</v>
      </c>
      <c r="G76" s="25">
        <v>1.29222285E7</v>
      </c>
      <c r="H76" s="25">
        <v>31137.9</v>
      </c>
      <c r="I76" s="26" t="s">
        <v>5441</v>
      </c>
      <c r="J76" s="26" t="s">
        <v>5442</v>
      </c>
      <c r="K76" s="26" t="str">
        <f t="shared" si="1"/>
        <v>ARB</v>
      </c>
      <c r="L76" s="26" t="str">
        <f t="shared" si="2"/>
        <v>Iosartan </v>
      </c>
      <c r="M76" s="26"/>
      <c r="Q76" s="69" t="s">
        <v>600</v>
      </c>
      <c r="R76" s="69" t="s">
        <v>1840</v>
      </c>
      <c r="S76" s="69" t="s">
        <v>1842</v>
      </c>
      <c r="T76" s="69" t="s">
        <v>5715</v>
      </c>
      <c r="U76" s="69" t="s">
        <v>5445</v>
      </c>
      <c r="V76" s="69" t="s">
        <v>5655</v>
      </c>
    </row>
    <row r="77" ht="17.25" customHeight="1">
      <c r="B77" s="25" t="s">
        <v>576</v>
      </c>
      <c r="C77" s="25" t="s">
        <v>5468</v>
      </c>
      <c r="D77" s="25" t="s">
        <v>1040</v>
      </c>
      <c r="E77" s="25" t="s">
        <v>5716</v>
      </c>
      <c r="F77" s="25" t="s">
        <v>1040</v>
      </c>
      <c r="G77" s="25">
        <v>8.095366876E7</v>
      </c>
      <c r="H77" s="25">
        <v>140273.37</v>
      </c>
      <c r="I77" s="26" t="s">
        <v>5441</v>
      </c>
      <c r="J77" s="26" t="s">
        <v>5442</v>
      </c>
      <c r="K77" s="26" t="str">
        <f t="shared" si="1"/>
        <v>ARB</v>
      </c>
      <c r="L77" s="26" t="str">
        <f t="shared" si="2"/>
        <v>Iosartan </v>
      </c>
      <c r="M77" s="26"/>
      <c r="Q77" s="69" t="s">
        <v>596</v>
      </c>
      <c r="R77" s="69" t="s">
        <v>5717</v>
      </c>
      <c r="S77" s="69" t="s">
        <v>5718</v>
      </c>
      <c r="T77" s="69" t="s">
        <v>5719</v>
      </c>
      <c r="U77" s="69" t="s">
        <v>5445</v>
      </c>
      <c r="V77" s="69" t="s">
        <v>1508</v>
      </c>
    </row>
    <row r="78" ht="17.25" customHeight="1">
      <c r="B78" s="25" t="s">
        <v>576</v>
      </c>
      <c r="C78" s="25" t="s">
        <v>5468</v>
      </c>
      <c r="D78" s="25" t="s">
        <v>983</v>
      </c>
      <c r="E78" s="25" t="s">
        <v>5720</v>
      </c>
      <c r="F78" s="25" t="s">
        <v>983</v>
      </c>
      <c r="G78" s="25">
        <v>2.792436825E7</v>
      </c>
      <c r="H78" s="25">
        <v>59180.71</v>
      </c>
      <c r="I78" s="26" t="s">
        <v>5441</v>
      </c>
      <c r="J78" s="26" t="s">
        <v>5442</v>
      </c>
      <c r="K78" s="26" t="str">
        <f t="shared" si="1"/>
        <v>ARB</v>
      </c>
      <c r="L78" s="26" t="str">
        <f t="shared" si="2"/>
        <v>Iosartan </v>
      </c>
      <c r="M78" s="26"/>
      <c r="Q78" s="69" t="s">
        <v>596</v>
      </c>
      <c r="R78" s="69" t="s">
        <v>1506</v>
      </c>
      <c r="S78" s="69" t="s">
        <v>5721</v>
      </c>
      <c r="T78" s="69" t="s">
        <v>5722</v>
      </c>
      <c r="U78" s="69" t="s">
        <v>5445</v>
      </c>
      <c r="V78" s="69" t="s">
        <v>1508</v>
      </c>
    </row>
    <row r="79" ht="17.25" customHeight="1">
      <c r="B79" s="25" t="s">
        <v>576</v>
      </c>
      <c r="C79" s="25" t="s">
        <v>5468</v>
      </c>
      <c r="D79" s="25" t="s">
        <v>734</v>
      </c>
      <c r="E79" s="25" t="s">
        <v>5723</v>
      </c>
      <c r="F79" s="25" t="s">
        <v>734</v>
      </c>
      <c r="G79" s="25">
        <v>6572496.1</v>
      </c>
      <c r="H79" s="25">
        <v>15837.34</v>
      </c>
      <c r="I79" s="26" t="s">
        <v>5441</v>
      </c>
      <c r="J79" s="26" t="s">
        <v>5442</v>
      </c>
      <c r="K79" s="26" t="str">
        <f t="shared" si="1"/>
        <v>ARB</v>
      </c>
      <c r="L79" s="26" t="str">
        <f t="shared" si="2"/>
        <v>Iosartan </v>
      </c>
      <c r="M79" s="26"/>
      <c r="Q79" s="69" t="s">
        <v>596</v>
      </c>
      <c r="R79" s="69" t="s">
        <v>1511</v>
      </c>
      <c r="S79" s="69" t="s">
        <v>5724</v>
      </c>
      <c r="T79" s="69" t="s">
        <v>5725</v>
      </c>
      <c r="U79" s="69" t="s">
        <v>5445</v>
      </c>
      <c r="V79" s="69" t="s">
        <v>1508</v>
      </c>
    </row>
    <row r="80" ht="17.25" customHeight="1">
      <c r="B80" s="25" t="s">
        <v>576</v>
      </c>
      <c r="C80" s="25" t="s">
        <v>5468</v>
      </c>
      <c r="D80" s="25" t="s">
        <v>999</v>
      </c>
      <c r="E80" s="25" t="s">
        <v>5726</v>
      </c>
      <c r="F80" s="25" t="s">
        <v>999</v>
      </c>
      <c r="G80" s="25">
        <v>2.463466269E7</v>
      </c>
      <c r="H80" s="25">
        <v>51645.07</v>
      </c>
      <c r="I80" s="26" t="s">
        <v>5441</v>
      </c>
      <c r="J80" s="26" t="s">
        <v>5442</v>
      </c>
      <c r="K80" s="26" t="str">
        <f t="shared" si="1"/>
        <v>ARB</v>
      </c>
      <c r="L80" s="26" t="str">
        <f t="shared" si="2"/>
        <v>Iosartan </v>
      </c>
      <c r="M80" s="26"/>
      <c r="Q80" s="69" t="s">
        <v>596</v>
      </c>
      <c r="R80" s="69" t="s">
        <v>1523</v>
      </c>
      <c r="S80" s="69" t="s">
        <v>5727</v>
      </c>
      <c r="T80" s="69" t="s">
        <v>5728</v>
      </c>
      <c r="U80" s="69" t="s">
        <v>5445</v>
      </c>
      <c r="V80" s="69" t="s">
        <v>1508</v>
      </c>
    </row>
    <row r="81" ht="17.25" customHeight="1">
      <c r="B81" s="25" t="s">
        <v>576</v>
      </c>
      <c r="C81" s="25" t="s">
        <v>5468</v>
      </c>
      <c r="D81" s="25" t="s">
        <v>880</v>
      </c>
      <c r="E81" s="25" t="s">
        <v>5729</v>
      </c>
      <c r="F81" s="25" t="s">
        <v>880</v>
      </c>
      <c r="G81" s="25">
        <v>3.3141187044E8</v>
      </c>
      <c r="H81" s="25">
        <v>620036.35</v>
      </c>
      <c r="I81" s="26" t="s">
        <v>5441</v>
      </c>
      <c r="J81" s="26" t="s">
        <v>5442</v>
      </c>
      <c r="K81" s="26" t="str">
        <f t="shared" si="1"/>
        <v>ARB</v>
      </c>
      <c r="L81" s="26" t="str">
        <f t="shared" si="2"/>
        <v>Iosartan </v>
      </c>
      <c r="M81" s="26"/>
      <c r="Q81" s="69" t="s">
        <v>596</v>
      </c>
      <c r="R81" s="69" t="s">
        <v>5730</v>
      </c>
      <c r="S81" s="69" t="s">
        <v>5731</v>
      </c>
      <c r="T81" s="69" t="s">
        <v>5732</v>
      </c>
      <c r="U81" s="69" t="s">
        <v>5445</v>
      </c>
      <c r="V81" s="69" t="s">
        <v>1508</v>
      </c>
    </row>
    <row r="82" ht="17.25" customHeight="1">
      <c r="B82" s="25" t="s">
        <v>576</v>
      </c>
      <c r="C82" s="25" t="s">
        <v>5468</v>
      </c>
      <c r="D82" s="25" t="s">
        <v>886</v>
      </c>
      <c r="E82" s="25" t="s">
        <v>5733</v>
      </c>
      <c r="F82" s="25" t="s">
        <v>886</v>
      </c>
      <c r="G82" s="25">
        <v>2.942884488E7</v>
      </c>
      <c r="H82" s="25">
        <v>60305.01</v>
      </c>
      <c r="I82" s="26" t="s">
        <v>5441</v>
      </c>
      <c r="J82" s="26" t="s">
        <v>5442</v>
      </c>
      <c r="K82" s="26" t="str">
        <f t="shared" si="1"/>
        <v>ARB</v>
      </c>
      <c r="L82" s="26" t="str">
        <f t="shared" si="2"/>
        <v>Iosartan </v>
      </c>
      <c r="M82" s="26"/>
      <c r="Q82" s="69" t="s">
        <v>596</v>
      </c>
      <c r="R82" s="69" t="s">
        <v>1526</v>
      </c>
      <c r="S82" s="69" t="s">
        <v>5734</v>
      </c>
      <c r="T82" s="69" t="s">
        <v>5735</v>
      </c>
      <c r="U82" s="69" t="s">
        <v>5445</v>
      </c>
      <c r="V82" s="69" t="s">
        <v>1508</v>
      </c>
    </row>
    <row r="83" ht="17.25" customHeight="1">
      <c r="B83" s="25" t="s">
        <v>576</v>
      </c>
      <c r="C83" s="25" t="s">
        <v>5468</v>
      </c>
      <c r="D83" s="25" t="s">
        <v>838</v>
      </c>
      <c r="E83" s="25" t="s">
        <v>5736</v>
      </c>
      <c r="F83" s="25" t="s">
        <v>838</v>
      </c>
      <c r="G83" s="25">
        <v>5077984.38</v>
      </c>
      <c r="H83" s="25">
        <v>10601.22</v>
      </c>
      <c r="I83" s="26" t="s">
        <v>5441</v>
      </c>
      <c r="J83" s="26" t="s">
        <v>5442</v>
      </c>
      <c r="K83" s="26" t="str">
        <f t="shared" si="1"/>
        <v>ARB</v>
      </c>
      <c r="L83" s="26" t="str">
        <f t="shared" si="2"/>
        <v>Iosartan </v>
      </c>
      <c r="M83" s="26"/>
      <c r="Q83" s="69" t="s">
        <v>596</v>
      </c>
      <c r="R83" s="69" t="s">
        <v>1537</v>
      </c>
      <c r="S83" s="69" t="s">
        <v>5737</v>
      </c>
      <c r="T83" s="69" t="s">
        <v>5738</v>
      </c>
      <c r="U83" s="69" t="s">
        <v>5445</v>
      </c>
      <c r="V83" s="69" t="s">
        <v>1508</v>
      </c>
    </row>
    <row r="84" ht="17.25" customHeight="1">
      <c r="B84" s="25" t="s">
        <v>576</v>
      </c>
      <c r="C84" s="25" t="s">
        <v>5468</v>
      </c>
      <c r="D84" s="25" t="s">
        <v>898</v>
      </c>
      <c r="E84" s="25" t="s">
        <v>5739</v>
      </c>
      <c r="F84" s="25" t="s">
        <v>898</v>
      </c>
      <c r="G84" s="25">
        <v>2874871.0</v>
      </c>
      <c r="H84" s="25">
        <v>6927.4</v>
      </c>
      <c r="I84" s="26" t="s">
        <v>5441</v>
      </c>
      <c r="J84" s="26" t="s">
        <v>5442</v>
      </c>
      <c r="K84" s="26" t="str">
        <f t="shared" si="1"/>
        <v>ARB</v>
      </c>
      <c r="L84" s="26" t="str">
        <f t="shared" si="2"/>
        <v>Iosartan </v>
      </c>
      <c r="M84" s="26"/>
      <c r="Q84" s="69" t="s">
        <v>596</v>
      </c>
      <c r="R84" s="69" t="s">
        <v>1541</v>
      </c>
      <c r="S84" s="69" t="s">
        <v>5740</v>
      </c>
      <c r="T84" s="69" t="s">
        <v>5741</v>
      </c>
      <c r="U84" s="69" t="s">
        <v>5445</v>
      </c>
      <c r="V84" s="69" t="s">
        <v>1508</v>
      </c>
    </row>
    <row r="85" ht="17.25" customHeight="1">
      <c r="B85" s="25" t="s">
        <v>576</v>
      </c>
      <c r="C85" s="25" t="s">
        <v>5468</v>
      </c>
      <c r="D85" s="25" t="s">
        <v>900</v>
      </c>
      <c r="E85" s="25" t="s">
        <v>5742</v>
      </c>
      <c r="F85" s="25" t="s">
        <v>900</v>
      </c>
      <c r="G85" s="25">
        <v>4.988866891E7</v>
      </c>
      <c r="H85" s="25">
        <v>120213.67</v>
      </c>
      <c r="I85" s="26" t="s">
        <v>5441</v>
      </c>
      <c r="J85" s="26" t="s">
        <v>5442</v>
      </c>
      <c r="K85" s="26" t="str">
        <f t="shared" si="1"/>
        <v>ARB</v>
      </c>
      <c r="L85" s="26" t="str">
        <f t="shared" si="2"/>
        <v>Iosartan </v>
      </c>
      <c r="M85" s="26"/>
      <c r="Q85" s="69" t="s">
        <v>596</v>
      </c>
      <c r="R85" s="69" t="s">
        <v>5743</v>
      </c>
      <c r="S85" s="69" t="s">
        <v>5740</v>
      </c>
      <c r="T85" s="69" t="s">
        <v>5744</v>
      </c>
      <c r="U85" s="69" t="s">
        <v>5445</v>
      </c>
      <c r="V85" s="69" t="s">
        <v>1508</v>
      </c>
    </row>
    <row r="86" ht="17.25" customHeight="1">
      <c r="B86" s="25" t="s">
        <v>576</v>
      </c>
      <c r="C86" s="25" t="s">
        <v>5468</v>
      </c>
      <c r="D86" s="25" t="s">
        <v>906</v>
      </c>
      <c r="E86" s="25" t="s">
        <v>5745</v>
      </c>
      <c r="F86" s="25" t="s">
        <v>906</v>
      </c>
      <c r="G86" s="25">
        <v>1.90213673E7</v>
      </c>
      <c r="H86" s="25">
        <v>45834.62</v>
      </c>
      <c r="I86" s="26" t="s">
        <v>5441</v>
      </c>
      <c r="J86" s="26" t="s">
        <v>5442</v>
      </c>
      <c r="K86" s="26" t="str">
        <f t="shared" si="1"/>
        <v>ARB</v>
      </c>
      <c r="L86" s="26" t="str">
        <f t="shared" si="2"/>
        <v>Iosartan </v>
      </c>
      <c r="M86" s="26"/>
      <c r="Q86" s="69" t="s">
        <v>596</v>
      </c>
      <c r="R86" s="69" t="s">
        <v>5746</v>
      </c>
      <c r="S86" s="69" t="s">
        <v>5747</v>
      </c>
      <c r="T86" s="69" t="s">
        <v>5748</v>
      </c>
      <c r="U86" s="69" t="s">
        <v>5445</v>
      </c>
      <c r="V86" s="69" t="s">
        <v>1508</v>
      </c>
    </row>
    <row r="87" ht="17.25" customHeight="1">
      <c r="B87" s="25" t="s">
        <v>576</v>
      </c>
      <c r="C87" s="25" t="s">
        <v>5468</v>
      </c>
      <c r="D87" s="25" t="s">
        <v>717</v>
      </c>
      <c r="E87" s="25" t="s">
        <v>5749</v>
      </c>
      <c r="F87" s="25" t="s">
        <v>717</v>
      </c>
      <c r="G87" s="25">
        <v>3454851.05</v>
      </c>
      <c r="H87" s="25">
        <v>7094.15</v>
      </c>
      <c r="I87" s="26" t="s">
        <v>5441</v>
      </c>
      <c r="J87" s="26" t="s">
        <v>5442</v>
      </c>
      <c r="K87" s="26" t="str">
        <f t="shared" si="1"/>
        <v>ARB</v>
      </c>
      <c r="L87" s="26" t="str">
        <f t="shared" si="2"/>
        <v>Iosartan </v>
      </c>
      <c r="M87" s="26"/>
      <c r="Q87" s="69" t="s">
        <v>596</v>
      </c>
      <c r="R87" s="69" t="s">
        <v>1587</v>
      </c>
      <c r="S87" s="69" t="s">
        <v>5750</v>
      </c>
      <c r="T87" s="69" t="s">
        <v>5751</v>
      </c>
      <c r="U87" s="69" t="s">
        <v>5445</v>
      </c>
      <c r="V87" s="69" t="s">
        <v>1508</v>
      </c>
    </row>
    <row r="88" ht="17.25" customHeight="1">
      <c r="B88" s="25" t="s">
        <v>576</v>
      </c>
      <c r="C88" s="25" t="s">
        <v>5468</v>
      </c>
      <c r="D88" s="25" t="s">
        <v>915</v>
      </c>
      <c r="E88" s="25" t="s">
        <v>5752</v>
      </c>
      <c r="F88" s="25" t="s">
        <v>915</v>
      </c>
      <c r="G88" s="25">
        <v>4.536355083E7</v>
      </c>
      <c r="H88" s="25">
        <v>93148.98</v>
      </c>
      <c r="I88" s="26" t="s">
        <v>5441</v>
      </c>
      <c r="J88" s="26" t="s">
        <v>5442</v>
      </c>
      <c r="K88" s="26" t="str">
        <f t="shared" si="1"/>
        <v>ARB</v>
      </c>
      <c r="L88" s="26" t="str">
        <f t="shared" si="2"/>
        <v>Iosartan </v>
      </c>
      <c r="M88" s="26"/>
      <c r="Q88" s="69" t="s">
        <v>596</v>
      </c>
      <c r="R88" s="69" t="s">
        <v>1590</v>
      </c>
      <c r="S88" s="69" t="s">
        <v>5753</v>
      </c>
      <c r="T88" s="69" t="s">
        <v>5754</v>
      </c>
      <c r="U88" s="69" t="s">
        <v>5445</v>
      </c>
      <c r="V88" s="69" t="s">
        <v>1508</v>
      </c>
    </row>
    <row r="89" ht="17.25" customHeight="1">
      <c r="B89" s="25" t="s">
        <v>576</v>
      </c>
      <c r="C89" s="25" t="s">
        <v>5468</v>
      </c>
      <c r="D89" s="25" t="s">
        <v>917</v>
      </c>
      <c r="E89" s="25" t="s">
        <v>5755</v>
      </c>
      <c r="F89" s="25" t="s">
        <v>917</v>
      </c>
      <c r="G89" s="25">
        <v>7.7470175598E8</v>
      </c>
      <c r="H89" s="25">
        <v>1466038.47</v>
      </c>
      <c r="I89" s="26" t="s">
        <v>5441</v>
      </c>
      <c r="J89" s="26" t="s">
        <v>5442</v>
      </c>
      <c r="K89" s="26" t="str">
        <f t="shared" si="1"/>
        <v>ARB</v>
      </c>
      <c r="L89" s="26" t="str">
        <f t="shared" si="2"/>
        <v>Iosartan </v>
      </c>
      <c r="M89" s="26"/>
      <c r="Q89" s="69" t="s">
        <v>604</v>
      </c>
      <c r="R89" s="69" t="s">
        <v>5756</v>
      </c>
      <c r="S89" s="69" t="s">
        <v>5551</v>
      </c>
      <c r="T89" s="69" t="s">
        <v>5757</v>
      </c>
      <c r="U89" s="69" t="s">
        <v>5502</v>
      </c>
      <c r="V89" s="69" t="s">
        <v>5552</v>
      </c>
    </row>
    <row r="90" ht="17.25" customHeight="1">
      <c r="B90" s="25" t="s">
        <v>576</v>
      </c>
      <c r="C90" s="25" t="s">
        <v>5468</v>
      </c>
      <c r="D90" s="25" t="s">
        <v>927</v>
      </c>
      <c r="E90" s="25" t="s">
        <v>5758</v>
      </c>
      <c r="F90" s="25" t="s">
        <v>927</v>
      </c>
      <c r="G90" s="25">
        <v>2.015443767E7</v>
      </c>
      <c r="H90" s="25">
        <v>38909.28</v>
      </c>
      <c r="I90" s="26" t="s">
        <v>5441</v>
      </c>
      <c r="J90" s="26" t="s">
        <v>5442</v>
      </c>
      <c r="K90" s="26" t="str">
        <f t="shared" si="1"/>
        <v>ARB</v>
      </c>
      <c r="L90" s="26" t="str">
        <f t="shared" si="2"/>
        <v>Iosartan </v>
      </c>
      <c r="M90" s="26"/>
      <c r="Q90" s="69" t="s">
        <v>604</v>
      </c>
      <c r="R90" s="69" t="s">
        <v>5759</v>
      </c>
      <c r="S90" s="69" t="s">
        <v>5558</v>
      </c>
      <c r="T90" s="69" t="s">
        <v>5760</v>
      </c>
      <c r="U90" s="69" t="s">
        <v>5502</v>
      </c>
      <c r="V90" s="69" t="s">
        <v>5552</v>
      </c>
    </row>
    <row r="91" ht="17.25" customHeight="1">
      <c r="B91" s="25" t="s">
        <v>576</v>
      </c>
      <c r="C91" s="25" t="s">
        <v>5468</v>
      </c>
      <c r="D91" s="25" t="s">
        <v>935</v>
      </c>
      <c r="E91" s="25" t="s">
        <v>5761</v>
      </c>
      <c r="F91" s="25" t="s">
        <v>935</v>
      </c>
      <c r="G91" s="25">
        <v>4.005874665E8</v>
      </c>
      <c r="H91" s="25">
        <v>666788.67</v>
      </c>
      <c r="I91" s="26" t="s">
        <v>5441</v>
      </c>
      <c r="J91" s="26" t="s">
        <v>5442</v>
      </c>
      <c r="K91" s="26" t="str">
        <f t="shared" si="1"/>
        <v>ARB</v>
      </c>
      <c r="L91" s="26" t="str">
        <f t="shared" si="2"/>
        <v>Iosartan </v>
      </c>
      <c r="M91" s="26"/>
      <c r="Q91" s="69" t="s">
        <v>596</v>
      </c>
      <c r="R91" s="69" t="s">
        <v>1606</v>
      </c>
      <c r="S91" s="69" t="s">
        <v>5762</v>
      </c>
      <c r="T91" s="69" t="s">
        <v>5763</v>
      </c>
      <c r="U91" s="69" t="s">
        <v>5445</v>
      </c>
      <c r="V91" s="69" t="s">
        <v>1508</v>
      </c>
    </row>
    <row r="92" ht="17.25" customHeight="1">
      <c r="B92" s="25" t="s">
        <v>576</v>
      </c>
      <c r="C92" s="25" t="s">
        <v>5468</v>
      </c>
      <c r="D92" s="25" t="s">
        <v>736</v>
      </c>
      <c r="E92" s="25" t="s">
        <v>5764</v>
      </c>
      <c r="F92" s="25" t="s">
        <v>736</v>
      </c>
      <c r="G92" s="25">
        <v>4353192.45</v>
      </c>
      <c r="H92" s="25">
        <v>13072.65</v>
      </c>
      <c r="I92" s="26" t="s">
        <v>5441</v>
      </c>
      <c r="J92" s="26" t="s">
        <v>5442</v>
      </c>
      <c r="K92" s="26" t="str">
        <f t="shared" si="1"/>
        <v>ARB</v>
      </c>
      <c r="L92" s="26" t="str">
        <f t="shared" si="2"/>
        <v>Iosartan </v>
      </c>
      <c r="M92" s="26"/>
      <c r="Q92" s="69" t="s">
        <v>596</v>
      </c>
      <c r="R92" s="69" t="s">
        <v>5765</v>
      </c>
      <c r="S92" s="69" t="s">
        <v>5765</v>
      </c>
      <c r="T92" s="69" t="s">
        <v>5766</v>
      </c>
      <c r="U92" s="69" t="s">
        <v>5445</v>
      </c>
      <c r="V92" s="69" t="s">
        <v>1508</v>
      </c>
    </row>
    <row r="93" ht="17.25" customHeight="1">
      <c r="B93" s="25" t="s">
        <v>576</v>
      </c>
      <c r="C93" s="25" t="s">
        <v>5468</v>
      </c>
      <c r="D93" s="25" t="s">
        <v>1050</v>
      </c>
      <c r="E93" s="25" t="s">
        <v>5767</v>
      </c>
      <c r="F93" s="25" t="s">
        <v>1050</v>
      </c>
      <c r="G93" s="25">
        <v>2.1809284327E8</v>
      </c>
      <c r="H93" s="25">
        <v>437435.59</v>
      </c>
      <c r="I93" s="26" t="s">
        <v>5441</v>
      </c>
      <c r="J93" s="26" t="s">
        <v>5442</v>
      </c>
      <c r="K93" s="26" t="str">
        <f t="shared" si="1"/>
        <v>ARB</v>
      </c>
      <c r="L93" s="26" t="str">
        <f t="shared" si="2"/>
        <v>Iosartan </v>
      </c>
      <c r="M93" s="26"/>
      <c r="Q93" s="69" t="s">
        <v>596</v>
      </c>
      <c r="R93" s="69" t="s">
        <v>1611</v>
      </c>
      <c r="S93" s="69" t="s">
        <v>5768</v>
      </c>
      <c r="T93" s="69" t="s">
        <v>5769</v>
      </c>
      <c r="U93" s="69" t="s">
        <v>5445</v>
      </c>
      <c r="V93" s="69" t="s">
        <v>1508</v>
      </c>
    </row>
    <row r="94" ht="17.25" customHeight="1">
      <c r="B94" s="25" t="s">
        <v>576</v>
      </c>
      <c r="C94" s="25" t="s">
        <v>5473</v>
      </c>
      <c r="D94" s="25" t="s">
        <v>935</v>
      </c>
      <c r="E94" s="25" t="s">
        <v>5761</v>
      </c>
      <c r="F94" s="25" t="s">
        <v>935</v>
      </c>
      <c r="G94" s="25">
        <v>2230800.0</v>
      </c>
      <c r="H94" s="25">
        <v>6864.0</v>
      </c>
      <c r="I94" s="26" t="s">
        <v>5441</v>
      </c>
      <c r="J94" s="26" t="s">
        <v>5442</v>
      </c>
      <c r="K94" s="26" t="str">
        <f t="shared" si="1"/>
        <v>ARB</v>
      </c>
      <c r="L94" s="26" t="str">
        <f t="shared" si="2"/>
        <v>Iosartan </v>
      </c>
      <c r="M94" s="26"/>
      <c r="Q94" s="69" t="s">
        <v>5770</v>
      </c>
      <c r="R94" s="69" t="s">
        <v>5771</v>
      </c>
      <c r="S94" s="69" t="s">
        <v>5772</v>
      </c>
      <c r="T94" s="69" t="s">
        <v>5773</v>
      </c>
      <c r="U94" s="69" t="s">
        <v>5502</v>
      </c>
      <c r="V94" s="69" t="s">
        <v>5774</v>
      </c>
    </row>
    <row r="95" ht="17.25" customHeight="1">
      <c r="B95" s="25" t="s">
        <v>576</v>
      </c>
      <c r="C95" s="25" t="s">
        <v>5473</v>
      </c>
      <c r="D95" s="25" t="s">
        <v>1050</v>
      </c>
      <c r="E95" s="25" t="s">
        <v>5767</v>
      </c>
      <c r="F95" s="25" t="s">
        <v>1050</v>
      </c>
      <c r="G95" s="25">
        <v>5.64720842E8</v>
      </c>
      <c r="H95" s="25">
        <v>1737602.84</v>
      </c>
      <c r="I95" s="26" t="s">
        <v>5441</v>
      </c>
      <c r="J95" s="26" t="s">
        <v>5442</v>
      </c>
      <c r="K95" s="26" t="str">
        <f t="shared" si="1"/>
        <v>ARB</v>
      </c>
      <c r="L95" s="26" t="str">
        <f t="shared" si="2"/>
        <v>Iosartan </v>
      </c>
      <c r="M95" s="26"/>
      <c r="Q95" s="69" t="s">
        <v>605</v>
      </c>
      <c r="R95" s="69" t="s">
        <v>5775</v>
      </c>
      <c r="S95" s="69" t="s">
        <v>5776</v>
      </c>
      <c r="T95" s="69" t="s">
        <v>5777</v>
      </c>
      <c r="U95" s="69" t="s">
        <v>5445</v>
      </c>
      <c r="V95" s="69" t="s">
        <v>5778</v>
      </c>
    </row>
    <row r="96" ht="17.25" customHeight="1">
      <c r="B96" s="25" t="s">
        <v>576</v>
      </c>
      <c r="C96" s="25" t="s">
        <v>5477</v>
      </c>
      <c r="D96" s="25" t="s">
        <v>739</v>
      </c>
      <c r="E96" s="25" t="s">
        <v>5779</v>
      </c>
      <c r="F96" s="25" t="s">
        <v>739</v>
      </c>
      <c r="G96" s="25">
        <v>1.253552354E7</v>
      </c>
      <c r="H96" s="25">
        <v>44378.52</v>
      </c>
      <c r="I96" s="26" t="s">
        <v>5441</v>
      </c>
      <c r="J96" s="26" t="s">
        <v>5442</v>
      </c>
      <c r="K96" s="26" t="str">
        <f t="shared" si="1"/>
        <v>ARB</v>
      </c>
      <c r="L96" s="26" t="str">
        <f t="shared" si="2"/>
        <v>Olmesartan </v>
      </c>
      <c r="M96" s="26"/>
      <c r="Q96" s="69" t="s">
        <v>605</v>
      </c>
      <c r="R96" s="69" t="s">
        <v>5780</v>
      </c>
      <c r="S96" s="69" t="s">
        <v>5781</v>
      </c>
      <c r="T96" s="69" t="s">
        <v>5782</v>
      </c>
      <c r="U96" s="69" t="s">
        <v>5445</v>
      </c>
      <c r="V96" s="69" t="s">
        <v>5778</v>
      </c>
    </row>
    <row r="97" ht="17.25" customHeight="1">
      <c r="B97" s="25" t="s">
        <v>576</v>
      </c>
      <c r="C97" s="25" t="s">
        <v>5477</v>
      </c>
      <c r="D97" s="25" t="s">
        <v>742</v>
      </c>
      <c r="E97" s="25" t="s">
        <v>5783</v>
      </c>
      <c r="F97" s="25" t="s">
        <v>742</v>
      </c>
      <c r="G97" s="25">
        <v>2.754816318E7</v>
      </c>
      <c r="H97" s="25">
        <v>77819.67</v>
      </c>
      <c r="I97" s="26" t="s">
        <v>5441</v>
      </c>
      <c r="J97" s="26" t="s">
        <v>5442</v>
      </c>
      <c r="K97" s="26" t="str">
        <f t="shared" si="1"/>
        <v>ARB</v>
      </c>
      <c r="L97" s="26" t="str">
        <f t="shared" si="2"/>
        <v>Olmesartan </v>
      </c>
      <c r="M97" s="26"/>
      <c r="Q97" s="69" t="s">
        <v>605</v>
      </c>
      <c r="R97" s="69" t="s">
        <v>5784</v>
      </c>
      <c r="S97" s="69" t="s">
        <v>5781</v>
      </c>
      <c r="T97" s="69" t="s">
        <v>5785</v>
      </c>
      <c r="U97" s="69" t="s">
        <v>5445</v>
      </c>
      <c r="V97" s="69" t="s">
        <v>5778</v>
      </c>
    </row>
    <row r="98" ht="17.25" customHeight="1">
      <c r="B98" s="25" t="s">
        <v>576</v>
      </c>
      <c r="C98" s="25" t="s">
        <v>5477</v>
      </c>
      <c r="D98" s="25" t="s">
        <v>763</v>
      </c>
      <c r="E98" s="25" t="s">
        <v>5786</v>
      </c>
      <c r="F98" s="25" t="s">
        <v>763</v>
      </c>
      <c r="G98" s="25">
        <v>2.7120928018E9</v>
      </c>
      <c r="H98" s="25">
        <v>7533182.9</v>
      </c>
      <c r="I98" s="26" t="s">
        <v>5441</v>
      </c>
      <c r="J98" s="26" t="s">
        <v>5442</v>
      </c>
      <c r="K98" s="26" t="str">
        <f t="shared" si="1"/>
        <v>ARB</v>
      </c>
      <c r="L98" s="26" t="str">
        <f t="shared" si="2"/>
        <v>Olmesartan </v>
      </c>
      <c r="M98" s="26"/>
      <c r="Q98" s="69" t="s">
        <v>605</v>
      </c>
      <c r="R98" s="69" t="s">
        <v>5787</v>
      </c>
      <c r="S98" s="69" t="s">
        <v>5788</v>
      </c>
      <c r="T98" s="69" t="s">
        <v>5789</v>
      </c>
      <c r="U98" s="69" t="s">
        <v>5445</v>
      </c>
      <c r="V98" s="69" t="s">
        <v>5778</v>
      </c>
    </row>
    <row r="99" ht="17.25" customHeight="1">
      <c r="B99" s="25" t="s">
        <v>576</v>
      </c>
      <c r="C99" s="25" t="s">
        <v>5477</v>
      </c>
      <c r="D99" s="25" t="s">
        <v>770</v>
      </c>
      <c r="E99" s="25" t="s">
        <v>5790</v>
      </c>
      <c r="F99" s="25" t="s">
        <v>770</v>
      </c>
      <c r="G99" s="25">
        <v>1.104488167E7</v>
      </c>
      <c r="H99" s="25">
        <v>39144.19</v>
      </c>
      <c r="I99" s="26" t="s">
        <v>5441</v>
      </c>
      <c r="J99" s="26" t="s">
        <v>5442</v>
      </c>
      <c r="K99" s="26" t="str">
        <f t="shared" si="1"/>
        <v>ARB</v>
      </c>
      <c r="L99" s="26" t="str">
        <f t="shared" si="2"/>
        <v>Olmesartan </v>
      </c>
      <c r="M99" s="26"/>
      <c r="Q99" s="69" t="s">
        <v>606</v>
      </c>
      <c r="R99" s="69" t="s">
        <v>5791</v>
      </c>
      <c r="S99" s="69" t="s">
        <v>5792</v>
      </c>
      <c r="T99" s="69" t="s">
        <v>5793</v>
      </c>
      <c r="U99" s="69" t="s">
        <v>5445</v>
      </c>
      <c r="V99" s="69" t="s">
        <v>5778</v>
      </c>
    </row>
    <row r="100" ht="17.25" customHeight="1">
      <c r="B100" s="25" t="s">
        <v>576</v>
      </c>
      <c r="C100" s="25" t="s">
        <v>5477</v>
      </c>
      <c r="D100" s="25" t="s">
        <v>772</v>
      </c>
      <c r="E100" s="25" t="s">
        <v>5794</v>
      </c>
      <c r="F100" s="25" t="s">
        <v>772</v>
      </c>
      <c r="G100" s="25">
        <v>1.845232896E7</v>
      </c>
      <c r="H100" s="25">
        <v>44356.56</v>
      </c>
      <c r="I100" s="26" t="s">
        <v>5441</v>
      </c>
      <c r="J100" s="26" t="s">
        <v>5442</v>
      </c>
      <c r="K100" s="26" t="str">
        <f t="shared" si="1"/>
        <v>ARB</v>
      </c>
      <c r="L100" s="26" t="str">
        <f t="shared" si="2"/>
        <v>Olmesartan </v>
      </c>
      <c r="M100" s="26"/>
      <c r="Q100" s="69" t="s">
        <v>606</v>
      </c>
      <c r="R100" s="69" t="s">
        <v>5795</v>
      </c>
      <c r="S100" s="69" t="s">
        <v>5796</v>
      </c>
      <c r="T100" s="69" t="s">
        <v>5797</v>
      </c>
      <c r="U100" s="69" t="s">
        <v>5445</v>
      </c>
      <c r="V100" s="69" t="s">
        <v>5778</v>
      </c>
    </row>
    <row r="101" ht="17.25" customHeight="1">
      <c r="B101" s="25" t="s">
        <v>576</v>
      </c>
      <c r="C101" s="25" t="s">
        <v>5477</v>
      </c>
      <c r="D101" s="25" t="s">
        <v>776</v>
      </c>
      <c r="E101" s="25" t="s">
        <v>5798</v>
      </c>
      <c r="F101" s="25" t="s">
        <v>776</v>
      </c>
      <c r="G101" s="25">
        <v>1.912448059E8</v>
      </c>
      <c r="H101" s="25">
        <v>554148.15</v>
      </c>
      <c r="I101" s="26" t="s">
        <v>5441</v>
      </c>
      <c r="J101" s="26" t="s">
        <v>5442</v>
      </c>
      <c r="K101" s="26" t="str">
        <f t="shared" si="1"/>
        <v>ARB</v>
      </c>
      <c r="L101" s="26" t="str">
        <f t="shared" si="2"/>
        <v>Olmesartan </v>
      </c>
      <c r="M101" s="26"/>
      <c r="Q101" s="69" t="s">
        <v>606</v>
      </c>
      <c r="R101" s="69" t="s">
        <v>5799</v>
      </c>
      <c r="S101" s="69" t="s">
        <v>5800</v>
      </c>
      <c r="T101" s="69" t="s">
        <v>5801</v>
      </c>
      <c r="U101" s="69" t="s">
        <v>5445</v>
      </c>
      <c r="V101" s="69" t="s">
        <v>5778</v>
      </c>
    </row>
    <row r="102" ht="17.25" customHeight="1">
      <c r="B102" s="25" t="s">
        <v>576</v>
      </c>
      <c r="C102" s="25" t="s">
        <v>5477</v>
      </c>
      <c r="D102" s="25" t="s">
        <v>783</v>
      </c>
      <c r="E102" s="25" t="s">
        <v>5802</v>
      </c>
      <c r="F102" s="25" t="s">
        <v>783</v>
      </c>
      <c r="G102" s="25">
        <v>3.72312243E7</v>
      </c>
      <c r="H102" s="25">
        <v>105172.95</v>
      </c>
      <c r="I102" s="26" t="s">
        <v>5441</v>
      </c>
      <c r="J102" s="26" t="s">
        <v>5442</v>
      </c>
      <c r="K102" s="26" t="str">
        <f t="shared" si="1"/>
        <v>ARB</v>
      </c>
      <c r="L102" s="26" t="str">
        <f t="shared" si="2"/>
        <v>Olmesartan </v>
      </c>
      <c r="M102" s="26"/>
      <c r="Q102" s="69" t="s">
        <v>608</v>
      </c>
      <c r="R102" s="69" t="s">
        <v>5803</v>
      </c>
      <c r="S102" s="69" t="s">
        <v>5804</v>
      </c>
      <c r="T102" s="69" t="s">
        <v>5805</v>
      </c>
      <c r="U102" s="69" t="s">
        <v>5445</v>
      </c>
      <c r="V102" s="69" t="s">
        <v>5778</v>
      </c>
    </row>
    <row r="103" ht="17.25" customHeight="1">
      <c r="B103" s="25" t="s">
        <v>576</v>
      </c>
      <c r="C103" s="25" t="s">
        <v>5477</v>
      </c>
      <c r="D103" s="25" t="s">
        <v>708</v>
      </c>
      <c r="E103" s="25" t="s">
        <v>5806</v>
      </c>
      <c r="F103" s="25" t="s">
        <v>708</v>
      </c>
      <c r="G103" s="25">
        <v>2526886.26</v>
      </c>
      <c r="H103" s="25">
        <v>6103.59</v>
      </c>
      <c r="I103" s="26" t="s">
        <v>5441</v>
      </c>
      <c r="J103" s="26" t="s">
        <v>5442</v>
      </c>
      <c r="K103" s="26" t="str">
        <f t="shared" si="1"/>
        <v>ARB</v>
      </c>
      <c r="L103" s="26" t="str">
        <f t="shared" si="2"/>
        <v>Olmesartan </v>
      </c>
      <c r="M103" s="26"/>
      <c r="Q103" s="69" t="s">
        <v>608</v>
      </c>
      <c r="R103" s="69" t="s">
        <v>5807</v>
      </c>
      <c r="S103" s="69" t="s">
        <v>5808</v>
      </c>
      <c r="T103" s="69" t="s">
        <v>5809</v>
      </c>
      <c r="U103" s="69" t="s">
        <v>5445</v>
      </c>
      <c r="V103" s="69" t="s">
        <v>5778</v>
      </c>
    </row>
    <row r="104" ht="17.25" customHeight="1">
      <c r="B104" s="25" t="s">
        <v>576</v>
      </c>
      <c r="C104" s="25" t="s">
        <v>5477</v>
      </c>
      <c r="D104" s="25" t="s">
        <v>1554</v>
      </c>
      <c r="E104" s="25" t="s">
        <v>5810</v>
      </c>
      <c r="F104" s="25" t="s">
        <v>1554</v>
      </c>
      <c r="G104" s="25">
        <v>8570571.5</v>
      </c>
      <c r="H104" s="25">
        <v>33162.66</v>
      </c>
      <c r="I104" s="26" t="s">
        <v>5441</v>
      </c>
      <c r="J104" s="26" t="s">
        <v>5442</v>
      </c>
      <c r="K104" s="26" t="str">
        <f t="shared" si="1"/>
        <v>ARB</v>
      </c>
      <c r="L104" s="26" t="str">
        <f t="shared" si="2"/>
        <v>Olmesartan </v>
      </c>
      <c r="M104" s="26"/>
      <c r="Q104" s="69" t="s">
        <v>608</v>
      </c>
      <c r="R104" s="69" t="s">
        <v>5811</v>
      </c>
      <c r="S104" s="69" t="s">
        <v>5812</v>
      </c>
      <c r="T104" s="69" t="s">
        <v>5813</v>
      </c>
      <c r="U104" s="69" t="s">
        <v>5445</v>
      </c>
      <c r="V104" s="69" t="s">
        <v>5778</v>
      </c>
    </row>
    <row r="105" ht="17.25" customHeight="1">
      <c r="B105" s="25" t="s">
        <v>576</v>
      </c>
      <c r="C105" s="25" t="s">
        <v>5477</v>
      </c>
      <c r="D105" s="25" t="s">
        <v>796</v>
      </c>
      <c r="E105" s="25" t="s">
        <v>5814</v>
      </c>
      <c r="F105" s="25" t="s">
        <v>796</v>
      </c>
      <c r="G105" s="25">
        <v>2.0193649194E8</v>
      </c>
      <c r="H105" s="25">
        <v>593951.28</v>
      </c>
      <c r="I105" s="26" t="s">
        <v>5441</v>
      </c>
      <c r="J105" s="26" t="s">
        <v>5442</v>
      </c>
      <c r="K105" s="26" t="str">
        <f t="shared" si="1"/>
        <v>ARB</v>
      </c>
      <c r="L105" s="26" t="str">
        <f t="shared" si="2"/>
        <v>Olmesartan </v>
      </c>
      <c r="M105" s="26"/>
      <c r="Q105" s="69" t="s">
        <v>608</v>
      </c>
      <c r="R105" s="69" t="s">
        <v>5815</v>
      </c>
      <c r="S105" s="69" t="s">
        <v>5816</v>
      </c>
      <c r="T105" s="69" t="s">
        <v>5817</v>
      </c>
      <c r="U105" s="69" t="s">
        <v>5445</v>
      </c>
      <c r="V105" s="69" t="s">
        <v>5778</v>
      </c>
    </row>
    <row r="106" ht="17.25" customHeight="1">
      <c r="B106" s="25" t="s">
        <v>576</v>
      </c>
      <c r="C106" s="25" t="s">
        <v>5477</v>
      </c>
      <c r="D106" s="25" t="s">
        <v>800</v>
      </c>
      <c r="E106" s="25" t="s">
        <v>5818</v>
      </c>
      <c r="F106" s="25" t="s">
        <v>800</v>
      </c>
      <c r="G106" s="25">
        <v>4.09890302E7</v>
      </c>
      <c r="H106" s="25">
        <v>125671.38</v>
      </c>
      <c r="I106" s="26" t="s">
        <v>5441</v>
      </c>
      <c r="J106" s="26" t="s">
        <v>5442</v>
      </c>
      <c r="K106" s="26" t="str">
        <f t="shared" si="1"/>
        <v>ARB</v>
      </c>
      <c r="L106" s="26" t="str">
        <f t="shared" si="2"/>
        <v>Olmesartan </v>
      </c>
      <c r="M106" s="26"/>
      <c r="Q106" s="69" t="s">
        <v>5819</v>
      </c>
      <c r="R106" s="69" t="s">
        <v>5820</v>
      </c>
      <c r="S106" s="69" t="s">
        <v>5821</v>
      </c>
      <c r="T106" s="69" t="s">
        <v>5822</v>
      </c>
      <c r="U106" s="69" t="s">
        <v>5502</v>
      </c>
      <c r="V106" s="69" t="s">
        <v>5778</v>
      </c>
    </row>
    <row r="107" ht="17.25" customHeight="1">
      <c r="B107" s="25" t="s">
        <v>576</v>
      </c>
      <c r="C107" s="25" t="s">
        <v>5477</v>
      </c>
      <c r="D107" s="25" t="s">
        <v>810</v>
      </c>
      <c r="E107" s="25" t="s">
        <v>5823</v>
      </c>
      <c r="F107" s="25" t="s">
        <v>810</v>
      </c>
      <c r="G107" s="25">
        <v>3.5958040803E8</v>
      </c>
      <c r="H107" s="25">
        <v>1119643.58</v>
      </c>
      <c r="I107" s="26" t="s">
        <v>5441</v>
      </c>
      <c r="J107" s="26" t="s">
        <v>5442</v>
      </c>
      <c r="K107" s="26" t="str">
        <f t="shared" si="1"/>
        <v>ARB</v>
      </c>
      <c r="L107" s="26" t="str">
        <f t="shared" si="2"/>
        <v>Olmesartan </v>
      </c>
      <c r="M107" s="26"/>
      <c r="Q107" s="69" t="s">
        <v>610</v>
      </c>
      <c r="R107" s="69" t="s">
        <v>5824</v>
      </c>
      <c r="S107" s="69" t="s">
        <v>5825</v>
      </c>
      <c r="T107" s="69" t="s">
        <v>5826</v>
      </c>
      <c r="U107" s="69" t="s">
        <v>5502</v>
      </c>
      <c r="V107" s="69" t="s">
        <v>5827</v>
      </c>
    </row>
    <row r="108" ht="17.25" customHeight="1">
      <c r="B108" s="25" t="s">
        <v>576</v>
      </c>
      <c r="C108" s="25" t="s">
        <v>5477</v>
      </c>
      <c r="D108" s="25" t="s">
        <v>826</v>
      </c>
      <c r="E108" s="25" t="s">
        <v>5828</v>
      </c>
      <c r="F108" s="25" t="s">
        <v>826</v>
      </c>
      <c r="G108" s="25">
        <v>6.415621731E7</v>
      </c>
      <c r="H108" s="25">
        <v>211766.54</v>
      </c>
      <c r="I108" s="26" t="s">
        <v>5441</v>
      </c>
      <c r="J108" s="26" t="s">
        <v>5442</v>
      </c>
      <c r="K108" s="26" t="str">
        <f t="shared" si="1"/>
        <v>ARB</v>
      </c>
      <c r="L108" s="26" t="str">
        <f t="shared" si="2"/>
        <v>Olmesartan </v>
      </c>
      <c r="M108" s="26"/>
      <c r="Q108" s="69" t="s">
        <v>610</v>
      </c>
      <c r="R108" s="69" t="s">
        <v>5829</v>
      </c>
      <c r="S108" s="69" t="s">
        <v>5830</v>
      </c>
      <c r="T108" s="69" t="s">
        <v>5831</v>
      </c>
      <c r="U108" s="69" t="s">
        <v>5502</v>
      </c>
      <c r="V108" s="69" t="s">
        <v>5827</v>
      </c>
    </row>
    <row r="109" ht="17.25" customHeight="1">
      <c r="B109" s="25" t="s">
        <v>576</v>
      </c>
      <c r="C109" s="25" t="s">
        <v>5477</v>
      </c>
      <c r="D109" s="25" t="s">
        <v>852</v>
      </c>
      <c r="E109" s="25" t="s">
        <v>5832</v>
      </c>
      <c r="F109" s="25" t="s">
        <v>852</v>
      </c>
      <c r="G109" s="25">
        <v>2048713.72</v>
      </c>
      <c r="H109" s="25">
        <v>5009.08</v>
      </c>
      <c r="I109" s="26" t="s">
        <v>5441</v>
      </c>
      <c r="J109" s="26" t="s">
        <v>5442</v>
      </c>
      <c r="K109" s="26" t="str">
        <f t="shared" si="1"/>
        <v>ARB</v>
      </c>
      <c r="L109" s="26" t="str">
        <f t="shared" si="2"/>
        <v>Olmesartan </v>
      </c>
      <c r="M109" s="26"/>
      <c r="Q109" s="69" t="s">
        <v>612</v>
      </c>
      <c r="R109" s="69" t="s">
        <v>5833</v>
      </c>
      <c r="S109" s="69" t="s">
        <v>5834</v>
      </c>
      <c r="T109" s="69" t="s">
        <v>5835</v>
      </c>
      <c r="U109" s="69" t="s">
        <v>5445</v>
      </c>
      <c r="V109" s="69" t="s">
        <v>5836</v>
      </c>
    </row>
    <row r="110" ht="17.25" customHeight="1">
      <c r="B110" s="25" t="s">
        <v>576</v>
      </c>
      <c r="C110" s="25" t="s">
        <v>5477</v>
      </c>
      <c r="D110" s="25" t="s">
        <v>862</v>
      </c>
      <c r="E110" s="25" t="s">
        <v>5837</v>
      </c>
      <c r="F110" s="25" t="s">
        <v>862</v>
      </c>
      <c r="G110" s="25">
        <v>1.493179434E7</v>
      </c>
      <c r="H110" s="25">
        <v>42180.21</v>
      </c>
      <c r="I110" s="26" t="s">
        <v>5441</v>
      </c>
      <c r="J110" s="26" t="s">
        <v>5442</v>
      </c>
      <c r="K110" s="26" t="str">
        <f t="shared" si="1"/>
        <v>ARB</v>
      </c>
      <c r="L110" s="26" t="str">
        <f t="shared" si="2"/>
        <v>Olmesartan </v>
      </c>
      <c r="M110" s="26"/>
      <c r="Q110" s="69" t="s">
        <v>612</v>
      </c>
      <c r="R110" s="69" t="s">
        <v>5838</v>
      </c>
      <c r="S110" s="69" t="s">
        <v>5839</v>
      </c>
      <c r="T110" s="69" t="s">
        <v>5840</v>
      </c>
      <c r="U110" s="69" t="s">
        <v>5445</v>
      </c>
      <c r="V110" s="69" t="s">
        <v>5836</v>
      </c>
    </row>
    <row r="111" ht="17.25" customHeight="1">
      <c r="B111" s="25" t="s">
        <v>576</v>
      </c>
      <c r="C111" s="25" t="s">
        <v>5477</v>
      </c>
      <c r="D111" s="25" t="s">
        <v>730</v>
      </c>
      <c r="E111" s="25" t="s">
        <v>5841</v>
      </c>
      <c r="F111" s="25" t="s">
        <v>730</v>
      </c>
      <c r="G111" s="25">
        <v>6.196800998E7</v>
      </c>
      <c r="H111" s="25">
        <v>176633.18</v>
      </c>
      <c r="I111" s="26" t="s">
        <v>5441</v>
      </c>
      <c r="J111" s="26" t="s">
        <v>5442</v>
      </c>
      <c r="K111" s="26" t="str">
        <f t="shared" si="1"/>
        <v>ARB</v>
      </c>
      <c r="L111" s="26" t="str">
        <f t="shared" si="2"/>
        <v>Olmesartan </v>
      </c>
      <c r="M111" s="26"/>
      <c r="Q111" s="69" t="s">
        <v>612</v>
      </c>
      <c r="R111" s="69" t="s">
        <v>5842</v>
      </c>
      <c r="S111" s="69" t="s">
        <v>5843</v>
      </c>
      <c r="T111" s="69" t="s">
        <v>5844</v>
      </c>
      <c r="U111" s="69" t="s">
        <v>5445</v>
      </c>
      <c r="V111" s="69" t="s">
        <v>5836</v>
      </c>
    </row>
    <row r="112" ht="17.25" customHeight="1">
      <c r="B112" s="25" t="s">
        <v>576</v>
      </c>
      <c r="C112" s="25" t="s">
        <v>5477</v>
      </c>
      <c r="D112" s="25" t="s">
        <v>713</v>
      </c>
      <c r="E112" s="25" t="s">
        <v>5845</v>
      </c>
      <c r="F112" s="25" t="s">
        <v>713</v>
      </c>
      <c r="G112" s="25">
        <v>3.987035936E7</v>
      </c>
      <c r="H112" s="25">
        <v>95842.21</v>
      </c>
      <c r="I112" s="26" t="s">
        <v>5441</v>
      </c>
      <c r="J112" s="26" t="s">
        <v>5442</v>
      </c>
      <c r="K112" s="26" t="str">
        <f t="shared" si="1"/>
        <v>ARB</v>
      </c>
      <c r="L112" s="26" t="str">
        <f t="shared" si="2"/>
        <v>Olmesartan </v>
      </c>
      <c r="M112" s="26"/>
      <c r="Q112" s="69" t="s">
        <v>612</v>
      </c>
      <c r="R112" s="69" t="s">
        <v>5846</v>
      </c>
      <c r="S112" s="69" t="s">
        <v>5847</v>
      </c>
      <c r="T112" s="69" t="s">
        <v>5848</v>
      </c>
      <c r="U112" s="69" t="s">
        <v>5445</v>
      </c>
      <c r="V112" s="69" t="s">
        <v>5836</v>
      </c>
    </row>
    <row r="113" ht="17.25" customHeight="1">
      <c r="B113" s="25" t="s">
        <v>576</v>
      </c>
      <c r="C113" s="25" t="s">
        <v>5477</v>
      </c>
      <c r="D113" s="25" t="s">
        <v>1040</v>
      </c>
      <c r="E113" s="25" t="s">
        <v>5849</v>
      </c>
      <c r="F113" s="25" t="s">
        <v>1040</v>
      </c>
      <c r="G113" s="25">
        <v>1.468631709E7</v>
      </c>
      <c r="H113" s="25">
        <v>46108.04</v>
      </c>
      <c r="I113" s="26" t="s">
        <v>5441</v>
      </c>
      <c r="J113" s="26" t="s">
        <v>5442</v>
      </c>
      <c r="K113" s="26" t="str">
        <f t="shared" si="1"/>
        <v>ARB</v>
      </c>
      <c r="L113" s="26" t="str">
        <f t="shared" si="2"/>
        <v>Olmesartan </v>
      </c>
      <c r="M113" s="26"/>
      <c r="Q113" s="69" t="s">
        <v>612</v>
      </c>
      <c r="R113" s="69" t="s">
        <v>5850</v>
      </c>
      <c r="S113" s="69" t="s">
        <v>5851</v>
      </c>
      <c r="T113" s="69" t="s">
        <v>5852</v>
      </c>
      <c r="U113" s="69" t="s">
        <v>5445</v>
      </c>
      <c r="V113" s="69" t="s">
        <v>5836</v>
      </c>
    </row>
    <row r="114" ht="17.25" customHeight="1">
      <c r="B114" s="25" t="s">
        <v>576</v>
      </c>
      <c r="C114" s="25" t="s">
        <v>5477</v>
      </c>
      <c r="D114" s="25" t="s">
        <v>983</v>
      </c>
      <c r="E114" s="25" t="s">
        <v>5853</v>
      </c>
      <c r="F114" s="25" t="s">
        <v>983</v>
      </c>
      <c r="G114" s="25">
        <v>1.772536549E7</v>
      </c>
      <c r="H114" s="25">
        <v>59908.36</v>
      </c>
      <c r="I114" s="26" t="s">
        <v>5441</v>
      </c>
      <c r="J114" s="26" t="s">
        <v>5442</v>
      </c>
      <c r="K114" s="26" t="str">
        <f t="shared" si="1"/>
        <v>ARB</v>
      </c>
      <c r="L114" s="26" t="str">
        <f t="shared" si="2"/>
        <v>Olmesartan </v>
      </c>
      <c r="M114" s="26"/>
      <c r="Q114" s="69" t="s">
        <v>612</v>
      </c>
      <c r="R114" s="69" t="s">
        <v>5854</v>
      </c>
      <c r="S114" s="69" t="s">
        <v>5855</v>
      </c>
      <c r="T114" s="69" t="s">
        <v>5856</v>
      </c>
      <c r="U114" s="69" t="s">
        <v>5445</v>
      </c>
      <c r="V114" s="69" t="s">
        <v>5836</v>
      </c>
    </row>
    <row r="115" ht="17.25" customHeight="1">
      <c r="B115" s="25" t="s">
        <v>576</v>
      </c>
      <c r="C115" s="25" t="s">
        <v>5477</v>
      </c>
      <c r="D115" s="25" t="s">
        <v>734</v>
      </c>
      <c r="E115" s="25" t="s">
        <v>5857</v>
      </c>
      <c r="F115" s="25" t="s">
        <v>734</v>
      </c>
      <c r="G115" s="25">
        <v>3.291601248E7</v>
      </c>
      <c r="H115" s="25">
        <v>79125.04</v>
      </c>
      <c r="I115" s="26" t="s">
        <v>5441</v>
      </c>
      <c r="J115" s="26" t="s">
        <v>5442</v>
      </c>
      <c r="K115" s="26" t="str">
        <f t="shared" si="1"/>
        <v>ARB</v>
      </c>
      <c r="L115" s="26" t="str">
        <f t="shared" si="2"/>
        <v>Olmesartan </v>
      </c>
      <c r="M115" s="26"/>
      <c r="Q115" s="69" t="s">
        <v>612</v>
      </c>
      <c r="R115" s="69" t="s">
        <v>5858</v>
      </c>
      <c r="S115" s="69" t="s">
        <v>5859</v>
      </c>
      <c r="T115" s="69" t="s">
        <v>5860</v>
      </c>
      <c r="U115" s="69" t="s">
        <v>5445</v>
      </c>
      <c r="V115" s="69" t="s">
        <v>5836</v>
      </c>
    </row>
    <row r="116" ht="17.25" customHeight="1">
      <c r="B116" s="25" t="s">
        <v>576</v>
      </c>
      <c r="C116" s="25" t="s">
        <v>5477</v>
      </c>
      <c r="D116" s="25" t="s">
        <v>874</v>
      </c>
      <c r="E116" s="25" t="s">
        <v>5861</v>
      </c>
      <c r="F116" s="25" t="s">
        <v>874</v>
      </c>
      <c r="G116" s="25">
        <v>1.4113448452E8</v>
      </c>
      <c r="H116" s="25">
        <v>404962.5</v>
      </c>
      <c r="I116" s="26" t="s">
        <v>5441</v>
      </c>
      <c r="J116" s="26" t="s">
        <v>5442</v>
      </c>
      <c r="K116" s="26" t="str">
        <f t="shared" si="1"/>
        <v>ARB</v>
      </c>
      <c r="L116" s="26" t="str">
        <f t="shared" si="2"/>
        <v>Olmesartan </v>
      </c>
      <c r="M116" s="26"/>
      <c r="Q116" s="69" t="s">
        <v>612</v>
      </c>
      <c r="R116" s="69" t="s">
        <v>5862</v>
      </c>
      <c r="S116" s="69" t="s">
        <v>5859</v>
      </c>
      <c r="T116" s="69" t="s">
        <v>5863</v>
      </c>
      <c r="U116" s="69" t="s">
        <v>5445</v>
      </c>
      <c r="V116" s="69" t="s">
        <v>5836</v>
      </c>
    </row>
    <row r="117" ht="17.25" customHeight="1">
      <c r="B117" s="25" t="s">
        <v>576</v>
      </c>
      <c r="C117" s="25" t="s">
        <v>5477</v>
      </c>
      <c r="D117" s="25" t="s">
        <v>876</v>
      </c>
      <c r="E117" s="25" t="s">
        <v>5864</v>
      </c>
      <c r="F117" s="25" t="s">
        <v>876</v>
      </c>
      <c r="G117" s="25">
        <v>4.452261113E7</v>
      </c>
      <c r="H117" s="25">
        <v>151608.3</v>
      </c>
      <c r="I117" s="26" t="s">
        <v>5441</v>
      </c>
      <c r="J117" s="26" t="s">
        <v>5442</v>
      </c>
      <c r="K117" s="26" t="str">
        <f t="shared" si="1"/>
        <v>ARB</v>
      </c>
      <c r="L117" s="26" t="str">
        <f t="shared" si="2"/>
        <v>Olmesartan </v>
      </c>
      <c r="M117" s="26"/>
      <c r="Q117" s="69" t="s">
        <v>612</v>
      </c>
      <c r="R117" s="69" t="s">
        <v>5865</v>
      </c>
      <c r="S117" s="69" t="s">
        <v>5866</v>
      </c>
      <c r="T117" s="69" t="s">
        <v>5867</v>
      </c>
      <c r="U117" s="69" t="s">
        <v>5445</v>
      </c>
      <c r="V117" s="69" t="s">
        <v>5836</v>
      </c>
    </row>
    <row r="118" ht="17.25" customHeight="1">
      <c r="B118" s="25" t="s">
        <v>576</v>
      </c>
      <c r="C118" s="25" t="s">
        <v>5477</v>
      </c>
      <c r="D118" s="25" t="s">
        <v>886</v>
      </c>
      <c r="E118" s="25" t="s">
        <v>5868</v>
      </c>
      <c r="F118" s="25" t="s">
        <v>886</v>
      </c>
      <c r="G118" s="25">
        <v>5.275461511E7</v>
      </c>
      <c r="H118" s="25">
        <v>181970.31</v>
      </c>
      <c r="I118" s="26" t="s">
        <v>5441</v>
      </c>
      <c r="J118" s="26" t="s">
        <v>5442</v>
      </c>
      <c r="K118" s="26" t="str">
        <f t="shared" si="1"/>
        <v>ARB</v>
      </c>
      <c r="L118" s="26" t="str">
        <f t="shared" si="2"/>
        <v>Olmesartan </v>
      </c>
      <c r="M118" s="26"/>
      <c r="Q118" s="69" t="s">
        <v>612</v>
      </c>
      <c r="R118" s="69" t="s">
        <v>5869</v>
      </c>
      <c r="S118" s="69" t="s">
        <v>5870</v>
      </c>
      <c r="T118" s="69" t="s">
        <v>5871</v>
      </c>
      <c r="U118" s="69" t="s">
        <v>5445</v>
      </c>
      <c r="V118" s="69" t="s">
        <v>5836</v>
      </c>
    </row>
    <row r="119" ht="17.25" customHeight="1">
      <c r="B119" s="25" t="s">
        <v>576</v>
      </c>
      <c r="C119" s="25" t="s">
        <v>5477</v>
      </c>
      <c r="D119" s="25" t="s">
        <v>900</v>
      </c>
      <c r="E119" s="25" t="s">
        <v>5872</v>
      </c>
      <c r="F119" s="25" t="s">
        <v>900</v>
      </c>
      <c r="G119" s="25">
        <v>6.066447048E7</v>
      </c>
      <c r="H119" s="25">
        <v>155207.21</v>
      </c>
      <c r="I119" s="26" t="s">
        <v>5441</v>
      </c>
      <c r="J119" s="26" t="s">
        <v>5442</v>
      </c>
      <c r="K119" s="26" t="str">
        <f t="shared" si="1"/>
        <v>ARB</v>
      </c>
      <c r="L119" s="26" t="str">
        <f t="shared" si="2"/>
        <v>Olmesartan </v>
      </c>
      <c r="M119" s="26"/>
      <c r="Q119" s="69" t="s">
        <v>612</v>
      </c>
      <c r="R119" s="69" t="s">
        <v>5873</v>
      </c>
      <c r="S119" s="69" t="s">
        <v>5874</v>
      </c>
      <c r="T119" s="69" t="s">
        <v>5875</v>
      </c>
      <c r="U119" s="69" t="s">
        <v>5445</v>
      </c>
      <c r="V119" s="69" t="s">
        <v>5836</v>
      </c>
    </row>
    <row r="120" ht="17.25" customHeight="1">
      <c r="B120" s="25" t="s">
        <v>576</v>
      </c>
      <c r="C120" s="25" t="s">
        <v>5477</v>
      </c>
      <c r="D120" s="25" t="s">
        <v>906</v>
      </c>
      <c r="E120" s="25" t="s">
        <v>5876</v>
      </c>
      <c r="F120" s="25" t="s">
        <v>906</v>
      </c>
      <c r="G120" s="25">
        <v>3.63714645E7</v>
      </c>
      <c r="H120" s="25">
        <v>102744.25</v>
      </c>
      <c r="I120" s="26" t="s">
        <v>5441</v>
      </c>
      <c r="J120" s="26" t="s">
        <v>5442</v>
      </c>
      <c r="K120" s="26" t="str">
        <f t="shared" si="1"/>
        <v>ARB</v>
      </c>
      <c r="L120" s="26" t="str">
        <f t="shared" si="2"/>
        <v>Olmesartan </v>
      </c>
      <c r="M120" s="26"/>
      <c r="Q120" s="69" t="s">
        <v>614</v>
      </c>
      <c r="R120" s="69" t="s">
        <v>5877</v>
      </c>
      <c r="S120" s="69" t="s">
        <v>5878</v>
      </c>
      <c r="T120" s="69" t="s">
        <v>5879</v>
      </c>
      <c r="U120" s="69" t="s">
        <v>5502</v>
      </c>
      <c r="V120" s="69" t="s">
        <v>5880</v>
      </c>
    </row>
    <row r="121" ht="17.25" customHeight="1">
      <c r="B121" s="25" t="s">
        <v>576</v>
      </c>
      <c r="C121" s="25" t="s">
        <v>5477</v>
      </c>
      <c r="D121" s="25" t="s">
        <v>717</v>
      </c>
      <c r="E121" s="25" t="s">
        <v>5881</v>
      </c>
      <c r="F121" s="25" t="s">
        <v>717</v>
      </c>
      <c r="G121" s="25">
        <v>4.884841002E7</v>
      </c>
      <c r="H121" s="25">
        <v>162643.23</v>
      </c>
      <c r="I121" s="26" t="s">
        <v>5441</v>
      </c>
      <c r="J121" s="26" t="s">
        <v>5442</v>
      </c>
      <c r="K121" s="26" t="str">
        <f t="shared" si="1"/>
        <v>ARB</v>
      </c>
      <c r="L121" s="26" t="str">
        <f t="shared" si="2"/>
        <v>Olmesartan </v>
      </c>
      <c r="M121" s="26"/>
      <c r="Q121" s="69" t="s">
        <v>616</v>
      </c>
      <c r="R121" s="69" t="s">
        <v>5882</v>
      </c>
      <c r="S121" s="69" t="s">
        <v>5883</v>
      </c>
      <c r="T121" s="69" t="s">
        <v>5884</v>
      </c>
      <c r="U121" s="69" t="s">
        <v>5502</v>
      </c>
      <c r="V121" s="69" t="s">
        <v>5885</v>
      </c>
    </row>
    <row r="122" ht="17.25" customHeight="1">
      <c r="B122" s="25" t="s">
        <v>576</v>
      </c>
      <c r="C122" s="25" t="s">
        <v>5477</v>
      </c>
      <c r="D122" s="25" t="s">
        <v>1176</v>
      </c>
      <c r="E122" s="25" t="s">
        <v>5886</v>
      </c>
      <c r="F122" s="25" t="s">
        <v>1176</v>
      </c>
      <c r="G122" s="25">
        <v>722100.0</v>
      </c>
      <c r="H122" s="25">
        <v>1740.0</v>
      </c>
      <c r="I122" s="26" t="s">
        <v>5441</v>
      </c>
      <c r="J122" s="26" t="s">
        <v>5442</v>
      </c>
      <c r="K122" s="26" t="str">
        <f t="shared" si="1"/>
        <v>ARB</v>
      </c>
      <c r="L122" s="26" t="str">
        <f t="shared" si="2"/>
        <v>Olmesartan </v>
      </c>
      <c r="M122" s="26"/>
      <c r="Q122" s="69" t="s">
        <v>604</v>
      </c>
      <c r="R122" s="69" t="s">
        <v>5887</v>
      </c>
      <c r="S122" s="69" t="s">
        <v>5448</v>
      </c>
      <c r="T122" s="69" t="s">
        <v>5888</v>
      </c>
      <c r="U122" s="69" t="s">
        <v>5502</v>
      </c>
      <c r="V122" s="69" t="str">
        <f t="shared" ref="V122:V140" si="3">VLOOKUP(S122,Y6:Z30,2,FALSE)</f>
        <v>Statin/ARB/CCB</v>
      </c>
    </row>
    <row r="123" ht="17.25" customHeight="1">
      <c r="B123" s="25" t="s">
        <v>576</v>
      </c>
      <c r="C123" s="25" t="s">
        <v>5477</v>
      </c>
      <c r="D123" s="25" t="s">
        <v>927</v>
      </c>
      <c r="E123" s="25" t="s">
        <v>5889</v>
      </c>
      <c r="F123" s="25" t="s">
        <v>927</v>
      </c>
      <c r="G123" s="25">
        <v>1.066881133E7</v>
      </c>
      <c r="H123" s="25">
        <v>37451.81</v>
      </c>
      <c r="I123" s="26" t="s">
        <v>5441</v>
      </c>
      <c r="J123" s="26" t="s">
        <v>5442</v>
      </c>
      <c r="K123" s="26" t="str">
        <f t="shared" si="1"/>
        <v>ARB</v>
      </c>
      <c r="L123" s="26" t="str">
        <f t="shared" si="2"/>
        <v>Olmesartan </v>
      </c>
      <c r="M123" s="26"/>
      <c r="Q123" s="69" t="s">
        <v>604</v>
      </c>
      <c r="R123" s="69" t="s">
        <v>5890</v>
      </c>
      <c r="S123" s="69" t="s">
        <v>5454</v>
      </c>
      <c r="T123" s="69" t="s">
        <v>5891</v>
      </c>
      <c r="U123" s="69" t="s">
        <v>5502</v>
      </c>
      <c r="V123" s="69" t="str">
        <f t="shared" si="3"/>
        <v>Statin/ARB/CCB</v>
      </c>
    </row>
    <row r="124" ht="17.25" customHeight="1">
      <c r="B124" s="25" t="s">
        <v>576</v>
      </c>
      <c r="C124" s="25" t="s">
        <v>5477</v>
      </c>
      <c r="D124" s="25" t="s">
        <v>937</v>
      </c>
      <c r="E124" s="25" t="s">
        <v>5892</v>
      </c>
      <c r="F124" s="25" t="s">
        <v>937</v>
      </c>
      <c r="G124" s="25">
        <v>2.08963014E7</v>
      </c>
      <c r="H124" s="25">
        <v>59029.1</v>
      </c>
      <c r="I124" s="26" t="s">
        <v>5441</v>
      </c>
      <c r="J124" s="26" t="s">
        <v>5442</v>
      </c>
      <c r="K124" s="26" t="str">
        <f t="shared" si="1"/>
        <v>ARB</v>
      </c>
      <c r="L124" s="26" t="str">
        <f t="shared" si="2"/>
        <v>Olmesartan </v>
      </c>
      <c r="M124" s="26"/>
      <c r="Q124" s="69" t="s">
        <v>604</v>
      </c>
      <c r="R124" s="69" t="s">
        <v>5893</v>
      </c>
      <c r="S124" s="69" t="s">
        <v>5459</v>
      </c>
      <c r="T124" s="69" t="s">
        <v>5894</v>
      </c>
      <c r="U124" s="69" t="s">
        <v>5502</v>
      </c>
      <c r="V124" s="69" t="str">
        <f t="shared" si="3"/>
        <v>Statin/EZ/CCB</v>
      </c>
    </row>
    <row r="125" ht="17.25" customHeight="1">
      <c r="B125" s="25" t="s">
        <v>576</v>
      </c>
      <c r="C125" s="25" t="s">
        <v>5477</v>
      </c>
      <c r="D125" s="25" t="s">
        <v>736</v>
      </c>
      <c r="E125" s="25" t="s">
        <v>5895</v>
      </c>
      <c r="F125" s="25" t="s">
        <v>736</v>
      </c>
      <c r="G125" s="25">
        <v>2.236409868E7</v>
      </c>
      <c r="H125" s="25">
        <v>63175.42</v>
      </c>
      <c r="I125" s="26" t="s">
        <v>5441</v>
      </c>
      <c r="J125" s="26" t="s">
        <v>5442</v>
      </c>
      <c r="K125" s="26" t="str">
        <f t="shared" si="1"/>
        <v>ARB</v>
      </c>
      <c r="L125" s="26" t="str">
        <f t="shared" si="2"/>
        <v>Olmesartan </v>
      </c>
      <c r="M125" s="26"/>
      <c r="Q125" s="69" t="s">
        <v>604</v>
      </c>
      <c r="R125" s="69" t="s">
        <v>5896</v>
      </c>
      <c r="S125" s="69" t="s">
        <v>5465</v>
      </c>
      <c r="T125" s="69" t="s">
        <v>5897</v>
      </c>
      <c r="U125" s="69" t="s">
        <v>5502</v>
      </c>
      <c r="V125" s="69" t="str">
        <f t="shared" si="3"/>
        <v>Statin/EZ/ARB/CCB</v>
      </c>
    </row>
    <row r="126" ht="17.25" customHeight="1">
      <c r="B126" s="25" t="s">
        <v>576</v>
      </c>
      <c r="C126" s="25" t="s">
        <v>5477</v>
      </c>
      <c r="D126" s="25" t="s">
        <v>941</v>
      </c>
      <c r="E126" s="25" t="s">
        <v>180</v>
      </c>
      <c r="F126" s="25" t="s">
        <v>941</v>
      </c>
      <c r="G126" s="25">
        <v>1.6777235522E8</v>
      </c>
      <c r="H126" s="25">
        <v>465484.23</v>
      </c>
      <c r="I126" s="26" t="s">
        <v>5441</v>
      </c>
      <c r="J126" s="26" t="s">
        <v>5442</v>
      </c>
      <c r="K126" s="26" t="str">
        <f t="shared" si="1"/>
        <v>ARB</v>
      </c>
      <c r="L126" s="26" t="str">
        <f t="shared" si="2"/>
        <v>Olmesartan </v>
      </c>
      <c r="M126" s="26"/>
      <c r="Q126" s="69" t="s">
        <v>604</v>
      </c>
      <c r="R126" s="69" t="s">
        <v>5898</v>
      </c>
      <c r="S126" s="69" t="s">
        <v>5471</v>
      </c>
      <c r="T126" s="69" t="s">
        <v>5899</v>
      </c>
      <c r="U126" s="69" t="s">
        <v>5502</v>
      </c>
      <c r="V126" s="69" t="str">
        <f t="shared" si="3"/>
        <v>Statin/EZ/ARB/CCB</v>
      </c>
    </row>
    <row r="127" ht="17.25" customHeight="1">
      <c r="B127" s="25" t="s">
        <v>576</v>
      </c>
      <c r="C127" s="25" t="s">
        <v>5483</v>
      </c>
      <c r="D127" s="25" t="s">
        <v>810</v>
      </c>
      <c r="E127" s="25" t="s">
        <v>5900</v>
      </c>
      <c r="F127" s="25" t="s">
        <v>810</v>
      </c>
      <c r="G127" s="25">
        <v>9.922479109E8</v>
      </c>
      <c r="H127" s="25">
        <v>2069123.2</v>
      </c>
      <c r="I127" s="26" t="s">
        <v>5441</v>
      </c>
      <c r="J127" s="26" t="s">
        <v>5442</v>
      </c>
      <c r="K127" s="26" t="str">
        <f t="shared" si="1"/>
        <v>ARB</v>
      </c>
      <c r="L127" s="26" t="str">
        <f t="shared" si="2"/>
        <v>Azilsartan </v>
      </c>
      <c r="M127" s="26"/>
      <c r="Q127" s="69" t="s">
        <v>604</v>
      </c>
      <c r="R127" s="69" t="s">
        <v>5901</v>
      </c>
      <c r="S127" s="69" t="s">
        <v>5475</v>
      </c>
      <c r="T127" s="69" t="s">
        <v>5902</v>
      </c>
      <c r="U127" s="69" t="s">
        <v>5502</v>
      </c>
      <c r="V127" s="69" t="str">
        <f t="shared" si="3"/>
        <v>Statin/ARB/CCB</v>
      </c>
    </row>
    <row r="128" ht="17.25" customHeight="1">
      <c r="B128" s="25" t="s">
        <v>576</v>
      </c>
      <c r="C128" s="25" t="s">
        <v>5489</v>
      </c>
      <c r="D128" s="25" t="s">
        <v>695</v>
      </c>
      <c r="E128" s="25" t="s">
        <v>5903</v>
      </c>
      <c r="F128" s="25" t="s">
        <v>695</v>
      </c>
      <c r="G128" s="25">
        <v>1.033645384E7</v>
      </c>
      <c r="H128" s="25">
        <v>38216.84</v>
      </c>
      <c r="I128" s="26" t="s">
        <v>5441</v>
      </c>
      <c r="J128" s="26" t="s">
        <v>5442</v>
      </c>
      <c r="K128" s="26" t="str">
        <f t="shared" si="1"/>
        <v>ARB</v>
      </c>
      <c r="L128" s="26" t="str">
        <f t="shared" si="2"/>
        <v>Telmisartan </v>
      </c>
      <c r="M128" s="26"/>
      <c r="Q128" s="69" t="s">
        <v>604</v>
      </c>
      <c r="R128" s="69" t="s">
        <v>5904</v>
      </c>
      <c r="S128" s="69" t="s">
        <v>5480</v>
      </c>
      <c r="T128" s="69" t="s">
        <v>5905</v>
      </c>
      <c r="U128" s="69" t="s">
        <v>5502</v>
      </c>
      <c r="V128" s="69" t="str">
        <f t="shared" si="3"/>
        <v>Statin/ARB/CCB</v>
      </c>
    </row>
    <row r="129" ht="17.25" customHeight="1">
      <c r="B129" s="25" t="s">
        <v>576</v>
      </c>
      <c r="C129" s="25" t="s">
        <v>5489</v>
      </c>
      <c r="D129" s="25" t="s">
        <v>742</v>
      </c>
      <c r="E129" s="25" t="s">
        <v>5906</v>
      </c>
      <c r="F129" s="25" t="s">
        <v>742</v>
      </c>
      <c r="G129" s="25">
        <v>8914890.73</v>
      </c>
      <c r="H129" s="25">
        <v>22320.67</v>
      </c>
      <c r="I129" s="26" t="s">
        <v>5441</v>
      </c>
      <c r="J129" s="26" t="s">
        <v>5442</v>
      </c>
      <c r="K129" s="26" t="str">
        <f t="shared" si="1"/>
        <v>ARB</v>
      </c>
      <c r="L129" s="26" t="str">
        <f t="shared" si="2"/>
        <v>Telmisartan </v>
      </c>
      <c r="M129" s="26"/>
      <c r="Q129" s="69" t="s">
        <v>604</v>
      </c>
      <c r="R129" s="69" t="s">
        <v>5907</v>
      </c>
      <c r="S129" s="69" t="s">
        <v>5486</v>
      </c>
      <c r="T129" s="69" t="s">
        <v>5908</v>
      </c>
      <c r="U129" s="69" t="s">
        <v>5502</v>
      </c>
      <c r="V129" s="69" t="str">
        <f t="shared" si="3"/>
        <v>Statin/CCB</v>
      </c>
    </row>
    <row r="130" ht="17.25" customHeight="1">
      <c r="B130" s="25" t="s">
        <v>576</v>
      </c>
      <c r="C130" s="25" t="s">
        <v>5489</v>
      </c>
      <c r="D130" s="25" t="s">
        <v>746</v>
      </c>
      <c r="E130" s="25" t="s">
        <v>5909</v>
      </c>
      <c r="F130" s="25" t="s">
        <v>746</v>
      </c>
      <c r="G130" s="25">
        <v>4.0771277351E8</v>
      </c>
      <c r="H130" s="25">
        <v>897061.14</v>
      </c>
      <c r="I130" s="26" t="s">
        <v>5441</v>
      </c>
      <c r="J130" s="26" t="s">
        <v>5442</v>
      </c>
      <c r="K130" s="26" t="str">
        <f t="shared" si="1"/>
        <v>ARB</v>
      </c>
      <c r="L130" s="26" t="str">
        <f t="shared" si="2"/>
        <v>Telmisartan </v>
      </c>
      <c r="M130" s="26"/>
      <c r="Q130" s="69" t="s">
        <v>604</v>
      </c>
      <c r="R130" s="69" t="s">
        <v>5910</v>
      </c>
      <c r="S130" s="69" t="s">
        <v>5492</v>
      </c>
      <c r="T130" s="69" t="s">
        <v>5911</v>
      </c>
      <c r="U130" s="69" t="s">
        <v>5502</v>
      </c>
      <c r="V130" s="69" t="str">
        <f t="shared" si="3"/>
        <v>Statin/ARB/CCB</v>
      </c>
    </row>
    <row r="131" ht="17.25" customHeight="1">
      <c r="B131" s="25" t="s">
        <v>576</v>
      </c>
      <c r="C131" s="25" t="s">
        <v>5489</v>
      </c>
      <c r="D131" s="25" t="s">
        <v>757</v>
      </c>
      <c r="E131" s="25" t="s">
        <v>5912</v>
      </c>
      <c r="F131" s="25" t="s">
        <v>757</v>
      </c>
      <c r="G131" s="25">
        <v>1.108133096E8</v>
      </c>
      <c r="H131" s="25">
        <v>244950.8</v>
      </c>
      <c r="I131" s="26" t="s">
        <v>5441</v>
      </c>
      <c r="J131" s="26" t="s">
        <v>5442</v>
      </c>
      <c r="K131" s="26" t="str">
        <f t="shared" si="1"/>
        <v>ARB</v>
      </c>
      <c r="L131" s="26" t="str">
        <f t="shared" si="2"/>
        <v>Telmisartan </v>
      </c>
      <c r="M131" s="26"/>
      <c r="Q131" s="69" t="s">
        <v>604</v>
      </c>
      <c r="R131" s="69" t="s">
        <v>5913</v>
      </c>
      <c r="S131" s="69" t="s">
        <v>5497</v>
      </c>
      <c r="T131" s="69" t="s">
        <v>5914</v>
      </c>
      <c r="U131" s="69" t="s">
        <v>5502</v>
      </c>
      <c r="V131" s="69" t="str">
        <f t="shared" si="3"/>
        <v>Statin/ARB/CCB</v>
      </c>
    </row>
    <row r="132" ht="17.25" customHeight="1">
      <c r="B132" s="25" t="s">
        <v>576</v>
      </c>
      <c r="C132" s="25" t="s">
        <v>5489</v>
      </c>
      <c r="D132" s="25" t="s">
        <v>761</v>
      </c>
      <c r="E132" s="25" t="s">
        <v>5915</v>
      </c>
      <c r="F132" s="25" t="s">
        <v>761</v>
      </c>
      <c r="G132" s="25">
        <v>3.3481482943E8</v>
      </c>
      <c r="H132" s="25">
        <v>884141.46</v>
      </c>
      <c r="I132" s="26" t="s">
        <v>5441</v>
      </c>
      <c r="J132" s="26" t="s">
        <v>5442</v>
      </c>
      <c r="K132" s="26" t="str">
        <f t="shared" si="1"/>
        <v>ARB</v>
      </c>
      <c r="L132" s="26" t="str">
        <f t="shared" si="2"/>
        <v>Telmisartan </v>
      </c>
      <c r="M132" s="26"/>
      <c r="Q132" s="69" t="s">
        <v>604</v>
      </c>
      <c r="R132" s="69" t="s">
        <v>5916</v>
      </c>
      <c r="S132" s="69" t="s">
        <v>5504</v>
      </c>
      <c r="T132" s="69" t="s">
        <v>5917</v>
      </c>
      <c r="U132" s="69" t="s">
        <v>5502</v>
      </c>
      <c r="V132" s="69" t="str">
        <f t="shared" si="3"/>
        <v>Statin/CCB</v>
      </c>
    </row>
    <row r="133" ht="17.25" customHeight="1">
      <c r="B133" s="25" t="s">
        <v>576</v>
      </c>
      <c r="C133" s="25" t="s">
        <v>5489</v>
      </c>
      <c r="D133" s="25" t="s">
        <v>770</v>
      </c>
      <c r="E133" s="25" t="s">
        <v>5918</v>
      </c>
      <c r="F133" s="25" t="s">
        <v>770</v>
      </c>
      <c r="G133" s="25">
        <v>3.821692253E7</v>
      </c>
      <c r="H133" s="25">
        <v>100824.61</v>
      </c>
      <c r="I133" s="26" t="s">
        <v>5441</v>
      </c>
      <c r="J133" s="26" t="s">
        <v>5442</v>
      </c>
      <c r="K133" s="26" t="str">
        <f t="shared" si="1"/>
        <v>ARB</v>
      </c>
      <c r="L133" s="26" t="str">
        <f t="shared" si="2"/>
        <v>Telmisartan </v>
      </c>
      <c r="M133" s="26"/>
      <c r="Q133" s="69" t="s">
        <v>604</v>
      </c>
      <c r="R133" s="69" t="s">
        <v>5919</v>
      </c>
      <c r="S133" s="69" t="s">
        <v>5509</v>
      </c>
      <c r="T133" s="69" t="s">
        <v>5920</v>
      </c>
      <c r="U133" s="69" t="s">
        <v>5502</v>
      </c>
      <c r="V133" s="69" t="str">
        <f t="shared" si="3"/>
        <v>Statin/ARB/CCB</v>
      </c>
    </row>
    <row r="134" ht="17.25" customHeight="1">
      <c r="B134" s="25" t="s">
        <v>576</v>
      </c>
      <c r="C134" s="25" t="s">
        <v>5489</v>
      </c>
      <c r="D134" s="25" t="s">
        <v>772</v>
      </c>
      <c r="E134" s="25" t="s">
        <v>5921</v>
      </c>
      <c r="F134" s="25" t="s">
        <v>772</v>
      </c>
      <c r="G134" s="25">
        <v>2.714468829E7</v>
      </c>
      <c r="H134" s="25">
        <v>70822.92</v>
      </c>
      <c r="I134" s="26" t="s">
        <v>5441</v>
      </c>
      <c r="J134" s="26" t="s">
        <v>5442</v>
      </c>
      <c r="K134" s="26" t="str">
        <f t="shared" si="1"/>
        <v>ARB</v>
      </c>
      <c r="L134" s="26" t="str">
        <f t="shared" si="2"/>
        <v>Telmisartan </v>
      </c>
      <c r="M134" s="26"/>
      <c r="Q134" s="69" t="s">
        <v>604</v>
      </c>
      <c r="R134" s="69" t="s">
        <v>5922</v>
      </c>
      <c r="S134" s="69" t="s">
        <v>5514</v>
      </c>
      <c r="T134" s="69" t="s">
        <v>5923</v>
      </c>
      <c r="U134" s="69" t="s">
        <v>5502</v>
      </c>
      <c r="V134" s="69" t="str">
        <f t="shared" si="3"/>
        <v>Statin/ARB</v>
      </c>
    </row>
    <row r="135" ht="17.25" customHeight="1">
      <c r="B135" s="25" t="s">
        <v>576</v>
      </c>
      <c r="C135" s="25" t="s">
        <v>5489</v>
      </c>
      <c r="D135" s="25" t="s">
        <v>726</v>
      </c>
      <c r="E135" s="25" t="s">
        <v>5924</v>
      </c>
      <c r="F135" s="25" t="s">
        <v>726</v>
      </c>
      <c r="G135" s="25">
        <v>1.7659112069E8</v>
      </c>
      <c r="H135" s="25">
        <v>461144.15</v>
      </c>
      <c r="I135" s="26" t="s">
        <v>5441</v>
      </c>
      <c r="J135" s="26" t="s">
        <v>5442</v>
      </c>
      <c r="K135" s="26" t="str">
        <f t="shared" si="1"/>
        <v>ARB</v>
      </c>
      <c r="L135" s="26" t="str">
        <f t="shared" si="2"/>
        <v>Telmisartan </v>
      </c>
      <c r="M135" s="26"/>
      <c r="Q135" s="69" t="s">
        <v>604</v>
      </c>
      <c r="R135" s="69" t="s">
        <v>5925</v>
      </c>
      <c r="S135" s="69" t="s">
        <v>5520</v>
      </c>
      <c r="T135" s="69" t="s">
        <v>5926</v>
      </c>
      <c r="U135" s="69" t="s">
        <v>5502</v>
      </c>
      <c r="V135" s="69" t="str">
        <f t="shared" si="3"/>
        <v>Statin/CCB</v>
      </c>
    </row>
    <row r="136" ht="17.25" customHeight="1">
      <c r="B136" s="25" t="s">
        <v>576</v>
      </c>
      <c r="C136" s="25" t="s">
        <v>5489</v>
      </c>
      <c r="D136" s="25" t="s">
        <v>776</v>
      </c>
      <c r="E136" s="25" t="s">
        <v>5927</v>
      </c>
      <c r="F136" s="25" t="s">
        <v>776</v>
      </c>
      <c r="G136" s="25">
        <v>3.177422215E7</v>
      </c>
      <c r="H136" s="25">
        <v>83444.45</v>
      </c>
      <c r="I136" s="26" t="s">
        <v>5441</v>
      </c>
      <c r="J136" s="26" t="s">
        <v>5442</v>
      </c>
      <c r="K136" s="26" t="str">
        <f t="shared" si="1"/>
        <v>ARB</v>
      </c>
      <c r="L136" s="26" t="str">
        <f t="shared" si="2"/>
        <v>Telmisartan </v>
      </c>
      <c r="M136" s="26"/>
      <c r="Q136" s="69" t="s">
        <v>604</v>
      </c>
      <c r="R136" s="69" t="s">
        <v>5928</v>
      </c>
      <c r="S136" s="69" t="s">
        <v>5525</v>
      </c>
      <c r="T136" s="69" t="s">
        <v>5929</v>
      </c>
      <c r="U136" s="69" t="s">
        <v>5502</v>
      </c>
      <c r="V136" s="69" t="str">
        <f t="shared" si="3"/>
        <v>Statin/ARB</v>
      </c>
    </row>
    <row r="137" ht="17.25" customHeight="1">
      <c r="B137" s="25" t="s">
        <v>576</v>
      </c>
      <c r="C137" s="25" t="s">
        <v>5489</v>
      </c>
      <c r="D137" s="25" t="s">
        <v>783</v>
      </c>
      <c r="E137" s="25" t="s">
        <v>5930</v>
      </c>
      <c r="F137" s="25" t="s">
        <v>783</v>
      </c>
      <c r="G137" s="25">
        <v>8.815285338E7</v>
      </c>
      <c r="H137" s="25">
        <v>197320.21</v>
      </c>
      <c r="I137" s="26" t="s">
        <v>5441</v>
      </c>
      <c r="J137" s="26" t="s">
        <v>5442</v>
      </c>
      <c r="K137" s="26" t="str">
        <f t="shared" si="1"/>
        <v>ARB</v>
      </c>
      <c r="L137" s="26" t="str">
        <f t="shared" si="2"/>
        <v>Telmisartan </v>
      </c>
      <c r="M137" s="26"/>
      <c r="Q137" s="69" t="s">
        <v>604</v>
      </c>
      <c r="R137" s="69" t="s">
        <v>5931</v>
      </c>
      <c r="S137" s="69" t="s">
        <v>5530</v>
      </c>
      <c r="T137" s="69" t="s">
        <v>5932</v>
      </c>
      <c r="U137" s="69" t="s">
        <v>5502</v>
      </c>
      <c r="V137" s="69" t="str">
        <f t="shared" si="3"/>
        <v>Statin/ARB</v>
      </c>
    </row>
    <row r="138" ht="17.25" customHeight="1">
      <c r="B138" s="25" t="s">
        <v>576</v>
      </c>
      <c r="C138" s="25" t="s">
        <v>5489</v>
      </c>
      <c r="D138" s="25" t="s">
        <v>708</v>
      </c>
      <c r="E138" s="25" t="s">
        <v>5933</v>
      </c>
      <c r="F138" s="25" t="s">
        <v>708</v>
      </c>
      <c r="G138" s="25">
        <v>2.1547529099E8</v>
      </c>
      <c r="H138" s="25">
        <v>490963.36</v>
      </c>
      <c r="I138" s="26" t="s">
        <v>5441</v>
      </c>
      <c r="J138" s="26" t="s">
        <v>5442</v>
      </c>
      <c r="K138" s="26" t="str">
        <f t="shared" si="1"/>
        <v>ARB</v>
      </c>
      <c r="L138" s="26" t="str">
        <f t="shared" si="2"/>
        <v>Telmisartan </v>
      </c>
      <c r="M138" s="26"/>
      <c r="Q138" s="69" t="s">
        <v>604</v>
      </c>
      <c r="R138" s="69" t="s">
        <v>5934</v>
      </c>
      <c r="S138" s="69" t="s">
        <v>5535</v>
      </c>
      <c r="T138" s="69" t="s">
        <v>5935</v>
      </c>
      <c r="U138" s="69" t="s">
        <v>5502</v>
      </c>
      <c r="V138" s="69" t="str">
        <f t="shared" si="3"/>
        <v>Statin/EZ/ARB/CCB</v>
      </c>
    </row>
    <row r="139" ht="17.25" customHeight="1">
      <c r="B139" s="25" t="s">
        <v>576</v>
      </c>
      <c r="C139" s="25" t="s">
        <v>5489</v>
      </c>
      <c r="D139" s="25" t="s">
        <v>786</v>
      </c>
      <c r="E139" s="25" t="s">
        <v>5936</v>
      </c>
      <c r="F139" s="25" t="s">
        <v>786</v>
      </c>
      <c r="G139" s="25">
        <v>8696508.71</v>
      </c>
      <c r="H139" s="25">
        <v>22230.58</v>
      </c>
      <c r="I139" s="26" t="s">
        <v>5441</v>
      </c>
      <c r="J139" s="26" t="s">
        <v>5442</v>
      </c>
      <c r="K139" s="26" t="str">
        <f t="shared" si="1"/>
        <v>ARB</v>
      </c>
      <c r="L139" s="26" t="str">
        <f t="shared" si="2"/>
        <v>Telmisartan </v>
      </c>
      <c r="M139" s="26"/>
      <c r="Q139" s="69" t="s">
        <v>604</v>
      </c>
      <c r="R139" s="69" t="s">
        <v>5937</v>
      </c>
      <c r="S139" s="69" t="s">
        <v>5540</v>
      </c>
      <c r="T139" s="69" t="s">
        <v>5938</v>
      </c>
      <c r="U139" s="69" t="s">
        <v>5502</v>
      </c>
      <c r="V139" s="69" t="str">
        <f t="shared" si="3"/>
        <v>Statin/EZ/ARB</v>
      </c>
    </row>
    <row r="140" ht="17.25" customHeight="1">
      <c r="B140" s="25" t="s">
        <v>576</v>
      </c>
      <c r="C140" s="25" t="s">
        <v>5489</v>
      </c>
      <c r="D140" s="25" t="s">
        <v>5939</v>
      </c>
      <c r="E140" s="25" t="s">
        <v>5940</v>
      </c>
      <c r="F140" s="25" t="s">
        <v>5939</v>
      </c>
      <c r="G140" s="25">
        <v>1.42757144193E9</v>
      </c>
      <c r="H140" s="25">
        <v>3256981.52</v>
      </c>
      <c r="I140" s="26" t="s">
        <v>5441</v>
      </c>
      <c r="J140" s="26" t="s">
        <v>5442</v>
      </c>
      <c r="K140" s="26" t="str">
        <f t="shared" si="1"/>
        <v>ARB</v>
      </c>
      <c r="L140" s="26" t="str">
        <f t="shared" si="2"/>
        <v>Telmisartan </v>
      </c>
      <c r="M140" s="26"/>
      <c r="Q140" s="69" t="s">
        <v>604</v>
      </c>
      <c r="R140" s="69" t="s">
        <v>5941</v>
      </c>
      <c r="S140" s="69" t="s">
        <v>5546</v>
      </c>
      <c r="T140" s="69" t="s">
        <v>5942</v>
      </c>
      <c r="U140" s="69" t="s">
        <v>5502</v>
      </c>
      <c r="V140" s="69" t="str">
        <f t="shared" si="3"/>
        <v>Statin/ARB</v>
      </c>
    </row>
    <row r="141" ht="17.25" customHeight="1">
      <c r="B141" s="25" t="s">
        <v>576</v>
      </c>
      <c r="C141" s="25" t="s">
        <v>5489</v>
      </c>
      <c r="D141" s="25" t="s">
        <v>790</v>
      </c>
      <c r="E141" s="25" t="s">
        <v>5943</v>
      </c>
      <c r="F141" s="25" t="s">
        <v>790</v>
      </c>
      <c r="G141" s="25">
        <v>1.4074658279E8</v>
      </c>
      <c r="H141" s="25">
        <v>366156.43</v>
      </c>
      <c r="I141" s="26" t="s">
        <v>5441</v>
      </c>
      <c r="J141" s="26" t="s">
        <v>5442</v>
      </c>
      <c r="K141" s="26" t="str">
        <f t="shared" si="1"/>
        <v>ARB</v>
      </c>
      <c r="L141" s="26" t="str">
        <f t="shared" si="2"/>
        <v>Telmisartan </v>
      </c>
      <c r="M141" s="26"/>
      <c r="Q141" s="69" t="s">
        <v>596</v>
      </c>
      <c r="R141" s="69" t="s">
        <v>5944</v>
      </c>
      <c r="S141" s="69" t="s">
        <v>5945</v>
      </c>
      <c r="T141" s="69" t="s">
        <v>5946</v>
      </c>
      <c r="U141" s="69" t="s">
        <v>5445</v>
      </c>
      <c r="V141" s="69" t="s">
        <v>1508</v>
      </c>
    </row>
    <row r="142" ht="17.25" customHeight="1">
      <c r="B142" s="25" t="s">
        <v>576</v>
      </c>
      <c r="C142" s="25" t="s">
        <v>5489</v>
      </c>
      <c r="D142" s="25" t="s">
        <v>1637</v>
      </c>
      <c r="E142" s="25" t="s">
        <v>5947</v>
      </c>
      <c r="F142" s="25" t="s">
        <v>1637</v>
      </c>
      <c r="G142" s="25">
        <v>2769442.7</v>
      </c>
      <c r="H142" s="25">
        <v>7249.85</v>
      </c>
      <c r="I142" s="26" t="s">
        <v>5441</v>
      </c>
      <c r="J142" s="26" t="s">
        <v>5442</v>
      </c>
      <c r="K142" s="26" t="str">
        <f t="shared" si="1"/>
        <v>ARB</v>
      </c>
      <c r="L142" s="26" t="str">
        <f t="shared" si="2"/>
        <v>Telmisartan </v>
      </c>
      <c r="M142" s="26"/>
      <c r="Q142" s="69" t="s">
        <v>596</v>
      </c>
      <c r="R142" s="69" t="s">
        <v>1598</v>
      </c>
      <c r="S142" s="69" t="s">
        <v>5945</v>
      </c>
      <c r="T142" s="69" t="s">
        <v>5948</v>
      </c>
      <c r="U142" s="69" t="s">
        <v>5445</v>
      </c>
      <c r="V142" s="69" t="s">
        <v>1508</v>
      </c>
    </row>
    <row r="143" ht="17.25" customHeight="1">
      <c r="B143" s="25" t="s">
        <v>576</v>
      </c>
      <c r="C143" s="25" t="s">
        <v>5489</v>
      </c>
      <c r="D143" s="25" t="s">
        <v>798</v>
      </c>
      <c r="E143" s="25" t="s">
        <v>5949</v>
      </c>
      <c r="F143" s="25" t="s">
        <v>798</v>
      </c>
      <c r="G143" s="25">
        <v>9.458001033E7</v>
      </c>
      <c r="H143" s="25">
        <v>220576.38</v>
      </c>
      <c r="I143" s="26" t="s">
        <v>5441</v>
      </c>
      <c r="J143" s="26" t="s">
        <v>5442</v>
      </c>
      <c r="K143" s="26" t="str">
        <f t="shared" si="1"/>
        <v>ARB</v>
      </c>
      <c r="L143" s="26" t="str">
        <f t="shared" si="2"/>
        <v>Telmisartan </v>
      </c>
      <c r="M143" s="26"/>
      <c r="Q143" s="69" t="s">
        <v>604</v>
      </c>
      <c r="R143" s="69" t="s">
        <v>5950</v>
      </c>
      <c r="S143" s="69" t="s">
        <v>5563</v>
      </c>
      <c r="T143" s="69" t="s">
        <v>5951</v>
      </c>
      <c r="U143" s="69" t="s">
        <v>5502</v>
      </c>
      <c r="V143" s="69" t="str">
        <f t="shared" ref="V143:V146" si="4">VLOOKUP(S143,Y27:Z51,2,FALSE)</f>
        <v>Statin/ARB</v>
      </c>
    </row>
    <row r="144" ht="17.25" customHeight="1">
      <c r="B144" s="25" t="s">
        <v>576</v>
      </c>
      <c r="C144" s="25" t="s">
        <v>5489</v>
      </c>
      <c r="D144" s="25" t="s">
        <v>953</v>
      </c>
      <c r="E144" s="25" t="s">
        <v>5952</v>
      </c>
      <c r="F144" s="25" t="s">
        <v>953</v>
      </c>
      <c r="G144" s="25">
        <v>1.1835093968E8</v>
      </c>
      <c r="H144" s="25">
        <v>346806.57</v>
      </c>
      <c r="I144" s="26" t="s">
        <v>5441</v>
      </c>
      <c r="J144" s="26" t="s">
        <v>5442</v>
      </c>
      <c r="K144" s="26" t="str">
        <f t="shared" si="1"/>
        <v>ARB</v>
      </c>
      <c r="L144" s="26" t="str">
        <f t="shared" si="2"/>
        <v>Telmisartan </v>
      </c>
      <c r="M144" s="26"/>
      <c r="Q144" s="69" t="s">
        <v>604</v>
      </c>
      <c r="R144" s="69" t="s">
        <v>5953</v>
      </c>
      <c r="S144" s="69" t="s">
        <v>5568</v>
      </c>
      <c r="T144" s="69" t="s">
        <v>5954</v>
      </c>
      <c r="U144" s="69" t="s">
        <v>5502</v>
      </c>
      <c r="V144" s="69" t="str">
        <f t="shared" si="4"/>
        <v>Statin/ARB</v>
      </c>
    </row>
    <row r="145" ht="17.25" customHeight="1">
      <c r="B145" s="25" t="s">
        <v>576</v>
      </c>
      <c r="C145" s="25" t="s">
        <v>5489</v>
      </c>
      <c r="D145" s="25" t="s">
        <v>804</v>
      </c>
      <c r="E145" s="25" t="s">
        <v>5955</v>
      </c>
      <c r="F145" s="25" t="s">
        <v>804</v>
      </c>
      <c r="G145" s="25">
        <v>3860142.18</v>
      </c>
      <c r="H145" s="25">
        <v>9867.14</v>
      </c>
      <c r="I145" s="26" t="s">
        <v>5441</v>
      </c>
      <c r="J145" s="26" t="s">
        <v>5442</v>
      </c>
      <c r="K145" s="26" t="str">
        <f t="shared" si="1"/>
        <v>ARB</v>
      </c>
      <c r="L145" s="26" t="str">
        <f t="shared" si="2"/>
        <v>Telmisartan </v>
      </c>
      <c r="M145" s="26"/>
      <c r="Q145" s="69" t="s">
        <v>604</v>
      </c>
      <c r="R145" s="69" t="s">
        <v>5956</v>
      </c>
      <c r="S145" s="69" t="s">
        <v>5572</v>
      </c>
      <c r="T145" s="69" t="s">
        <v>5957</v>
      </c>
      <c r="U145" s="69" t="s">
        <v>5502</v>
      </c>
      <c r="V145" s="69" t="str">
        <f t="shared" si="4"/>
        <v>Statin/ARB</v>
      </c>
    </row>
    <row r="146" ht="17.25" customHeight="1">
      <c r="B146" s="25" t="s">
        <v>576</v>
      </c>
      <c r="C146" s="25" t="s">
        <v>5489</v>
      </c>
      <c r="D146" s="25" t="s">
        <v>810</v>
      </c>
      <c r="E146" s="25" t="s">
        <v>5958</v>
      </c>
      <c r="F146" s="25" t="s">
        <v>810</v>
      </c>
      <c r="G146" s="25">
        <v>5.2283641284E8</v>
      </c>
      <c r="H146" s="25">
        <v>1395657.03</v>
      </c>
      <c r="I146" s="26" t="s">
        <v>5441</v>
      </c>
      <c r="J146" s="26" t="s">
        <v>5442</v>
      </c>
      <c r="K146" s="26" t="str">
        <f t="shared" si="1"/>
        <v>ARB</v>
      </c>
      <c r="L146" s="26" t="str">
        <f t="shared" si="2"/>
        <v>Telmisartan </v>
      </c>
      <c r="M146" s="26"/>
      <c r="Q146" s="69" t="s">
        <v>604</v>
      </c>
      <c r="R146" s="69" t="s">
        <v>5959</v>
      </c>
      <c r="S146" s="69" t="s">
        <v>5577</v>
      </c>
      <c r="T146" s="69" t="s">
        <v>5960</v>
      </c>
      <c r="U146" s="69" t="s">
        <v>5502</v>
      </c>
      <c r="V146" s="69" t="str">
        <f t="shared" si="4"/>
        <v>Statin/ARB</v>
      </c>
    </row>
    <row r="147" ht="17.25" customHeight="1">
      <c r="B147" s="25" t="s">
        <v>576</v>
      </c>
      <c r="C147" s="25" t="s">
        <v>5489</v>
      </c>
      <c r="D147" s="25" t="s">
        <v>812</v>
      </c>
      <c r="E147" s="25" t="s">
        <v>5961</v>
      </c>
      <c r="F147" s="25" t="s">
        <v>812</v>
      </c>
      <c r="G147" s="25">
        <v>4.055275983E7</v>
      </c>
      <c r="H147" s="25">
        <v>108766.84</v>
      </c>
      <c r="I147" s="26" t="s">
        <v>5441</v>
      </c>
      <c r="J147" s="26" t="s">
        <v>5442</v>
      </c>
      <c r="K147" s="26" t="str">
        <f t="shared" si="1"/>
        <v>ARB</v>
      </c>
      <c r="L147" s="26" t="str">
        <f t="shared" si="2"/>
        <v>Telmisartan </v>
      </c>
      <c r="M147" s="26"/>
      <c r="Q147" s="69" t="s">
        <v>2662</v>
      </c>
      <c r="R147" s="69" t="s">
        <v>2360</v>
      </c>
      <c r="S147" s="69" t="s">
        <v>5962</v>
      </c>
      <c r="T147" s="69" t="s">
        <v>5963</v>
      </c>
      <c r="U147" s="69" t="s">
        <v>5445</v>
      </c>
      <c r="V147" s="69" t="s">
        <v>5964</v>
      </c>
    </row>
    <row r="148" ht="17.25" customHeight="1">
      <c r="B148" s="25" t="s">
        <v>576</v>
      </c>
      <c r="C148" s="25" t="s">
        <v>5489</v>
      </c>
      <c r="D148" s="25" t="s">
        <v>814</v>
      </c>
      <c r="E148" s="25" t="s">
        <v>5965</v>
      </c>
      <c r="F148" s="25" t="s">
        <v>814</v>
      </c>
      <c r="G148" s="25">
        <v>3.011159392E7</v>
      </c>
      <c r="H148" s="25">
        <v>67747.61</v>
      </c>
      <c r="I148" s="26" t="s">
        <v>5441</v>
      </c>
      <c r="J148" s="26" t="s">
        <v>5442</v>
      </c>
      <c r="K148" s="26" t="str">
        <f t="shared" si="1"/>
        <v>ARB</v>
      </c>
      <c r="L148" s="26" t="str">
        <f t="shared" si="2"/>
        <v>Telmisartan </v>
      </c>
      <c r="M148" s="26"/>
      <c r="Q148" s="69" t="s">
        <v>2662</v>
      </c>
      <c r="R148" s="69" t="s">
        <v>3323</v>
      </c>
      <c r="S148" s="69" t="s">
        <v>5962</v>
      </c>
      <c r="T148" s="69" t="s">
        <v>5966</v>
      </c>
      <c r="U148" s="69" t="s">
        <v>5445</v>
      </c>
      <c r="V148" s="69" t="s">
        <v>5964</v>
      </c>
    </row>
    <row r="149" ht="17.25" customHeight="1">
      <c r="B149" s="25" t="s">
        <v>576</v>
      </c>
      <c r="C149" s="25" t="s">
        <v>5489</v>
      </c>
      <c r="D149" s="25" t="s">
        <v>816</v>
      </c>
      <c r="E149" s="25" t="s">
        <v>5967</v>
      </c>
      <c r="F149" s="25" t="s">
        <v>816</v>
      </c>
      <c r="G149" s="25">
        <v>1.4627424687E8</v>
      </c>
      <c r="H149" s="25">
        <v>390994.81</v>
      </c>
      <c r="I149" s="26" t="s">
        <v>5441</v>
      </c>
      <c r="J149" s="26" t="s">
        <v>5442</v>
      </c>
      <c r="K149" s="26" t="str">
        <f t="shared" si="1"/>
        <v>ARB</v>
      </c>
      <c r="L149" s="26" t="str">
        <f t="shared" si="2"/>
        <v>Telmisartan </v>
      </c>
      <c r="M149" s="26"/>
      <c r="Q149" s="69" t="s">
        <v>2662</v>
      </c>
      <c r="R149" s="69" t="s">
        <v>3339</v>
      </c>
      <c r="S149" s="69" t="s">
        <v>5968</v>
      </c>
      <c r="T149" s="69" t="s">
        <v>5969</v>
      </c>
      <c r="U149" s="69" t="s">
        <v>5445</v>
      </c>
      <c r="V149" s="69" t="s">
        <v>5964</v>
      </c>
    </row>
    <row r="150" ht="17.25" customHeight="1">
      <c r="B150" s="25" t="s">
        <v>576</v>
      </c>
      <c r="C150" s="25" t="s">
        <v>5489</v>
      </c>
      <c r="D150" s="25" t="s">
        <v>826</v>
      </c>
      <c r="E150" s="25" t="s">
        <v>5970</v>
      </c>
      <c r="F150" s="25" t="s">
        <v>826</v>
      </c>
      <c r="G150" s="25">
        <v>1.7432760323E8</v>
      </c>
      <c r="H150" s="25">
        <v>465655.68</v>
      </c>
      <c r="I150" s="26" t="s">
        <v>5441</v>
      </c>
      <c r="J150" s="26" t="s">
        <v>5442</v>
      </c>
      <c r="K150" s="26" t="str">
        <f t="shared" si="1"/>
        <v>ARB</v>
      </c>
      <c r="L150" s="26" t="str">
        <f t="shared" si="2"/>
        <v>Telmisartan </v>
      </c>
      <c r="M150" s="26"/>
      <c r="Q150" s="69" t="s">
        <v>2662</v>
      </c>
      <c r="R150" s="69" t="s">
        <v>5971</v>
      </c>
      <c r="S150" s="69" t="s">
        <v>5972</v>
      </c>
      <c r="T150" s="69" t="s">
        <v>5973</v>
      </c>
      <c r="U150" s="69" t="s">
        <v>5445</v>
      </c>
      <c r="V150" s="69" t="s">
        <v>5964</v>
      </c>
    </row>
    <row r="151" ht="17.25" customHeight="1">
      <c r="B151" s="25" t="s">
        <v>576</v>
      </c>
      <c r="C151" s="25" t="s">
        <v>5489</v>
      </c>
      <c r="D151" s="25" t="s">
        <v>830</v>
      </c>
      <c r="E151" s="25" t="s">
        <v>5974</v>
      </c>
      <c r="F151" s="25" t="s">
        <v>830</v>
      </c>
      <c r="G151" s="25">
        <v>2.692372379E7</v>
      </c>
      <c r="H151" s="25">
        <v>71873.17</v>
      </c>
      <c r="I151" s="26" t="s">
        <v>5441</v>
      </c>
      <c r="J151" s="26" t="s">
        <v>5442</v>
      </c>
      <c r="K151" s="26" t="str">
        <f t="shared" si="1"/>
        <v>ARB</v>
      </c>
      <c r="L151" s="26" t="str">
        <f t="shared" si="2"/>
        <v>Telmisartan </v>
      </c>
      <c r="M151" s="26"/>
      <c r="Q151" s="69" t="s">
        <v>2662</v>
      </c>
      <c r="R151" s="69" t="s">
        <v>3346</v>
      </c>
      <c r="S151" s="69" t="s">
        <v>5975</v>
      </c>
      <c r="T151" s="69" t="s">
        <v>5976</v>
      </c>
      <c r="U151" s="69" t="s">
        <v>5445</v>
      </c>
      <c r="V151" s="69" t="s">
        <v>5964</v>
      </c>
    </row>
    <row r="152" ht="17.25" customHeight="1">
      <c r="B152" s="25" t="s">
        <v>576</v>
      </c>
      <c r="C152" s="25" t="s">
        <v>5489</v>
      </c>
      <c r="D152" s="25" t="s">
        <v>834</v>
      </c>
      <c r="E152" s="25" t="s">
        <v>5977</v>
      </c>
      <c r="F152" s="25" t="s">
        <v>834</v>
      </c>
      <c r="G152" s="25">
        <v>886773.3</v>
      </c>
      <c r="H152" s="25">
        <v>2449.65</v>
      </c>
      <c r="I152" s="26" t="s">
        <v>5441</v>
      </c>
      <c r="J152" s="26" t="s">
        <v>5442</v>
      </c>
      <c r="K152" s="26" t="str">
        <f t="shared" si="1"/>
        <v>ARB</v>
      </c>
      <c r="L152" s="26" t="str">
        <f t="shared" si="2"/>
        <v>Telmisartan </v>
      </c>
      <c r="M152" s="26"/>
      <c r="Q152" s="69" t="s">
        <v>2662</v>
      </c>
      <c r="R152" s="69" t="s">
        <v>3637</v>
      </c>
      <c r="S152" s="69" t="s">
        <v>5978</v>
      </c>
      <c r="T152" s="69" t="s">
        <v>5979</v>
      </c>
      <c r="U152" s="69" t="s">
        <v>5445</v>
      </c>
      <c r="V152" s="69" t="s">
        <v>5964</v>
      </c>
    </row>
    <row r="153" ht="17.25" customHeight="1">
      <c r="B153" s="25" t="s">
        <v>576</v>
      </c>
      <c r="C153" s="25" t="s">
        <v>5489</v>
      </c>
      <c r="D153" s="25" t="s">
        <v>710</v>
      </c>
      <c r="E153" s="25" t="s">
        <v>5980</v>
      </c>
      <c r="F153" s="25" t="s">
        <v>712</v>
      </c>
      <c r="G153" s="25">
        <v>1.1855747889E8</v>
      </c>
      <c r="H153" s="25">
        <v>258701.95</v>
      </c>
      <c r="I153" s="26" t="s">
        <v>5441</v>
      </c>
      <c r="J153" s="26" t="s">
        <v>5442</v>
      </c>
      <c r="K153" s="26" t="str">
        <f t="shared" si="1"/>
        <v>ARB</v>
      </c>
      <c r="L153" s="26" t="str">
        <f t="shared" si="2"/>
        <v>Telmisartan </v>
      </c>
      <c r="M153" s="26"/>
      <c r="Q153" s="69" t="s">
        <v>2662</v>
      </c>
      <c r="R153" s="69" t="s">
        <v>3671</v>
      </c>
      <c r="S153" s="69" t="s">
        <v>5981</v>
      </c>
      <c r="T153" s="69" t="s">
        <v>5982</v>
      </c>
      <c r="U153" s="69" t="s">
        <v>5445</v>
      </c>
      <c r="V153" s="69" t="s">
        <v>5964</v>
      </c>
    </row>
    <row r="154" ht="17.25" customHeight="1">
      <c r="B154" s="25" t="s">
        <v>576</v>
      </c>
      <c r="C154" s="25" t="s">
        <v>5489</v>
      </c>
      <c r="D154" s="25" t="s">
        <v>1139</v>
      </c>
      <c r="E154" s="25" t="s">
        <v>5983</v>
      </c>
      <c r="F154" s="25" t="s">
        <v>1139</v>
      </c>
      <c r="G154" s="25">
        <v>1.6020814187E8</v>
      </c>
      <c r="H154" s="25">
        <v>357272.5</v>
      </c>
      <c r="I154" s="26" t="s">
        <v>5441</v>
      </c>
      <c r="J154" s="26" t="s">
        <v>5442</v>
      </c>
      <c r="K154" s="26" t="str">
        <f t="shared" si="1"/>
        <v>ARB</v>
      </c>
      <c r="L154" s="26" t="str">
        <f t="shared" si="2"/>
        <v>Telmisartan </v>
      </c>
      <c r="M154" s="26"/>
      <c r="Q154" s="69" t="s">
        <v>2662</v>
      </c>
      <c r="R154" s="69" t="s">
        <v>5054</v>
      </c>
      <c r="S154" s="69" t="s">
        <v>5981</v>
      </c>
      <c r="T154" s="69" t="s">
        <v>5984</v>
      </c>
      <c r="U154" s="69" t="s">
        <v>5445</v>
      </c>
      <c r="V154" s="69" t="s">
        <v>5964</v>
      </c>
    </row>
    <row r="155" ht="17.25" customHeight="1">
      <c r="B155" s="25" t="s">
        <v>576</v>
      </c>
      <c r="C155" s="25" t="s">
        <v>5489</v>
      </c>
      <c r="D155" s="25" t="s">
        <v>844</v>
      </c>
      <c r="E155" s="25" t="s">
        <v>5985</v>
      </c>
      <c r="F155" s="25" t="s">
        <v>844</v>
      </c>
      <c r="G155" s="25">
        <v>2260240.98</v>
      </c>
      <c r="H155" s="25">
        <v>5305.73</v>
      </c>
      <c r="I155" s="26" t="s">
        <v>5441</v>
      </c>
      <c r="J155" s="26" t="s">
        <v>5442</v>
      </c>
      <c r="K155" s="26" t="str">
        <f t="shared" si="1"/>
        <v>ARB</v>
      </c>
      <c r="L155" s="26" t="str">
        <f t="shared" si="2"/>
        <v>Telmisartan </v>
      </c>
      <c r="M155" s="26"/>
      <c r="Q155" s="69" t="s">
        <v>2662</v>
      </c>
      <c r="R155" s="69" t="s">
        <v>5070</v>
      </c>
      <c r="S155" s="69" t="s">
        <v>5986</v>
      </c>
      <c r="T155" s="69" t="s">
        <v>5987</v>
      </c>
      <c r="U155" s="69" t="s">
        <v>5445</v>
      </c>
      <c r="V155" s="69" t="s">
        <v>5964</v>
      </c>
    </row>
    <row r="156" ht="17.25" customHeight="1">
      <c r="B156" s="25" t="s">
        <v>576</v>
      </c>
      <c r="C156" s="25" t="s">
        <v>5489</v>
      </c>
      <c r="D156" s="25" t="s">
        <v>846</v>
      </c>
      <c r="E156" s="25" t="s">
        <v>5988</v>
      </c>
      <c r="F156" s="25" t="s">
        <v>846</v>
      </c>
      <c r="G156" s="25">
        <v>5534949.3</v>
      </c>
      <c r="H156" s="25">
        <v>14411.4</v>
      </c>
      <c r="I156" s="26" t="s">
        <v>5441</v>
      </c>
      <c r="J156" s="26" t="s">
        <v>5442</v>
      </c>
      <c r="K156" s="26" t="str">
        <f t="shared" si="1"/>
        <v>ARB</v>
      </c>
      <c r="L156" s="26" t="str">
        <f t="shared" si="2"/>
        <v>Telmisartan </v>
      </c>
      <c r="M156" s="26"/>
      <c r="Q156" s="69" t="s">
        <v>588</v>
      </c>
      <c r="R156" s="69" t="s">
        <v>5311</v>
      </c>
      <c r="S156" s="69" t="s">
        <v>5311</v>
      </c>
      <c r="T156" s="69" t="s">
        <v>5989</v>
      </c>
      <c r="U156" s="69" t="s">
        <v>5445</v>
      </c>
      <c r="V156" s="69" t="s">
        <v>5990</v>
      </c>
    </row>
    <row r="157" ht="17.25" customHeight="1">
      <c r="B157" s="25" t="s">
        <v>576</v>
      </c>
      <c r="C157" s="25" t="s">
        <v>5489</v>
      </c>
      <c r="D157" s="25" t="s">
        <v>852</v>
      </c>
      <c r="E157" s="25" t="s">
        <v>5991</v>
      </c>
      <c r="F157" s="25" t="s">
        <v>852</v>
      </c>
      <c r="G157" s="25">
        <v>3805394.68</v>
      </c>
      <c r="H157" s="25">
        <v>10512.14</v>
      </c>
      <c r="I157" s="26" t="s">
        <v>5441</v>
      </c>
      <c r="J157" s="26" t="s">
        <v>5442</v>
      </c>
      <c r="K157" s="26" t="str">
        <f t="shared" si="1"/>
        <v>ARB</v>
      </c>
      <c r="L157" s="26" t="str">
        <f t="shared" si="2"/>
        <v>Telmisartan </v>
      </c>
      <c r="M157" s="26"/>
      <c r="Q157" s="69" t="s">
        <v>588</v>
      </c>
      <c r="R157" s="69" t="s">
        <v>5316</v>
      </c>
      <c r="S157" s="69" t="s">
        <v>5316</v>
      </c>
      <c r="T157" s="69" t="s">
        <v>5992</v>
      </c>
      <c r="U157" s="69" t="s">
        <v>5445</v>
      </c>
      <c r="V157" s="69" t="s">
        <v>5990</v>
      </c>
    </row>
    <row r="158" ht="17.25" customHeight="1">
      <c r="B158" s="25" t="s">
        <v>576</v>
      </c>
      <c r="C158" s="25" t="s">
        <v>5489</v>
      </c>
      <c r="D158" s="25" t="s">
        <v>856</v>
      </c>
      <c r="E158" s="25" t="s">
        <v>5993</v>
      </c>
      <c r="F158" s="25" t="s">
        <v>856</v>
      </c>
      <c r="G158" s="25">
        <v>1.290167095E7</v>
      </c>
      <c r="H158" s="25">
        <v>35639.98</v>
      </c>
      <c r="I158" s="26" t="s">
        <v>5441</v>
      </c>
      <c r="J158" s="26" t="s">
        <v>5442</v>
      </c>
      <c r="K158" s="26" t="str">
        <f t="shared" si="1"/>
        <v>ARB</v>
      </c>
      <c r="L158" s="26" t="str">
        <f t="shared" si="2"/>
        <v>Telmisartan </v>
      </c>
      <c r="M158" s="26"/>
      <c r="Q158" s="69" t="s">
        <v>588</v>
      </c>
      <c r="R158" s="69" t="s">
        <v>5323</v>
      </c>
      <c r="S158" s="69" t="s">
        <v>5323</v>
      </c>
      <c r="T158" s="69" t="s">
        <v>5994</v>
      </c>
      <c r="U158" s="69" t="s">
        <v>5445</v>
      </c>
      <c r="V158" s="69" t="s">
        <v>5990</v>
      </c>
    </row>
    <row r="159" ht="17.25" customHeight="1">
      <c r="B159" s="25" t="s">
        <v>576</v>
      </c>
      <c r="C159" s="25" t="s">
        <v>5489</v>
      </c>
      <c r="D159" s="25" t="s">
        <v>862</v>
      </c>
      <c r="E159" s="25" t="s">
        <v>5995</v>
      </c>
      <c r="F159" s="25" t="s">
        <v>862</v>
      </c>
      <c r="G159" s="25">
        <v>2.6132474855E8</v>
      </c>
      <c r="H159" s="25">
        <v>719447.58</v>
      </c>
      <c r="I159" s="26" t="s">
        <v>5441</v>
      </c>
      <c r="J159" s="26" t="s">
        <v>5442</v>
      </c>
      <c r="K159" s="26" t="str">
        <f t="shared" si="1"/>
        <v>ARB</v>
      </c>
      <c r="L159" s="26" t="str">
        <f t="shared" si="2"/>
        <v>Telmisartan </v>
      </c>
      <c r="M159" s="26"/>
      <c r="Q159" s="69" t="s">
        <v>588</v>
      </c>
      <c r="R159" s="69" t="s">
        <v>5348</v>
      </c>
      <c r="S159" s="69" t="s">
        <v>5348</v>
      </c>
      <c r="T159" s="69" t="s">
        <v>5996</v>
      </c>
      <c r="U159" s="69" t="s">
        <v>5445</v>
      </c>
      <c r="V159" s="69" t="s">
        <v>5990</v>
      </c>
    </row>
    <row r="160" ht="17.25" customHeight="1">
      <c r="B160" s="25" t="s">
        <v>576</v>
      </c>
      <c r="C160" s="25" t="s">
        <v>5489</v>
      </c>
      <c r="D160" s="25" t="s">
        <v>713</v>
      </c>
      <c r="E160" s="25" t="s">
        <v>5997</v>
      </c>
      <c r="F160" s="25" t="s">
        <v>713</v>
      </c>
      <c r="G160" s="25">
        <v>2.466487905E7</v>
      </c>
      <c r="H160" s="25">
        <v>68135.03</v>
      </c>
      <c r="I160" s="26" t="s">
        <v>5441</v>
      </c>
      <c r="J160" s="26" t="s">
        <v>5442</v>
      </c>
      <c r="K160" s="26" t="str">
        <f t="shared" si="1"/>
        <v>ARB</v>
      </c>
      <c r="L160" s="26" t="str">
        <f t="shared" si="2"/>
        <v>Telmisartan </v>
      </c>
      <c r="M160" s="26"/>
      <c r="Q160" s="69" t="s">
        <v>588</v>
      </c>
      <c r="R160" s="69" t="s">
        <v>5356</v>
      </c>
      <c r="S160" s="69" t="s">
        <v>5356</v>
      </c>
      <c r="T160" s="69" t="s">
        <v>5998</v>
      </c>
      <c r="U160" s="69" t="s">
        <v>5445</v>
      </c>
      <c r="V160" s="69" t="s">
        <v>5990</v>
      </c>
    </row>
    <row r="161" ht="17.25" customHeight="1">
      <c r="B161" s="25" t="s">
        <v>576</v>
      </c>
      <c r="C161" s="25" t="s">
        <v>5489</v>
      </c>
      <c r="D161" s="25" t="s">
        <v>870</v>
      </c>
      <c r="E161" s="25" t="s">
        <v>5999</v>
      </c>
      <c r="F161" s="25" t="s">
        <v>870</v>
      </c>
      <c r="G161" s="25">
        <v>6.4466397E7</v>
      </c>
      <c r="H161" s="25">
        <v>140582.3</v>
      </c>
      <c r="I161" s="26" t="s">
        <v>5441</v>
      </c>
      <c r="J161" s="26" t="s">
        <v>5442</v>
      </c>
      <c r="K161" s="26" t="str">
        <f t="shared" si="1"/>
        <v>ARB</v>
      </c>
      <c r="L161" s="26" t="str">
        <f t="shared" si="2"/>
        <v>Telmisartan </v>
      </c>
      <c r="M161" s="26"/>
      <c r="Q161" s="69" t="s">
        <v>588</v>
      </c>
      <c r="R161" s="69" t="s">
        <v>5359</v>
      </c>
      <c r="S161" s="69" t="s">
        <v>5359</v>
      </c>
      <c r="T161" s="69" t="s">
        <v>6000</v>
      </c>
      <c r="U161" s="69" t="s">
        <v>5445</v>
      </c>
      <c r="V161" s="69" t="s">
        <v>5990</v>
      </c>
    </row>
    <row r="162" ht="17.25" customHeight="1">
      <c r="B162" s="25" t="s">
        <v>576</v>
      </c>
      <c r="C162" s="25" t="s">
        <v>5489</v>
      </c>
      <c r="D162" s="25" t="s">
        <v>1040</v>
      </c>
      <c r="E162" s="25" t="s">
        <v>6001</v>
      </c>
      <c r="F162" s="25" t="s">
        <v>1040</v>
      </c>
      <c r="G162" s="25">
        <v>2.5199301284E8</v>
      </c>
      <c r="H162" s="25">
        <v>555287.84</v>
      </c>
      <c r="I162" s="26" t="s">
        <v>5441</v>
      </c>
      <c r="J162" s="26" t="s">
        <v>5442</v>
      </c>
      <c r="K162" s="26" t="str">
        <f t="shared" si="1"/>
        <v>ARB</v>
      </c>
      <c r="L162" s="26" t="str">
        <f t="shared" si="2"/>
        <v>Telmisartan </v>
      </c>
      <c r="M162" s="26"/>
      <c r="Q162" s="69" t="s">
        <v>6002</v>
      </c>
      <c r="R162" s="69" t="s">
        <v>6003</v>
      </c>
      <c r="S162" s="69" t="s">
        <v>6003</v>
      </c>
      <c r="T162" s="69" t="s">
        <v>6004</v>
      </c>
      <c r="U162" s="69" t="s">
        <v>5445</v>
      </c>
      <c r="V162" s="69" t="s">
        <v>6005</v>
      </c>
    </row>
    <row r="163" ht="17.25" customHeight="1">
      <c r="B163" s="25" t="s">
        <v>576</v>
      </c>
      <c r="C163" s="25" t="s">
        <v>5489</v>
      </c>
      <c r="D163" s="25" t="s">
        <v>732</v>
      </c>
      <c r="E163" s="25" t="s">
        <v>6006</v>
      </c>
      <c r="F163" s="25" t="s">
        <v>732</v>
      </c>
      <c r="G163" s="25">
        <v>998406.86</v>
      </c>
      <c r="H163" s="25">
        <v>2758.03</v>
      </c>
      <c r="I163" s="26" t="s">
        <v>5441</v>
      </c>
      <c r="J163" s="26" t="s">
        <v>5442</v>
      </c>
      <c r="K163" s="26" t="str">
        <f t="shared" si="1"/>
        <v>ARB</v>
      </c>
      <c r="L163" s="26" t="str">
        <f t="shared" si="2"/>
        <v>Telmisartan </v>
      </c>
      <c r="M163" s="26"/>
      <c r="Q163" s="69" t="s">
        <v>6007</v>
      </c>
      <c r="R163" s="69" t="s">
        <v>6008</v>
      </c>
      <c r="S163" s="69" t="s">
        <v>6008</v>
      </c>
      <c r="T163" s="69" t="s">
        <v>6009</v>
      </c>
      <c r="U163" s="69" t="s">
        <v>5445</v>
      </c>
      <c r="V163" s="69" t="s">
        <v>6010</v>
      </c>
    </row>
    <row r="164" ht="17.25" customHeight="1">
      <c r="B164" s="25" t="s">
        <v>576</v>
      </c>
      <c r="C164" s="25" t="s">
        <v>5489</v>
      </c>
      <c r="D164" s="25" t="s">
        <v>983</v>
      </c>
      <c r="E164" s="25" t="s">
        <v>6011</v>
      </c>
      <c r="F164" s="25" t="s">
        <v>983</v>
      </c>
      <c r="G164" s="25">
        <v>8.27632475E7</v>
      </c>
      <c r="H164" s="25">
        <v>266368.45</v>
      </c>
      <c r="I164" s="26" t="s">
        <v>5441</v>
      </c>
      <c r="J164" s="26" t="s">
        <v>5442</v>
      </c>
      <c r="K164" s="26" t="str">
        <f t="shared" si="1"/>
        <v>ARB</v>
      </c>
      <c r="L164" s="26" t="str">
        <f t="shared" si="2"/>
        <v>Telmisartan </v>
      </c>
      <c r="M164" s="26"/>
      <c r="Q164" s="69" t="s">
        <v>6007</v>
      </c>
      <c r="R164" s="69" t="s">
        <v>6012</v>
      </c>
      <c r="S164" s="69" t="s">
        <v>6012</v>
      </c>
      <c r="T164" s="69" t="s">
        <v>6013</v>
      </c>
      <c r="U164" s="69" t="s">
        <v>5445</v>
      </c>
      <c r="V164" s="69" t="s">
        <v>6010</v>
      </c>
    </row>
    <row r="165" ht="17.25" customHeight="1">
      <c r="B165" s="25" t="s">
        <v>576</v>
      </c>
      <c r="C165" s="25" t="s">
        <v>5489</v>
      </c>
      <c r="D165" s="25" t="s">
        <v>734</v>
      </c>
      <c r="E165" s="25" t="s">
        <v>6014</v>
      </c>
      <c r="F165" s="25" t="s">
        <v>734</v>
      </c>
      <c r="G165" s="25">
        <v>3444183.84</v>
      </c>
      <c r="H165" s="25">
        <v>9514.32</v>
      </c>
      <c r="I165" s="26" t="s">
        <v>5441</v>
      </c>
      <c r="J165" s="26" t="s">
        <v>5442</v>
      </c>
      <c r="K165" s="26" t="str">
        <f t="shared" si="1"/>
        <v>ARB</v>
      </c>
      <c r="L165" s="26" t="str">
        <f t="shared" si="2"/>
        <v>Telmisartan </v>
      </c>
      <c r="M165" s="26"/>
      <c r="Q165" s="69" t="s">
        <v>6015</v>
      </c>
      <c r="R165" s="69" t="s">
        <v>6016</v>
      </c>
      <c r="S165" s="69" t="s">
        <v>6016</v>
      </c>
      <c r="T165" s="69" t="s">
        <v>6017</v>
      </c>
      <c r="U165" s="69" t="s">
        <v>5445</v>
      </c>
      <c r="V165" s="69" t="s">
        <v>6016</v>
      </c>
    </row>
    <row r="166" ht="17.25" customHeight="1">
      <c r="B166" s="25" t="s">
        <v>576</v>
      </c>
      <c r="C166" s="25" t="s">
        <v>5489</v>
      </c>
      <c r="D166" s="25" t="s">
        <v>874</v>
      </c>
      <c r="E166" s="25" t="s">
        <v>6018</v>
      </c>
      <c r="F166" s="25" t="s">
        <v>874</v>
      </c>
      <c r="G166" s="25">
        <v>6.60177951E7</v>
      </c>
      <c r="H166" s="25">
        <v>143971.34</v>
      </c>
      <c r="I166" s="26" t="s">
        <v>5441</v>
      </c>
      <c r="J166" s="26" t="s">
        <v>5442</v>
      </c>
      <c r="K166" s="26" t="str">
        <f t="shared" si="1"/>
        <v>ARB</v>
      </c>
      <c r="L166" s="26" t="str">
        <f t="shared" si="2"/>
        <v>Telmisartan </v>
      </c>
      <c r="M166" s="26"/>
      <c r="Q166" s="69" t="s">
        <v>6015</v>
      </c>
      <c r="R166" s="69" t="s">
        <v>6019</v>
      </c>
      <c r="S166" s="69" t="s">
        <v>6019</v>
      </c>
      <c r="T166" s="69" t="s">
        <v>6020</v>
      </c>
      <c r="U166" s="69" t="s">
        <v>5445</v>
      </c>
      <c r="V166" s="69" t="s">
        <v>6019</v>
      </c>
    </row>
    <row r="167" ht="17.25" customHeight="1">
      <c r="B167" s="25" t="s">
        <v>576</v>
      </c>
      <c r="C167" s="25" t="s">
        <v>5489</v>
      </c>
      <c r="D167" s="25" t="s">
        <v>876</v>
      </c>
      <c r="E167" s="25" t="s">
        <v>6021</v>
      </c>
      <c r="F167" s="25" t="s">
        <v>876</v>
      </c>
      <c r="G167" s="25">
        <v>5.7433661875E8</v>
      </c>
      <c r="H167" s="25">
        <v>1409959.92</v>
      </c>
      <c r="I167" s="26" t="s">
        <v>5441</v>
      </c>
      <c r="J167" s="26" t="s">
        <v>5442</v>
      </c>
      <c r="K167" s="26" t="str">
        <f t="shared" si="1"/>
        <v>ARB</v>
      </c>
      <c r="L167" s="26" t="str">
        <f t="shared" si="2"/>
        <v>Telmisartan </v>
      </c>
      <c r="M167" s="26"/>
      <c r="Q167" s="69" t="s">
        <v>597</v>
      </c>
      <c r="R167" s="69" t="s">
        <v>5373</v>
      </c>
      <c r="S167" s="69" t="s">
        <v>5373</v>
      </c>
      <c r="T167" s="69" t="s">
        <v>6022</v>
      </c>
      <c r="U167" s="69" t="s">
        <v>5445</v>
      </c>
      <c r="V167" s="69" t="s">
        <v>6023</v>
      </c>
    </row>
    <row r="168" ht="17.25" customHeight="1">
      <c r="B168" s="25" t="s">
        <v>576</v>
      </c>
      <c r="C168" s="25" t="s">
        <v>5489</v>
      </c>
      <c r="D168" s="25" t="s">
        <v>880</v>
      </c>
      <c r="E168" s="25" t="s">
        <v>6024</v>
      </c>
      <c r="F168" s="25" t="s">
        <v>880</v>
      </c>
      <c r="G168" s="25">
        <v>2.29344636305E9</v>
      </c>
      <c r="H168" s="25">
        <v>6349800.33</v>
      </c>
      <c r="I168" s="26" t="s">
        <v>5441</v>
      </c>
      <c r="J168" s="26" t="s">
        <v>5442</v>
      </c>
      <c r="K168" s="26" t="str">
        <f t="shared" si="1"/>
        <v>ARB</v>
      </c>
      <c r="L168" s="26" t="str">
        <f t="shared" si="2"/>
        <v>Telmisartan </v>
      </c>
      <c r="M168" s="26"/>
      <c r="Q168" s="69" t="s">
        <v>575</v>
      </c>
      <c r="R168" s="69" t="s">
        <v>1848</v>
      </c>
      <c r="S168" s="69" t="s">
        <v>6025</v>
      </c>
      <c r="T168" s="69" t="s">
        <v>6026</v>
      </c>
      <c r="U168" s="69" t="s">
        <v>5502</v>
      </c>
      <c r="V168" s="69" t="s">
        <v>6027</v>
      </c>
    </row>
    <row r="169" ht="17.25" customHeight="1">
      <c r="B169" s="25" t="s">
        <v>576</v>
      </c>
      <c r="C169" s="25" t="s">
        <v>5489</v>
      </c>
      <c r="D169" s="25" t="s">
        <v>888</v>
      </c>
      <c r="E169" s="25" t="s">
        <v>6028</v>
      </c>
      <c r="F169" s="25" t="s">
        <v>888</v>
      </c>
      <c r="G169" s="25">
        <v>5.004600891E7</v>
      </c>
      <c r="H169" s="25">
        <v>111084.62</v>
      </c>
      <c r="I169" s="26" t="s">
        <v>5441</v>
      </c>
      <c r="J169" s="26" t="s">
        <v>5442</v>
      </c>
      <c r="K169" s="26" t="str">
        <f t="shared" si="1"/>
        <v>ARB</v>
      </c>
      <c r="L169" s="26" t="str">
        <f t="shared" si="2"/>
        <v>Telmisartan </v>
      </c>
      <c r="M169" s="26"/>
      <c r="Q169" s="69" t="s">
        <v>575</v>
      </c>
      <c r="R169" s="69" t="s">
        <v>1852</v>
      </c>
      <c r="S169" s="69" t="s">
        <v>6029</v>
      </c>
      <c r="T169" s="69" t="s">
        <v>6030</v>
      </c>
      <c r="U169" s="69" t="s">
        <v>5502</v>
      </c>
      <c r="V169" s="69" t="s">
        <v>6027</v>
      </c>
    </row>
    <row r="170" ht="17.25" customHeight="1">
      <c r="B170" s="25" t="s">
        <v>576</v>
      </c>
      <c r="C170" s="25" t="s">
        <v>5489</v>
      </c>
      <c r="D170" s="25" t="s">
        <v>900</v>
      </c>
      <c r="E170" s="25" t="s">
        <v>6031</v>
      </c>
      <c r="F170" s="25" t="s">
        <v>900</v>
      </c>
      <c r="G170" s="25">
        <v>2493855.75</v>
      </c>
      <c r="H170" s="25">
        <v>5969.75</v>
      </c>
      <c r="I170" s="26" t="s">
        <v>5441</v>
      </c>
      <c r="J170" s="26" t="s">
        <v>5442</v>
      </c>
      <c r="K170" s="26" t="str">
        <f t="shared" si="1"/>
        <v>ARB</v>
      </c>
      <c r="L170" s="26" t="str">
        <f t="shared" si="2"/>
        <v>Telmisartan </v>
      </c>
      <c r="M170" s="26"/>
      <c r="Q170" s="69" t="s">
        <v>575</v>
      </c>
      <c r="R170" s="69" t="s">
        <v>2064</v>
      </c>
      <c r="S170" s="69" t="s">
        <v>6025</v>
      </c>
      <c r="T170" s="69" t="s">
        <v>6032</v>
      </c>
      <c r="U170" s="69" t="s">
        <v>5502</v>
      </c>
      <c r="V170" s="69" t="s">
        <v>6027</v>
      </c>
    </row>
    <row r="171" ht="17.25" customHeight="1">
      <c r="B171" s="25" t="s">
        <v>576</v>
      </c>
      <c r="C171" s="25" t="s">
        <v>5489</v>
      </c>
      <c r="D171" s="25" t="s">
        <v>904</v>
      </c>
      <c r="E171" s="25" t="s">
        <v>6033</v>
      </c>
      <c r="F171" s="25" t="s">
        <v>904</v>
      </c>
      <c r="G171" s="25">
        <v>3.670161141E7</v>
      </c>
      <c r="H171" s="25">
        <v>94080.35</v>
      </c>
      <c r="I171" s="26" t="s">
        <v>5441</v>
      </c>
      <c r="J171" s="26" t="s">
        <v>5442</v>
      </c>
      <c r="K171" s="26" t="str">
        <f t="shared" si="1"/>
        <v>ARB</v>
      </c>
      <c r="L171" s="26" t="str">
        <f t="shared" si="2"/>
        <v>Telmisartan </v>
      </c>
      <c r="M171" s="26"/>
      <c r="Q171" s="69" t="s">
        <v>575</v>
      </c>
      <c r="R171" s="69" t="s">
        <v>2070</v>
      </c>
      <c r="S171" s="69" t="s">
        <v>6034</v>
      </c>
      <c r="T171" s="69" t="s">
        <v>6035</v>
      </c>
      <c r="U171" s="69" t="s">
        <v>5502</v>
      </c>
      <c r="V171" s="69" t="s">
        <v>6027</v>
      </c>
    </row>
    <row r="172" ht="17.25" customHeight="1">
      <c r="B172" s="25" t="s">
        <v>576</v>
      </c>
      <c r="C172" s="25" t="s">
        <v>5489</v>
      </c>
      <c r="D172" s="25" t="s">
        <v>906</v>
      </c>
      <c r="E172" s="25" t="s">
        <v>6036</v>
      </c>
      <c r="F172" s="25" t="s">
        <v>906</v>
      </c>
      <c r="G172" s="25">
        <v>1.3053966243E8</v>
      </c>
      <c r="H172" s="25">
        <v>339796.02</v>
      </c>
      <c r="I172" s="26" t="s">
        <v>5441</v>
      </c>
      <c r="J172" s="26" t="s">
        <v>5442</v>
      </c>
      <c r="K172" s="26" t="str">
        <f t="shared" si="1"/>
        <v>ARB</v>
      </c>
      <c r="L172" s="26" t="str">
        <f t="shared" si="2"/>
        <v>Telmisartan </v>
      </c>
      <c r="M172" s="26"/>
      <c r="Q172" s="69" t="s">
        <v>575</v>
      </c>
      <c r="R172" s="69" t="s">
        <v>2076</v>
      </c>
      <c r="S172" s="69" t="s">
        <v>6037</v>
      </c>
      <c r="T172" s="69" t="s">
        <v>6038</v>
      </c>
      <c r="U172" s="69" t="s">
        <v>5502</v>
      </c>
      <c r="V172" s="69" t="s">
        <v>6027</v>
      </c>
    </row>
    <row r="173" ht="17.25" customHeight="1">
      <c r="B173" s="25" t="s">
        <v>576</v>
      </c>
      <c r="C173" s="25" t="s">
        <v>5489</v>
      </c>
      <c r="D173" s="25" t="s">
        <v>908</v>
      </c>
      <c r="E173" s="25" t="s">
        <v>6039</v>
      </c>
      <c r="F173" s="25" t="s">
        <v>908</v>
      </c>
      <c r="G173" s="25">
        <v>5676710.24</v>
      </c>
      <c r="H173" s="25">
        <v>15681.52</v>
      </c>
      <c r="I173" s="26" t="s">
        <v>5441</v>
      </c>
      <c r="J173" s="26" t="s">
        <v>5442</v>
      </c>
      <c r="K173" s="26" t="str">
        <f t="shared" si="1"/>
        <v>ARB</v>
      </c>
      <c r="L173" s="26" t="str">
        <f t="shared" si="2"/>
        <v>Telmisartan </v>
      </c>
      <c r="M173" s="26"/>
      <c r="Q173" s="69" t="s">
        <v>575</v>
      </c>
      <c r="R173" s="69" t="s">
        <v>2095</v>
      </c>
      <c r="S173" s="69" t="s">
        <v>6040</v>
      </c>
      <c r="T173" s="69" t="s">
        <v>6041</v>
      </c>
      <c r="U173" s="69" t="s">
        <v>5502</v>
      </c>
      <c r="V173" s="69" t="s">
        <v>6027</v>
      </c>
    </row>
    <row r="174" ht="17.25" customHeight="1">
      <c r="B174" s="25" t="s">
        <v>576</v>
      </c>
      <c r="C174" s="25" t="s">
        <v>5489</v>
      </c>
      <c r="D174" s="25" t="s">
        <v>717</v>
      </c>
      <c r="E174" s="25" t="s">
        <v>6042</v>
      </c>
      <c r="F174" s="25" t="s">
        <v>717</v>
      </c>
      <c r="G174" s="25">
        <v>2.7985351157E8</v>
      </c>
      <c r="H174" s="25">
        <v>673782.08</v>
      </c>
      <c r="I174" s="26" t="s">
        <v>5441</v>
      </c>
      <c r="J174" s="26" t="s">
        <v>5442</v>
      </c>
      <c r="K174" s="26" t="str">
        <f t="shared" si="1"/>
        <v>ARB</v>
      </c>
      <c r="L174" s="26" t="str">
        <f t="shared" si="2"/>
        <v>Telmisartan </v>
      </c>
      <c r="M174" s="26"/>
      <c r="Q174" s="69" t="s">
        <v>575</v>
      </c>
      <c r="R174" s="69" t="s">
        <v>2261</v>
      </c>
      <c r="S174" s="69" t="s">
        <v>6043</v>
      </c>
      <c r="T174" s="69" t="s">
        <v>6044</v>
      </c>
      <c r="U174" s="69" t="s">
        <v>5502</v>
      </c>
      <c r="V174" s="69" t="s">
        <v>6027</v>
      </c>
    </row>
    <row r="175" ht="17.25" customHeight="1">
      <c r="B175" s="25" t="s">
        <v>576</v>
      </c>
      <c r="C175" s="25" t="s">
        <v>5489</v>
      </c>
      <c r="D175" s="25" t="s">
        <v>915</v>
      </c>
      <c r="E175" s="25" t="s">
        <v>6045</v>
      </c>
      <c r="F175" s="25" t="s">
        <v>915</v>
      </c>
      <c r="G175" s="25">
        <v>1.1147564928E8</v>
      </c>
      <c r="H175" s="25">
        <v>244923.22</v>
      </c>
      <c r="I175" s="26" t="s">
        <v>5441</v>
      </c>
      <c r="J175" s="26" t="s">
        <v>5442</v>
      </c>
      <c r="K175" s="26" t="str">
        <f t="shared" si="1"/>
        <v>ARB</v>
      </c>
      <c r="L175" s="26" t="str">
        <f t="shared" si="2"/>
        <v>Telmisartan </v>
      </c>
      <c r="M175" s="26"/>
      <c r="Q175" s="69" t="s">
        <v>575</v>
      </c>
      <c r="R175" s="69" t="s">
        <v>2307</v>
      </c>
      <c r="S175" s="69" t="s">
        <v>6046</v>
      </c>
      <c r="T175" s="69" t="s">
        <v>6047</v>
      </c>
      <c r="U175" s="69" t="s">
        <v>5502</v>
      </c>
      <c r="V175" s="69" t="s">
        <v>6027</v>
      </c>
    </row>
    <row r="176" ht="17.25" customHeight="1">
      <c r="B176" s="25" t="s">
        <v>576</v>
      </c>
      <c r="C176" s="25" t="s">
        <v>5489</v>
      </c>
      <c r="D176" s="25" t="s">
        <v>968</v>
      </c>
      <c r="E176" s="25" t="s">
        <v>6048</v>
      </c>
      <c r="F176" s="25" t="s">
        <v>968</v>
      </c>
      <c r="G176" s="25">
        <v>7.070147315E7</v>
      </c>
      <c r="H176" s="25">
        <v>184980.63</v>
      </c>
      <c r="I176" s="26" t="s">
        <v>5441</v>
      </c>
      <c r="J176" s="26" t="s">
        <v>5442</v>
      </c>
      <c r="K176" s="26" t="str">
        <f t="shared" si="1"/>
        <v>ARB</v>
      </c>
      <c r="L176" s="26" t="str">
        <f t="shared" si="2"/>
        <v>Telmisartan </v>
      </c>
      <c r="M176" s="26"/>
      <c r="Q176" s="69" t="s">
        <v>575</v>
      </c>
      <c r="R176" s="69" t="s">
        <v>2324</v>
      </c>
      <c r="S176" s="69" t="s">
        <v>6049</v>
      </c>
      <c r="T176" s="69" t="s">
        <v>6050</v>
      </c>
      <c r="U176" s="69" t="s">
        <v>5502</v>
      </c>
      <c r="V176" s="69" t="s">
        <v>6027</v>
      </c>
    </row>
    <row r="177" ht="17.25" customHeight="1">
      <c r="B177" s="25" t="s">
        <v>576</v>
      </c>
      <c r="C177" s="25" t="s">
        <v>5489</v>
      </c>
      <c r="D177" s="25" t="s">
        <v>921</v>
      </c>
      <c r="E177" s="25" t="s">
        <v>6051</v>
      </c>
      <c r="F177" s="25" t="s">
        <v>921</v>
      </c>
      <c r="G177" s="25">
        <v>2263665.64</v>
      </c>
      <c r="H177" s="25">
        <v>6253.22</v>
      </c>
      <c r="I177" s="26" t="s">
        <v>5441</v>
      </c>
      <c r="J177" s="26" t="s">
        <v>5442</v>
      </c>
      <c r="K177" s="26" t="str">
        <f t="shared" si="1"/>
        <v>ARB</v>
      </c>
      <c r="L177" s="26" t="str">
        <f t="shared" si="2"/>
        <v>Telmisartan </v>
      </c>
      <c r="M177" s="26"/>
      <c r="Q177" s="69" t="s">
        <v>575</v>
      </c>
      <c r="R177" s="69" t="s">
        <v>5305</v>
      </c>
      <c r="S177" s="69" t="s">
        <v>6052</v>
      </c>
      <c r="T177" s="69" t="s">
        <v>6053</v>
      </c>
      <c r="U177" s="69" t="s">
        <v>5502</v>
      </c>
      <c r="V177" s="69" t="s">
        <v>6027</v>
      </c>
    </row>
    <row r="178" ht="17.25" customHeight="1">
      <c r="B178" s="25" t="s">
        <v>576</v>
      </c>
      <c r="C178" s="25" t="s">
        <v>5489</v>
      </c>
      <c r="D178" s="25" t="s">
        <v>923</v>
      </c>
      <c r="E178" s="25" t="s">
        <v>6054</v>
      </c>
      <c r="F178" s="25" t="s">
        <v>923</v>
      </c>
      <c r="G178" s="25">
        <v>1.641818928E7</v>
      </c>
      <c r="H178" s="25">
        <v>43909.19</v>
      </c>
      <c r="I178" s="26" t="s">
        <v>5441</v>
      </c>
      <c r="J178" s="26" t="s">
        <v>5442</v>
      </c>
      <c r="K178" s="26" t="str">
        <f t="shared" si="1"/>
        <v>ARB</v>
      </c>
      <c r="L178" s="26" t="str">
        <f t="shared" si="2"/>
        <v>Telmisartan </v>
      </c>
      <c r="M178" s="26"/>
      <c r="Q178" s="69" t="s">
        <v>575</v>
      </c>
      <c r="R178" s="69" t="s">
        <v>2341</v>
      </c>
      <c r="S178" s="69" t="s">
        <v>6055</v>
      </c>
      <c r="T178" s="69" t="s">
        <v>6056</v>
      </c>
      <c r="U178" s="69" t="s">
        <v>5502</v>
      </c>
      <c r="V178" s="69" t="s">
        <v>6027</v>
      </c>
    </row>
    <row r="179" ht="17.25" customHeight="1">
      <c r="B179" s="25" t="s">
        <v>576</v>
      </c>
      <c r="C179" s="25" t="s">
        <v>5489</v>
      </c>
      <c r="D179" s="25" t="s">
        <v>937</v>
      </c>
      <c r="E179" s="25" t="s">
        <v>6057</v>
      </c>
      <c r="F179" s="25" t="s">
        <v>937</v>
      </c>
      <c r="G179" s="25">
        <v>1419478.38</v>
      </c>
      <c r="H179" s="25">
        <v>2914.74</v>
      </c>
      <c r="I179" s="26" t="s">
        <v>5441</v>
      </c>
      <c r="J179" s="26" t="s">
        <v>5442</v>
      </c>
      <c r="K179" s="26" t="str">
        <f t="shared" si="1"/>
        <v>ARB</v>
      </c>
      <c r="L179" s="26" t="str">
        <f t="shared" si="2"/>
        <v>Telmisartan </v>
      </c>
      <c r="M179" s="26"/>
      <c r="Q179" s="69" t="s">
        <v>575</v>
      </c>
      <c r="R179" s="69" t="s">
        <v>2356</v>
      </c>
      <c r="S179" s="69" t="s">
        <v>6058</v>
      </c>
      <c r="T179" s="69" t="s">
        <v>6059</v>
      </c>
      <c r="U179" s="69" t="s">
        <v>5502</v>
      </c>
      <c r="V179" s="69" t="s">
        <v>6027</v>
      </c>
    </row>
    <row r="180" ht="17.25" customHeight="1">
      <c r="B180" s="25" t="s">
        <v>576</v>
      </c>
      <c r="C180" s="25" t="s">
        <v>5489</v>
      </c>
      <c r="D180" s="25" t="s">
        <v>736</v>
      </c>
      <c r="E180" s="25" t="s">
        <v>6060</v>
      </c>
      <c r="F180" s="25" t="s">
        <v>736</v>
      </c>
      <c r="G180" s="25">
        <v>7.752297978E7</v>
      </c>
      <c r="H180" s="25">
        <v>203665.69</v>
      </c>
      <c r="I180" s="26" t="s">
        <v>5441</v>
      </c>
      <c r="J180" s="26" t="s">
        <v>5442</v>
      </c>
      <c r="K180" s="26" t="str">
        <f t="shared" si="1"/>
        <v>ARB</v>
      </c>
      <c r="L180" s="26" t="str">
        <f t="shared" si="2"/>
        <v>Telmisartan </v>
      </c>
      <c r="M180" s="26"/>
      <c r="Q180" s="69" t="s">
        <v>598</v>
      </c>
      <c r="R180" s="69" t="s">
        <v>6061</v>
      </c>
      <c r="S180" s="72" t="s">
        <v>6062</v>
      </c>
      <c r="T180" s="72" t="s">
        <v>6063</v>
      </c>
      <c r="U180" s="69" t="s">
        <v>5502</v>
      </c>
      <c r="V180" s="69" t="s">
        <v>5557</v>
      </c>
      <c r="W180" s="73" t="s">
        <v>6064</v>
      </c>
    </row>
    <row r="181" ht="17.25" customHeight="1">
      <c r="B181" s="25" t="s">
        <v>576</v>
      </c>
      <c r="C181" s="25" t="s">
        <v>5494</v>
      </c>
      <c r="D181" s="25" t="s">
        <v>695</v>
      </c>
      <c r="E181" s="25" t="s">
        <v>6065</v>
      </c>
      <c r="F181" s="25" t="s">
        <v>695</v>
      </c>
      <c r="G181" s="25">
        <v>2.4746195405E8</v>
      </c>
      <c r="H181" s="25">
        <v>435170.07</v>
      </c>
      <c r="I181" s="26" t="s">
        <v>5441</v>
      </c>
      <c r="J181" s="26" t="s">
        <v>5442</v>
      </c>
      <c r="K181" s="26" t="str">
        <f t="shared" si="1"/>
        <v>ARB</v>
      </c>
      <c r="L181" s="26" t="str">
        <f t="shared" si="2"/>
        <v>Valsartan </v>
      </c>
      <c r="M181" s="26"/>
      <c r="Q181" s="69" t="s">
        <v>598</v>
      </c>
      <c r="R181" s="69" t="s">
        <v>6066</v>
      </c>
      <c r="S181" s="72" t="s">
        <v>5607</v>
      </c>
      <c r="T181" s="72" t="s">
        <v>6067</v>
      </c>
      <c r="U181" s="69" t="s">
        <v>5502</v>
      </c>
      <c r="V181" s="69" t="s">
        <v>6068</v>
      </c>
      <c r="W181" s="73" t="s">
        <v>6064</v>
      </c>
    </row>
    <row r="182" ht="17.25" customHeight="1">
      <c r="B182" s="25" t="s">
        <v>576</v>
      </c>
      <c r="C182" s="25" t="s">
        <v>5494</v>
      </c>
      <c r="D182" s="25" t="s">
        <v>746</v>
      </c>
      <c r="E182" s="25" t="s">
        <v>6069</v>
      </c>
      <c r="F182" s="25" t="s">
        <v>746</v>
      </c>
      <c r="G182" s="25">
        <v>5.693752395E7</v>
      </c>
      <c r="H182" s="25">
        <v>121401.99</v>
      </c>
      <c r="I182" s="26" t="s">
        <v>5441</v>
      </c>
      <c r="J182" s="26" t="s">
        <v>5442</v>
      </c>
      <c r="K182" s="26" t="str">
        <f t="shared" si="1"/>
        <v>ARB</v>
      </c>
      <c r="L182" s="26" t="str">
        <f t="shared" si="2"/>
        <v>Valsartan </v>
      </c>
      <c r="M182" s="26"/>
      <c r="Q182" s="69" t="s">
        <v>598</v>
      </c>
      <c r="R182" s="69" t="s">
        <v>6070</v>
      </c>
      <c r="S182" s="72" t="s">
        <v>6071</v>
      </c>
      <c r="T182" s="72" t="s">
        <v>6072</v>
      </c>
      <c r="U182" s="69" t="s">
        <v>5502</v>
      </c>
      <c r="V182" s="69" t="s">
        <v>6068</v>
      </c>
      <c r="W182" s="73" t="s">
        <v>6064</v>
      </c>
    </row>
    <row r="183" ht="17.25" customHeight="1">
      <c r="B183" s="25" t="s">
        <v>576</v>
      </c>
      <c r="C183" s="25" t="s">
        <v>5494</v>
      </c>
      <c r="D183" s="25" t="s">
        <v>6073</v>
      </c>
      <c r="E183" s="25" t="s">
        <v>6074</v>
      </c>
      <c r="F183" s="25" t="s">
        <v>6073</v>
      </c>
      <c r="G183" s="25">
        <v>3.46048893884E9</v>
      </c>
      <c r="H183" s="25">
        <v>6885161.59</v>
      </c>
      <c r="I183" s="26" t="s">
        <v>5441</v>
      </c>
      <c r="J183" s="26" t="s">
        <v>5442</v>
      </c>
      <c r="K183" s="26" t="str">
        <f t="shared" si="1"/>
        <v>ARB</v>
      </c>
      <c r="L183" s="26" t="str">
        <f t="shared" si="2"/>
        <v>Valsartan </v>
      </c>
      <c r="M183" s="26"/>
      <c r="Q183" s="69" t="s">
        <v>598</v>
      </c>
      <c r="R183" s="69" t="s">
        <v>6075</v>
      </c>
      <c r="S183" s="72" t="s">
        <v>5600</v>
      </c>
      <c r="T183" s="72" t="s">
        <v>6076</v>
      </c>
      <c r="U183" s="69" t="s">
        <v>5502</v>
      </c>
      <c r="V183" s="69" t="s">
        <v>5557</v>
      </c>
      <c r="W183" s="73" t="s">
        <v>6064</v>
      </c>
    </row>
    <row r="184" ht="17.25" customHeight="1">
      <c r="B184" s="25" t="s">
        <v>576</v>
      </c>
      <c r="C184" s="25" t="s">
        <v>5494</v>
      </c>
      <c r="D184" s="25" t="s">
        <v>759</v>
      </c>
      <c r="E184" s="25" t="s">
        <v>6077</v>
      </c>
      <c r="F184" s="25" t="s">
        <v>759</v>
      </c>
      <c r="G184" s="25">
        <v>2.275874475E7</v>
      </c>
      <c r="H184" s="25">
        <v>43349.99</v>
      </c>
      <c r="I184" s="26" t="s">
        <v>5441</v>
      </c>
      <c r="J184" s="26" t="s">
        <v>5442</v>
      </c>
      <c r="K184" s="26" t="str">
        <f t="shared" si="1"/>
        <v>ARB</v>
      </c>
      <c r="L184" s="26" t="str">
        <f t="shared" si="2"/>
        <v>Valsartan </v>
      </c>
      <c r="M184" s="26"/>
      <c r="Q184" s="69" t="s">
        <v>598</v>
      </c>
      <c r="R184" s="69" t="s">
        <v>6078</v>
      </c>
      <c r="S184" s="72" t="s">
        <v>6079</v>
      </c>
      <c r="T184" s="72" t="s">
        <v>6080</v>
      </c>
      <c r="U184" s="69" t="s">
        <v>5502</v>
      </c>
      <c r="V184" s="69" t="s">
        <v>6068</v>
      </c>
      <c r="W184" s="73" t="s">
        <v>6064</v>
      </c>
    </row>
    <row r="185" ht="17.25" customHeight="1">
      <c r="B185" s="25" t="s">
        <v>576</v>
      </c>
      <c r="C185" s="25" t="s">
        <v>5494</v>
      </c>
      <c r="D185" s="25" t="s">
        <v>761</v>
      </c>
      <c r="E185" s="25" t="s">
        <v>6081</v>
      </c>
      <c r="F185" s="25" t="s">
        <v>761</v>
      </c>
      <c r="G185" s="25">
        <v>4.5768391467E8</v>
      </c>
      <c r="H185" s="25">
        <v>919815.86</v>
      </c>
      <c r="I185" s="26" t="s">
        <v>5441</v>
      </c>
      <c r="J185" s="26" t="s">
        <v>5442</v>
      </c>
      <c r="K185" s="26" t="str">
        <f t="shared" si="1"/>
        <v>ARB</v>
      </c>
      <c r="L185" s="26" t="str">
        <f t="shared" si="2"/>
        <v>Valsartan </v>
      </c>
      <c r="M185" s="26"/>
      <c r="Q185" s="69" t="s">
        <v>598</v>
      </c>
      <c r="R185" s="69" t="s">
        <v>6082</v>
      </c>
      <c r="S185" s="72" t="s">
        <v>6083</v>
      </c>
      <c r="T185" s="72" t="s">
        <v>6084</v>
      </c>
      <c r="U185" s="69" t="s">
        <v>5502</v>
      </c>
      <c r="V185" s="69" t="s">
        <v>5557</v>
      </c>
      <c r="W185" s="73" t="s">
        <v>6064</v>
      </c>
    </row>
    <row r="186" ht="17.25" customHeight="1">
      <c r="B186" s="25" t="s">
        <v>576</v>
      </c>
      <c r="C186" s="25" t="s">
        <v>5494</v>
      </c>
      <c r="D186" s="25" t="s">
        <v>765</v>
      </c>
      <c r="E186" s="25" t="s">
        <v>6085</v>
      </c>
      <c r="F186" s="25" t="s">
        <v>765</v>
      </c>
      <c r="G186" s="25">
        <v>6.744105232E7</v>
      </c>
      <c r="H186" s="25">
        <v>116897.85</v>
      </c>
      <c r="I186" s="26" t="s">
        <v>5441</v>
      </c>
      <c r="J186" s="26" t="s">
        <v>5442</v>
      </c>
      <c r="K186" s="26" t="str">
        <f t="shared" si="1"/>
        <v>ARB</v>
      </c>
      <c r="L186" s="26" t="str">
        <f t="shared" si="2"/>
        <v>Valsartan </v>
      </c>
      <c r="M186" s="26"/>
      <c r="Q186" s="69" t="s">
        <v>598</v>
      </c>
      <c r="R186" s="69" t="s">
        <v>6086</v>
      </c>
      <c r="S186" s="72" t="s">
        <v>6087</v>
      </c>
      <c r="T186" s="72" t="s">
        <v>6088</v>
      </c>
      <c r="U186" s="69" t="s">
        <v>5502</v>
      </c>
      <c r="V186" s="69" t="s">
        <v>6068</v>
      </c>
      <c r="W186" s="73" t="s">
        <v>6064</v>
      </c>
    </row>
    <row r="187" ht="17.25" customHeight="1">
      <c r="B187" s="25" t="s">
        <v>576</v>
      </c>
      <c r="C187" s="25" t="s">
        <v>5494</v>
      </c>
      <c r="D187" s="25" t="s">
        <v>768</v>
      </c>
      <c r="E187" s="25" t="s">
        <v>6089</v>
      </c>
      <c r="F187" s="25" t="s">
        <v>768</v>
      </c>
      <c r="G187" s="25">
        <v>2.0928835938E8</v>
      </c>
      <c r="H187" s="25">
        <v>354787.63</v>
      </c>
      <c r="I187" s="26" t="s">
        <v>5441</v>
      </c>
      <c r="J187" s="26" t="s">
        <v>5442</v>
      </c>
      <c r="K187" s="26" t="str">
        <f t="shared" si="1"/>
        <v>ARB</v>
      </c>
      <c r="L187" s="26" t="str">
        <f t="shared" si="2"/>
        <v>Valsartan </v>
      </c>
      <c r="M187" s="26"/>
      <c r="Q187" s="69" t="s">
        <v>598</v>
      </c>
      <c r="R187" s="69" t="s">
        <v>6090</v>
      </c>
      <c r="S187" s="72" t="s">
        <v>6091</v>
      </c>
      <c r="T187" s="72" t="s">
        <v>6092</v>
      </c>
      <c r="U187" s="69" t="s">
        <v>5502</v>
      </c>
      <c r="V187" s="69" t="s">
        <v>5557</v>
      </c>
      <c r="W187" s="73" t="s">
        <v>6064</v>
      </c>
    </row>
    <row r="188" ht="17.25" customHeight="1">
      <c r="B188" s="25" t="s">
        <v>576</v>
      </c>
      <c r="C188" s="25" t="s">
        <v>5494</v>
      </c>
      <c r="D188" s="25" t="s">
        <v>726</v>
      </c>
      <c r="E188" s="25" t="s">
        <v>6093</v>
      </c>
      <c r="F188" s="25" t="s">
        <v>726</v>
      </c>
      <c r="G188" s="25">
        <v>1.8676641942E8</v>
      </c>
      <c r="H188" s="25">
        <v>331189.38</v>
      </c>
      <c r="I188" s="26" t="s">
        <v>5441</v>
      </c>
      <c r="J188" s="26" t="s">
        <v>5442</v>
      </c>
      <c r="K188" s="26" t="str">
        <f t="shared" si="1"/>
        <v>ARB</v>
      </c>
      <c r="L188" s="26" t="str">
        <f t="shared" si="2"/>
        <v>Valsartan </v>
      </c>
      <c r="M188" s="26"/>
      <c r="Q188" s="69" t="s">
        <v>598</v>
      </c>
      <c r="R188" s="69" t="s">
        <v>6094</v>
      </c>
      <c r="S188" s="72" t="s">
        <v>6095</v>
      </c>
      <c r="T188" s="72" t="s">
        <v>6096</v>
      </c>
      <c r="U188" s="69" t="s">
        <v>5502</v>
      </c>
      <c r="V188" s="69" t="s">
        <v>6068</v>
      </c>
      <c r="W188" s="73" t="s">
        <v>6064</v>
      </c>
    </row>
    <row r="189" ht="17.25" customHeight="1">
      <c r="B189" s="25" t="s">
        <v>576</v>
      </c>
      <c r="C189" s="25" t="s">
        <v>5494</v>
      </c>
      <c r="D189" s="25" t="s">
        <v>1061</v>
      </c>
      <c r="E189" s="25" t="s">
        <v>6097</v>
      </c>
      <c r="F189" s="25" t="s">
        <v>1061</v>
      </c>
      <c r="G189" s="25">
        <v>6.434290642E7</v>
      </c>
      <c r="H189" s="25">
        <v>181744.3</v>
      </c>
      <c r="I189" s="26" t="s">
        <v>5441</v>
      </c>
      <c r="J189" s="26" t="s">
        <v>5442</v>
      </c>
      <c r="K189" s="26" t="str">
        <f t="shared" si="1"/>
        <v>ARB</v>
      </c>
      <c r="L189" s="26" t="str">
        <f t="shared" si="2"/>
        <v>Valsartan </v>
      </c>
      <c r="M189" s="26"/>
      <c r="Q189" s="69" t="s">
        <v>598</v>
      </c>
      <c r="R189" s="69" t="s">
        <v>6098</v>
      </c>
      <c r="S189" s="72" t="s">
        <v>6095</v>
      </c>
      <c r="T189" s="72" t="s">
        <v>6099</v>
      </c>
      <c r="U189" s="69" t="s">
        <v>5502</v>
      </c>
      <c r="V189" s="69" t="s">
        <v>6068</v>
      </c>
      <c r="W189" s="73" t="s">
        <v>6064</v>
      </c>
    </row>
    <row r="190" ht="17.25" customHeight="1">
      <c r="B190" s="25" t="s">
        <v>576</v>
      </c>
      <c r="C190" s="25" t="s">
        <v>5494</v>
      </c>
      <c r="D190" s="25" t="s">
        <v>779</v>
      </c>
      <c r="E190" s="25" t="s">
        <v>6100</v>
      </c>
      <c r="F190" s="25" t="s">
        <v>779</v>
      </c>
      <c r="G190" s="25">
        <v>5.048588866E7</v>
      </c>
      <c r="H190" s="25">
        <v>106867.19</v>
      </c>
      <c r="I190" s="26" t="s">
        <v>5441</v>
      </c>
      <c r="J190" s="26" t="s">
        <v>5442</v>
      </c>
      <c r="K190" s="26" t="str">
        <f t="shared" si="1"/>
        <v>ARB</v>
      </c>
      <c r="L190" s="26" t="str">
        <f t="shared" si="2"/>
        <v>Valsartan </v>
      </c>
      <c r="M190" s="26"/>
      <c r="Q190" s="69" t="s">
        <v>598</v>
      </c>
      <c r="R190" s="69" t="s">
        <v>6101</v>
      </c>
      <c r="S190" s="72" t="s">
        <v>6102</v>
      </c>
      <c r="T190" s="72" t="s">
        <v>6103</v>
      </c>
      <c r="U190" s="69" t="s">
        <v>5502</v>
      </c>
      <c r="V190" s="69" t="s">
        <v>5557</v>
      </c>
      <c r="W190" s="73" t="s">
        <v>6064</v>
      </c>
    </row>
    <row r="191" ht="17.25" customHeight="1">
      <c r="B191" s="25" t="s">
        <v>576</v>
      </c>
      <c r="C191" s="25" t="s">
        <v>5494</v>
      </c>
      <c r="D191" s="25" t="s">
        <v>708</v>
      </c>
      <c r="E191" s="25" t="s">
        <v>6104</v>
      </c>
      <c r="F191" s="25" t="s">
        <v>708</v>
      </c>
      <c r="G191" s="25">
        <v>7.481149048E7</v>
      </c>
      <c r="H191" s="25">
        <v>131999.02</v>
      </c>
      <c r="I191" s="26" t="s">
        <v>5441</v>
      </c>
      <c r="J191" s="26" t="s">
        <v>5442</v>
      </c>
      <c r="K191" s="26" t="str">
        <f t="shared" si="1"/>
        <v>ARB</v>
      </c>
      <c r="L191" s="26" t="str">
        <f t="shared" si="2"/>
        <v>Valsartan </v>
      </c>
      <c r="M191" s="26"/>
      <c r="Q191" s="69" t="s">
        <v>604</v>
      </c>
      <c r="R191" s="69" t="s">
        <v>6105</v>
      </c>
      <c r="S191" s="72" t="s">
        <v>6106</v>
      </c>
      <c r="T191" s="72" t="s">
        <v>6107</v>
      </c>
      <c r="U191" s="69" t="s">
        <v>5502</v>
      </c>
      <c r="V191" s="72" t="s">
        <v>5460</v>
      </c>
      <c r="W191" s="73" t="s">
        <v>6064</v>
      </c>
    </row>
    <row r="192" ht="17.25" customHeight="1">
      <c r="B192" s="25" t="s">
        <v>576</v>
      </c>
      <c r="C192" s="25" t="s">
        <v>5494</v>
      </c>
      <c r="D192" s="25" t="s">
        <v>790</v>
      </c>
      <c r="E192" s="25" t="s">
        <v>6108</v>
      </c>
      <c r="F192" s="25" t="s">
        <v>790</v>
      </c>
      <c r="G192" s="25">
        <v>1.2361708299E8</v>
      </c>
      <c r="H192" s="25">
        <v>244519.83</v>
      </c>
      <c r="I192" s="26" t="s">
        <v>5441</v>
      </c>
      <c r="J192" s="26" t="s">
        <v>5442</v>
      </c>
      <c r="K192" s="26" t="str">
        <f t="shared" si="1"/>
        <v>ARB</v>
      </c>
      <c r="L192" s="26" t="str">
        <f t="shared" si="2"/>
        <v>Valsartan </v>
      </c>
      <c r="M192" s="26"/>
      <c r="Q192" s="69" t="s">
        <v>604</v>
      </c>
      <c r="R192" s="69" t="s">
        <v>6109</v>
      </c>
      <c r="S192" s="72" t="s">
        <v>6110</v>
      </c>
      <c r="T192" s="72" t="s">
        <v>6111</v>
      </c>
      <c r="U192" s="69" t="s">
        <v>5502</v>
      </c>
      <c r="V192" s="72" t="s">
        <v>5449</v>
      </c>
      <c r="W192" s="73" t="s">
        <v>6064</v>
      </c>
    </row>
    <row r="193" ht="17.25" customHeight="1">
      <c r="B193" s="25" t="s">
        <v>576</v>
      </c>
      <c r="C193" s="25" t="s">
        <v>5494</v>
      </c>
      <c r="D193" s="25" t="s">
        <v>1274</v>
      </c>
      <c r="E193" s="25" t="s">
        <v>6112</v>
      </c>
      <c r="F193" s="25" t="s">
        <v>1274</v>
      </c>
      <c r="G193" s="25">
        <v>2.479832284E7</v>
      </c>
      <c r="H193" s="25">
        <v>59010.25</v>
      </c>
      <c r="I193" s="26" t="s">
        <v>5441</v>
      </c>
      <c r="J193" s="26" t="s">
        <v>5442</v>
      </c>
      <c r="K193" s="26" t="str">
        <f t="shared" si="1"/>
        <v>ARB</v>
      </c>
      <c r="L193" s="26" t="str">
        <f t="shared" si="2"/>
        <v>Valsartan </v>
      </c>
      <c r="M193" s="26"/>
      <c r="Q193" s="69" t="s">
        <v>604</v>
      </c>
      <c r="R193" s="69" t="s">
        <v>6113</v>
      </c>
      <c r="S193" s="72" t="s">
        <v>6110</v>
      </c>
      <c r="T193" s="72" t="s">
        <v>6114</v>
      </c>
      <c r="U193" s="69" t="s">
        <v>5502</v>
      </c>
      <c r="V193" s="72" t="s">
        <v>5449</v>
      </c>
      <c r="W193" s="73" t="s">
        <v>6064</v>
      </c>
    </row>
    <row r="194" ht="17.25" customHeight="1">
      <c r="B194" s="25" t="s">
        <v>576</v>
      </c>
      <c r="C194" s="25" t="s">
        <v>5494</v>
      </c>
      <c r="D194" s="25" t="s">
        <v>800</v>
      </c>
      <c r="E194" s="25" t="s">
        <v>6115</v>
      </c>
      <c r="F194" s="25" t="s">
        <v>800</v>
      </c>
      <c r="G194" s="25">
        <v>8.464522324E7</v>
      </c>
      <c r="H194" s="25">
        <v>140559.61</v>
      </c>
      <c r="I194" s="26" t="s">
        <v>5441</v>
      </c>
      <c r="J194" s="26" t="s">
        <v>5442</v>
      </c>
      <c r="K194" s="26" t="str">
        <f t="shared" si="1"/>
        <v>ARB</v>
      </c>
      <c r="L194" s="26" t="str">
        <f t="shared" si="2"/>
        <v>Valsartan </v>
      </c>
      <c r="M194" s="26"/>
      <c r="Q194" s="69" t="s">
        <v>604</v>
      </c>
      <c r="R194" s="69" t="s">
        <v>6116</v>
      </c>
      <c r="S194" s="72" t="s">
        <v>6117</v>
      </c>
      <c r="T194" s="72" t="s">
        <v>6118</v>
      </c>
      <c r="U194" s="69" t="s">
        <v>5502</v>
      </c>
      <c r="V194" s="72" t="s">
        <v>5466</v>
      </c>
      <c r="W194" s="73" t="s">
        <v>6064</v>
      </c>
    </row>
    <row r="195" ht="17.25" customHeight="1">
      <c r="B195" s="25" t="s">
        <v>576</v>
      </c>
      <c r="C195" s="25" t="s">
        <v>5494</v>
      </c>
      <c r="D195" s="25" t="s">
        <v>804</v>
      </c>
      <c r="E195" s="25" t="s">
        <v>6119</v>
      </c>
      <c r="F195" s="25" t="s">
        <v>804</v>
      </c>
      <c r="G195" s="25">
        <v>2.603039397E7</v>
      </c>
      <c r="H195" s="25">
        <v>48937.28</v>
      </c>
      <c r="I195" s="26" t="s">
        <v>5441</v>
      </c>
      <c r="J195" s="26" t="s">
        <v>5442</v>
      </c>
      <c r="K195" s="26" t="str">
        <f t="shared" si="1"/>
        <v>ARB</v>
      </c>
      <c r="L195" s="26" t="str">
        <f t="shared" si="2"/>
        <v>Valsartan </v>
      </c>
      <c r="M195" s="26"/>
      <c r="Q195" s="69" t="s">
        <v>604</v>
      </c>
      <c r="R195" s="69" t="s">
        <v>6120</v>
      </c>
      <c r="S195" s="72" t="s">
        <v>6117</v>
      </c>
      <c r="T195" s="72" t="s">
        <v>6121</v>
      </c>
      <c r="U195" s="69" t="s">
        <v>5502</v>
      </c>
      <c r="V195" s="72" t="s">
        <v>5466</v>
      </c>
      <c r="W195" s="73" t="s">
        <v>6064</v>
      </c>
    </row>
    <row r="196" ht="17.25" customHeight="1">
      <c r="B196" s="25" t="s">
        <v>576</v>
      </c>
      <c r="C196" s="25" t="s">
        <v>5494</v>
      </c>
      <c r="D196" s="25" t="s">
        <v>812</v>
      </c>
      <c r="E196" s="25" t="s">
        <v>6122</v>
      </c>
      <c r="F196" s="25" t="s">
        <v>812</v>
      </c>
      <c r="G196" s="25">
        <v>2180115.0</v>
      </c>
      <c r="H196" s="25">
        <v>4152.6</v>
      </c>
      <c r="I196" s="26" t="s">
        <v>5441</v>
      </c>
      <c r="J196" s="26" t="s">
        <v>5442</v>
      </c>
      <c r="K196" s="26" t="str">
        <f t="shared" si="1"/>
        <v>ARB</v>
      </c>
      <c r="L196" s="26" t="str">
        <f t="shared" si="2"/>
        <v>Valsartan </v>
      </c>
      <c r="M196" s="26"/>
    </row>
    <row r="197" ht="17.25" customHeight="1">
      <c r="B197" s="25" t="s">
        <v>576</v>
      </c>
      <c r="C197" s="25" t="s">
        <v>5494</v>
      </c>
      <c r="D197" s="25" t="s">
        <v>814</v>
      </c>
      <c r="E197" s="25" t="s">
        <v>6123</v>
      </c>
      <c r="F197" s="25" t="s">
        <v>814</v>
      </c>
      <c r="G197" s="25">
        <v>4.899547214E7</v>
      </c>
      <c r="H197" s="25">
        <v>81919.4</v>
      </c>
      <c r="I197" s="26" t="s">
        <v>5441</v>
      </c>
      <c r="J197" s="26" t="s">
        <v>5442</v>
      </c>
      <c r="K197" s="26" t="str">
        <f t="shared" si="1"/>
        <v>ARB</v>
      </c>
      <c r="L197" s="26" t="str">
        <f t="shared" si="2"/>
        <v>Valsartan </v>
      </c>
      <c r="M197" s="26"/>
    </row>
    <row r="198" ht="17.25" customHeight="1">
      <c r="B198" s="25" t="s">
        <v>576</v>
      </c>
      <c r="C198" s="25" t="s">
        <v>5494</v>
      </c>
      <c r="D198" s="25" t="s">
        <v>818</v>
      </c>
      <c r="E198" s="25" t="s">
        <v>6124</v>
      </c>
      <c r="F198" s="25" t="s">
        <v>818</v>
      </c>
      <c r="G198" s="25">
        <v>2.770858392E7</v>
      </c>
      <c r="H198" s="25">
        <v>56636.32</v>
      </c>
      <c r="I198" s="26" t="s">
        <v>5441</v>
      </c>
      <c r="J198" s="26" t="s">
        <v>5442</v>
      </c>
      <c r="K198" s="26" t="str">
        <f t="shared" si="1"/>
        <v>ARB</v>
      </c>
      <c r="L198" s="26" t="str">
        <f t="shared" si="2"/>
        <v>Valsartan </v>
      </c>
      <c r="M198" s="26"/>
    </row>
    <row r="199" ht="17.25" customHeight="1">
      <c r="B199" s="25" t="s">
        <v>576</v>
      </c>
      <c r="C199" s="25" t="s">
        <v>5494</v>
      </c>
      <c r="D199" s="25" t="s">
        <v>828</v>
      </c>
      <c r="E199" s="25" t="s">
        <v>6125</v>
      </c>
      <c r="F199" s="25" t="s">
        <v>828</v>
      </c>
      <c r="G199" s="25">
        <v>4611031.21</v>
      </c>
      <c r="H199" s="25">
        <v>10338.64</v>
      </c>
      <c r="I199" s="26" t="s">
        <v>5441</v>
      </c>
      <c r="J199" s="26" t="s">
        <v>5442</v>
      </c>
      <c r="K199" s="26" t="str">
        <f t="shared" si="1"/>
        <v>ARB</v>
      </c>
      <c r="L199" s="26" t="str">
        <f t="shared" si="2"/>
        <v>Valsartan </v>
      </c>
      <c r="M199" s="26"/>
    </row>
    <row r="200" ht="17.25" customHeight="1">
      <c r="B200" s="25" t="s">
        <v>576</v>
      </c>
      <c r="C200" s="25" t="s">
        <v>5494</v>
      </c>
      <c r="D200" s="25" t="s">
        <v>830</v>
      </c>
      <c r="E200" s="25" t="s">
        <v>6126</v>
      </c>
      <c r="F200" s="25" t="s">
        <v>830</v>
      </c>
      <c r="G200" s="25">
        <v>2.45582846E8</v>
      </c>
      <c r="H200" s="25">
        <v>466873.84</v>
      </c>
      <c r="I200" s="26" t="s">
        <v>5441</v>
      </c>
      <c r="J200" s="26" t="s">
        <v>5442</v>
      </c>
      <c r="K200" s="26" t="str">
        <f t="shared" si="1"/>
        <v>ARB</v>
      </c>
      <c r="L200" s="26" t="str">
        <f t="shared" si="2"/>
        <v>Valsartan </v>
      </c>
      <c r="M200" s="26"/>
    </row>
    <row r="201" ht="17.25" customHeight="1">
      <c r="B201" s="25" t="s">
        <v>576</v>
      </c>
      <c r="C201" s="25" t="s">
        <v>5494</v>
      </c>
      <c r="D201" s="25" t="s">
        <v>834</v>
      </c>
      <c r="E201" s="25" t="s">
        <v>6127</v>
      </c>
      <c r="F201" s="25" t="s">
        <v>834</v>
      </c>
      <c r="G201" s="25">
        <v>1.5232203906E8</v>
      </c>
      <c r="H201" s="25">
        <v>286505.23</v>
      </c>
      <c r="I201" s="26" t="s">
        <v>5441</v>
      </c>
      <c r="J201" s="26" t="s">
        <v>5442</v>
      </c>
      <c r="K201" s="26" t="str">
        <f t="shared" si="1"/>
        <v>ARB</v>
      </c>
      <c r="L201" s="26" t="str">
        <f t="shared" si="2"/>
        <v>Valsartan </v>
      </c>
      <c r="M201" s="26"/>
    </row>
    <row r="202" ht="17.25" customHeight="1">
      <c r="B202" s="25" t="s">
        <v>576</v>
      </c>
      <c r="C202" s="25" t="s">
        <v>5494</v>
      </c>
      <c r="D202" s="25" t="s">
        <v>836</v>
      </c>
      <c r="E202" s="25" t="s">
        <v>6128</v>
      </c>
      <c r="F202" s="25" t="s">
        <v>836</v>
      </c>
      <c r="G202" s="25">
        <v>1.822698656E7</v>
      </c>
      <c r="H202" s="25">
        <v>32690.88</v>
      </c>
      <c r="I202" s="26" t="s">
        <v>5441</v>
      </c>
      <c r="J202" s="26" t="s">
        <v>5442</v>
      </c>
      <c r="K202" s="26" t="str">
        <f t="shared" si="1"/>
        <v>ARB</v>
      </c>
      <c r="L202" s="26" t="str">
        <f t="shared" si="2"/>
        <v>Valsartan </v>
      </c>
      <c r="M202" s="26"/>
    </row>
    <row r="203" ht="17.25" customHeight="1">
      <c r="B203" s="25" t="s">
        <v>576</v>
      </c>
      <c r="C203" s="25" t="s">
        <v>5494</v>
      </c>
      <c r="D203" s="25" t="s">
        <v>710</v>
      </c>
      <c r="E203" s="25" t="s">
        <v>6129</v>
      </c>
      <c r="F203" s="25" t="s">
        <v>710</v>
      </c>
      <c r="G203" s="25">
        <v>1.21288282E8</v>
      </c>
      <c r="H203" s="25">
        <v>248431.18</v>
      </c>
      <c r="I203" s="26" t="s">
        <v>5441</v>
      </c>
      <c r="J203" s="26" t="s">
        <v>5442</v>
      </c>
      <c r="K203" s="26" t="str">
        <f t="shared" si="1"/>
        <v>ARB</v>
      </c>
      <c r="L203" s="26" t="str">
        <f t="shared" si="2"/>
        <v>Valsartan </v>
      </c>
      <c r="M203" s="26"/>
    </row>
    <row r="204" ht="17.25" customHeight="1">
      <c r="B204" s="25" t="s">
        <v>576</v>
      </c>
      <c r="C204" s="25" t="s">
        <v>5494</v>
      </c>
      <c r="D204" s="25" t="s">
        <v>1139</v>
      </c>
      <c r="E204" s="25" t="s">
        <v>6130</v>
      </c>
      <c r="F204" s="25" t="s">
        <v>1139</v>
      </c>
      <c r="G204" s="25">
        <v>2.8886365159E8</v>
      </c>
      <c r="H204" s="25">
        <v>689755.06</v>
      </c>
      <c r="I204" s="26" t="s">
        <v>5441</v>
      </c>
      <c r="J204" s="26" t="s">
        <v>5442</v>
      </c>
      <c r="K204" s="26" t="str">
        <f t="shared" si="1"/>
        <v>ARB</v>
      </c>
      <c r="L204" s="26" t="str">
        <f t="shared" si="2"/>
        <v>Valsartan </v>
      </c>
      <c r="M204" s="26"/>
    </row>
    <row r="205" ht="17.25" customHeight="1">
      <c r="B205" s="25" t="s">
        <v>576</v>
      </c>
      <c r="C205" s="25" t="s">
        <v>5494</v>
      </c>
      <c r="D205" s="25" t="s">
        <v>856</v>
      </c>
      <c r="E205" s="25" t="s">
        <v>6131</v>
      </c>
      <c r="F205" s="25" t="s">
        <v>856</v>
      </c>
      <c r="G205" s="25">
        <v>5032090.8</v>
      </c>
      <c r="H205" s="25">
        <v>6062.76</v>
      </c>
      <c r="I205" s="26" t="s">
        <v>5441</v>
      </c>
      <c r="J205" s="26" t="s">
        <v>5442</v>
      </c>
      <c r="K205" s="26" t="str">
        <f t="shared" si="1"/>
        <v>ARB</v>
      </c>
      <c r="L205" s="26" t="str">
        <f t="shared" si="2"/>
        <v>Valsartan </v>
      </c>
      <c r="M205" s="26"/>
    </row>
    <row r="206" ht="17.25" customHeight="1">
      <c r="B206" s="25" t="s">
        <v>576</v>
      </c>
      <c r="C206" s="25" t="s">
        <v>5494</v>
      </c>
      <c r="D206" s="25" t="s">
        <v>862</v>
      </c>
      <c r="E206" s="25" t="s">
        <v>6132</v>
      </c>
      <c r="F206" s="25" t="s">
        <v>862</v>
      </c>
      <c r="G206" s="25">
        <v>2.274301816E7</v>
      </c>
      <c r="H206" s="25">
        <v>45786.92</v>
      </c>
      <c r="I206" s="26" t="s">
        <v>5441</v>
      </c>
      <c r="J206" s="26" t="s">
        <v>5442</v>
      </c>
      <c r="K206" s="26" t="str">
        <f t="shared" si="1"/>
        <v>ARB</v>
      </c>
      <c r="L206" s="26" t="str">
        <f t="shared" si="2"/>
        <v>Valsartan </v>
      </c>
      <c r="M206" s="26"/>
    </row>
    <row r="207" ht="17.25" customHeight="1">
      <c r="B207" s="25" t="s">
        <v>576</v>
      </c>
      <c r="C207" s="25" t="s">
        <v>5494</v>
      </c>
      <c r="D207" s="25" t="s">
        <v>730</v>
      </c>
      <c r="E207" s="25" t="s">
        <v>6133</v>
      </c>
      <c r="F207" s="25" t="s">
        <v>730</v>
      </c>
      <c r="G207" s="25">
        <v>4.50048657E7</v>
      </c>
      <c r="H207" s="25">
        <v>80193.74</v>
      </c>
      <c r="I207" s="26" t="s">
        <v>5441</v>
      </c>
      <c r="J207" s="26" t="s">
        <v>5442</v>
      </c>
      <c r="K207" s="26" t="str">
        <f t="shared" si="1"/>
        <v>ARB</v>
      </c>
      <c r="L207" s="26" t="str">
        <f t="shared" si="2"/>
        <v>Valsartan </v>
      </c>
      <c r="M207" s="26"/>
    </row>
    <row r="208" ht="17.25" customHeight="1">
      <c r="B208" s="25" t="s">
        <v>576</v>
      </c>
      <c r="C208" s="25" t="s">
        <v>5494</v>
      </c>
      <c r="D208" s="25" t="s">
        <v>713</v>
      </c>
      <c r="E208" s="25" t="s">
        <v>6134</v>
      </c>
      <c r="F208" s="25" t="s">
        <v>713</v>
      </c>
      <c r="G208" s="25">
        <v>4.861127364E7</v>
      </c>
      <c r="H208" s="25">
        <v>98325.25</v>
      </c>
      <c r="I208" s="26" t="s">
        <v>5441</v>
      </c>
      <c r="J208" s="26" t="s">
        <v>5442</v>
      </c>
      <c r="K208" s="26" t="str">
        <f t="shared" si="1"/>
        <v>ARB</v>
      </c>
      <c r="L208" s="26" t="str">
        <f t="shared" si="2"/>
        <v>Valsartan </v>
      </c>
      <c r="M208" s="26"/>
    </row>
    <row r="209" ht="17.25" customHeight="1">
      <c r="B209" s="25" t="s">
        <v>576</v>
      </c>
      <c r="C209" s="25" t="s">
        <v>5494</v>
      </c>
      <c r="D209" s="25" t="s">
        <v>701</v>
      </c>
      <c r="E209" s="25" t="s">
        <v>6135</v>
      </c>
      <c r="F209" s="25" t="s">
        <v>701</v>
      </c>
      <c r="G209" s="25">
        <v>7.326595365E7</v>
      </c>
      <c r="H209" s="25">
        <v>159599.7</v>
      </c>
      <c r="I209" s="26" t="s">
        <v>5441</v>
      </c>
      <c r="J209" s="26" t="s">
        <v>5442</v>
      </c>
      <c r="K209" s="26" t="str">
        <f t="shared" si="1"/>
        <v>ARB</v>
      </c>
      <c r="L209" s="26" t="str">
        <f t="shared" si="2"/>
        <v>Valsartan </v>
      </c>
      <c r="M209" s="26"/>
    </row>
    <row r="210" ht="17.25" customHeight="1">
      <c r="B210" s="25" t="s">
        <v>576</v>
      </c>
      <c r="C210" s="25" t="s">
        <v>5494</v>
      </c>
      <c r="D210" s="25" t="s">
        <v>870</v>
      </c>
      <c r="E210" s="25" t="s">
        <v>6136</v>
      </c>
      <c r="F210" s="25" t="s">
        <v>870</v>
      </c>
      <c r="G210" s="25">
        <v>5.535223892E7</v>
      </c>
      <c r="H210" s="25">
        <v>94577.71</v>
      </c>
      <c r="I210" s="26" t="s">
        <v>5441</v>
      </c>
      <c r="J210" s="26" t="s">
        <v>5442</v>
      </c>
      <c r="K210" s="26" t="str">
        <f t="shared" si="1"/>
        <v>ARB</v>
      </c>
      <c r="L210" s="26" t="str">
        <f t="shared" si="2"/>
        <v>Valsartan </v>
      </c>
      <c r="M210" s="26"/>
    </row>
    <row r="211" ht="17.25" customHeight="1">
      <c r="B211" s="25" t="s">
        <v>576</v>
      </c>
      <c r="C211" s="25" t="s">
        <v>5494</v>
      </c>
      <c r="D211" s="25" t="s">
        <v>1038</v>
      </c>
      <c r="E211" s="25" t="s">
        <v>6137</v>
      </c>
      <c r="F211" s="25" t="s">
        <v>1038</v>
      </c>
      <c r="G211" s="25">
        <v>5879638.15</v>
      </c>
      <c r="H211" s="25">
        <v>13212.67</v>
      </c>
      <c r="I211" s="26" t="s">
        <v>5441</v>
      </c>
      <c r="J211" s="26" t="s">
        <v>5442</v>
      </c>
      <c r="K211" s="26" t="str">
        <f t="shared" si="1"/>
        <v>ARB</v>
      </c>
      <c r="L211" s="26" t="str">
        <f t="shared" si="2"/>
        <v>Valsartan </v>
      </c>
      <c r="M211" s="26"/>
    </row>
    <row r="212" ht="17.25" customHeight="1">
      <c r="B212" s="25" t="s">
        <v>576</v>
      </c>
      <c r="C212" s="25" t="s">
        <v>5494</v>
      </c>
      <c r="D212" s="25" t="s">
        <v>1040</v>
      </c>
      <c r="E212" s="25" t="s">
        <v>6138</v>
      </c>
      <c r="F212" s="25" t="s">
        <v>1040</v>
      </c>
      <c r="G212" s="25">
        <v>1.1547319406E8</v>
      </c>
      <c r="H212" s="25">
        <v>239045.3</v>
      </c>
      <c r="I212" s="26" t="s">
        <v>5441</v>
      </c>
      <c r="J212" s="26" t="s">
        <v>5442</v>
      </c>
      <c r="K212" s="26" t="str">
        <f t="shared" si="1"/>
        <v>ARB</v>
      </c>
      <c r="L212" s="26" t="str">
        <f t="shared" si="2"/>
        <v>Valsartan </v>
      </c>
      <c r="M212" s="26"/>
    </row>
    <row r="213" ht="17.25" customHeight="1">
      <c r="B213" s="25" t="s">
        <v>576</v>
      </c>
      <c r="C213" s="25" t="s">
        <v>5494</v>
      </c>
      <c r="D213" s="25" t="s">
        <v>734</v>
      </c>
      <c r="E213" s="25" t="s">
        <v>6139</v>
      </c>
      <c r="F213" s="25" t="s">
        <v>734</v>
      </c>
      <c r="G213" s="25">
        <v>3.269776125E7</v>
      </c>
      <c r="H213" s="25">
        <v>62281.45</v>
      </c>
      <c r="I213" s="26" t="s">
        <v>5441</v>
      </c>
      <c r="J213" s="26" t="s">
        <v>5442</v>
      </c>
      <c r="K213" s="26" t="str">
        <f t="shared" si="1"/>
        <v>ARB</v>
      </c>
      <c r="L213" s="26" t="str">
        <f t="shared" si="2"/>
        <v>Valsartan </v>
      </c>
      <c r="M213" s="26"/>
    </row>
    <row r="214" ht="17.25" customHeight="1">
      <c r="B214" s="25" t="s">
        <v>576</v>
      </c>
      <c r="C214" s="25" t="s">
        <v>5494</v>
      </c>
      <c r="D214" s="25" t="s">
        <v>874</v>
      </c>
      <c r="E214" s="25" t="s">
        <v>6140</v>
      </c>
      <c r="F214" s="25" t="s">
        <v>874</v>
      </c>
      <c r="G214" s="25">
        <v>1.09634382E7</v>
      </c>
      <c r="H214" s="25">
        <v>24581.7</v>
      </c>
      <c r="I214" s="26" t="s">
        <v>5441</v>
      </c>
      <c r="J214" s="26" t="s">
        <v>5442</v>
      </c>
      <c r="K214" s="26" t="str">
        <f t="shared" si="1"/>
        <v>ARB</v>
      </c>
      <c r="L214" s="26" t="str">
        <f t="shared" si="2"/>
        <v>Valsartan </v>
      </c>
      <c r="M214" s="26"/>
    </row>
    <row r="215" ht="17.25" customHeight="1">
      <c r="B215" s="25" t="s">
        <v>576</v>
      </c>
      <c r="C215" s="25" t="s">
        <v>5494</v>
      </c>
      <c r="D215" s="25" t="s">
        <v>876</v>
      </c>
      <c r="E215" s="25" t="s">
        <v>6141</v>
      </c>
      <c r="F215" s="25" t="s">
        <v>876</v>
      </c>
      <c r="G215" s="25">
        <v>7.949792164E7</v>
      </c>
      <c r="H215" s="25">
        <v>163011.68</v>
      </c>
      <c r="I215" s="26" t="s">
        <v>5441</v>
      </c>
      <c r="J215" s="26" t="s">
        <v>5442</v>
      </c>
      <c r="K215" s="26" t="str">
        <f t="shared" si="1"/>
        <v>ARB</v>
      </c>
      <c r="L215" s="26" t="str">
        <f t="shared" si="2"/>
        <v>Valsartan </v>
      </c>
      <c r="M215" s="26"/>
    </row>
    <row r="216" ht="17.25" customHeight="1">
      <c r="B216" s="25" t="s">
        <v>576</v>
      </c>
      <c r="C216" s="25" t="s">
        <v>5494</v>
      </c>
      <c r="D216" s="25" t="s">
        <v>880</v>
      </c>
      <c r="E216" s="25" t="s">
        <v>6142</v>
      </c>
      <c r="F216" s="25" t="s">
        <v>880</v>
      </c>
      <c r="G216" s="25">
        <v>1.205932809E8</v>
      </c>
      <c r="H216" s="25">
        <v>260526.94</v>
      </c>
      <c r="I216" s="26" t="s">
        <v>5441</v>
      </c>
      <c r="J216" s="26" t="s">
        <v>5442</v>
      </c>
      <c r="K216" s="26" t="str">
        <f t="shared" si="1"/>
        <v>ARB</v>
      </c>
      <c r="L216" s="26" t="str">
        <f t="shared" si="2"/>
        <v>Valsartan </v>
      </c>
      <c r="M216" s="26"/>
    </row>
    <row r="217" ht="17.25" customHeight="1">
      <c r="B217" s="25" t="s">
        <v>576</v>
      </c>
      <c r="C217" s="25" t="s">
        <v>5494</v>
      </c>
      <c r="D217" s="25" t="s">
        <v>902</v>
      </c>
      <c r="E217" s="25" t="s">
        <v>6143</v>
      </c>
      <c r="F217" s="25" t="s">
        <v>902</v>
      </c>
      <c r="G217" s="25">
        <v>5.41026321E7</v>
      </c>
      <c r="H217" s="25">
        <v>121306.35</v>
      </c>
      <c r="I217" s="26" t="s">
        <v>5441</v>
      </c>
      <c r="J217" s="26" t="s">
        <v>5442</v>
      </c>
      <c r="K217" s="26" t="str">
        <f t="shared" si="1"/>
        <v>ARB</v>
      </c>
      <c r="L217" s="26" t="str">
        <f t="shared" si="2"/>
        <v>Valsartan </v>
      </c>
      <c r="M217" s="26"/>
    </row>
    <row r="218" ht="17.25" customHeight="1">
      <c r="B218" s="25" t="s">
        <v>576</v>
      </c>
      <c r="C218" s="25" t="s">
        <v>5494</v>
      </c>
      <c r="D218" s="25" t="s">
        <v>906</v>
      </c>
      <c r="E218" s="25" t="s">
        <v>6144</v>
      </c>
      <c r="F218" s="25" t="s">
        <v>906</v>
      </c>
      <c r="G218" s="25">
        <v>2.772307745E8</v>
      </c>
      <c r="H218" s="25">
        <v>488634.1</v>
      </c>
      <c r="I218" s="26" t="s">
        <v>5441</v>
      </c>
      <c r="J218" s="26" t="s">
        <v>5442</v>
      </c>
      <c r="K218" s="26" t="str">
        <f t="shared" si="1"/>
        <v>ARB</v>
      </c>
      <c r="L218" s="26" t="str">
        <f t="shared" si="2"/>
        <v>Valsartan </v>
      </c>
      <c r="M218" s="26"/>
    </row>
    <row r="219" ht="17.25" customHeight="1">
      <c r="B219" s="25" t="s">
        <v>576</v>
      </c>
      <c r="C219" s="25" t="s">
        <v>5494</v>
      </c>
      <c r="D219" s="25" t="s">
        <v>908</v>
      </c>
      <c r="E219" s="25" t="s">
        <v>6145</v>
      </c>
      <c r="F219" s="25" t="s">
        <v>908</v>
      </c>
      <c r="G219" s="25">
        <v>1.747423824E7</v>
      </c>
      <c r="H219" s="25">
        <v>31401.84</v>
      </c>
      <c r="I219" s="26" t="s">
        <v>5441</v>
      </c>
      <c r="J219" s="26" t="s">
        <v>5442</v>
      </c>
      <c r="K219" s="26" t="str">
        <f t="shared" si="1"/>
        <v>ARB</v>
      </c>
      <c r="L219" s="26" t="str">
        <f t="shared" si="2"/>
        <v>Valsartan </v>
      </c>
      <c r="M219" s="26"/>
    </row>
    <row r="220" ht="17.25" customHeight="1">
      <c r="B220" s="25" t="s">
        <v>576</v>
      </c>
      <c r="C220" s="25" t="s">
        <v>5494</v>
      </c>
      <c r="D220" s="25" t="s">
        <v>717</v>
      </c>
      <c r="E220" s="25" t="s">
        <v>6146</v>
      </c>
      <c r="F220" s="25" t="s">
        <v>717</v>
      </c>
      <c r="G220" s="25">
        <v>3.345946062E7</v>
      </c>
      <c r="H220" s="25">
        <v>66415.3</v>
      </c>
      <c r="I220" s="26" t="s">
        <v>5441</v>
      </c>
      <c r="J220" s="26" t="s">
        <v>5442</v>
      </c>
      <c r="K220" s="26" t="str">
        <f t="shared" si="1"/>
        <v>ARB</v>
      </c>
      <c r="L220" s="26" t="str">
        <f t="shared" si="2"/>
        <v>Valsartan </v>
      </c>
      <c r="M220" s="26"/>
    </row>
    <row r="221" ht="17.25" customHeight="1">
      <c r="B221" s="25" t="s">
        <v>576</v>
      </c>
      <c r="C221" s="25" t="s">
        <v>5494</v>
      </c>
      <c r="D221" s="25" t="s">
        <v>925</v>
      </c>
      <c r="E221" s="25" t="s">
        <v>6147</v>
      </c>
      <c r="F221" s="25" t="s">
        <v>925</v>
      </c>
      <c r="G221" s="25">
        <v>1.82959875E7</v>
      </c>
      <c r="H221" s="25">
        <v>38249.88</v>
      </c>
      <c r="I221" s="26" t="s">
        <v>5441</v>
      </c>
      <c r="J221" s="26" t="s">
        <v>5442</v>
      </c>
      <c r="K221" s="26" t="str">
        <f t="shared" si="1"/>
        <v>ARB</v>
      </c>
      <c r="L221" s="26" t="str">
        <f t="shared" si="2"/>
        <v>Valsartan </v>
      </c>
      <c r="M221" s="26"/>
    </row>
    <row r="222" ht="17.25" customHeight="1">
      <c r="B222" s="25" t="s">
        <v>576</v>
      </c>
      <c r="C222" s="25" t="s">
        <v>5494</v>
      </c>
      <c r="D222" s="25" t="s">
        <v>927</v>
      </c>
      <c r="E222" s="25" t="s">
        <v>6148</v>
      </c>
      <c r="F222" s="25" t="s">
        <v>927</v>
      </c>
      <c r="G222" s="25">
        <v>1.2579345232E8</v>
      </c>
      <c r="H222" s="25">
        <v>255117.63</v>
      </c>
      <c r="I222" s="26" t="s">
        <v>5441</v>
      </c>
      <c r="J222" s="26" t="s">
        <v>5442</v>
      </c>
      <c r="K222" s="26" t="str">
        <f t="shared" si="1"/>
        <v>ARB</v>
      </c>
      <c r="L222" s="26" t="str">
        <f t="shared" si="2"/>
        <v>Valsartan </v>
      </c>
      <c r="M222" s="26"/>
    </row>
    <row r="223" ht="17.25" customHeight="1">
      <c r="B223" s="25" t="s">
        <v>576</v>
      </c>
      <c r="C223" s="25" t="s">
        <v>5494</v>
      </c>
      <c r="D223" s="25" t="s">
        <v>931</v>
      </c>
      <c r="E223" s="25" t="s">
        <v>6149</v>
      </c>
      <c r="F223" s="25" t="s">
        <v>931</v>
      </c>
      <c r="G223" s="25">
        <v>1.32448812E7</v>
      </c>
      <c r="H223" s="25">
        <v>37254.01</v>
      </c>
      <c r="I223" s="26" t="s">
        <v>5441</v>
      </c>
      <c r="J223" s="26" t="s">
        <v>5442</v>
      </c>
      <c r="K223" s="26" t="str">
        <f t="shared" si="1"/>
        <v>ARB</v>
      </c>
      <c r="L223" s="26" t="str">
        <f t="shared" si="2"/>
        <v>Valsartan </v>
      </c>
      <c r="M223" s="26"/>
    </row>
    <row r="224" ht="17.25" customHeight="1">
      <c r="B224" s="25" t="s">
        <v>576</v>
      </c>
      <c r="C224" s="25" t="s">
        <v>5494</v>
      </c>
      <c r="D224" s="25" t="s">
        <v>736</v>
      </c>
      <c r="E224" s="25" t="s">
        <v>6150</v>
      </c>
      <c r="F224" s="25" t="s">
        <v>736</v>
      </c>
      <c r="G224" s="25">
        <v>7.137617122E7</v>
      </c>
      <c r="H224" s="25">
        <v>149236.24</v>
      </c>
      <c r="I224" s="26" t="s">
        <v>5441</v>
      </c>
      <c r="J224" s="26" t="s">
        <v>5442</v>
      </c>
      <c r="K224" s="26" t="str">
        <f t="shared" si="1"/>
        <v>ARB</v>
      </c>
      <c r="L224" s="26" t="str">
        <f t="shared" si="2"/>
        <v>Valsartan </v>
      </c>
      <c r="M224" s="26"/>
    </row>
    <row r="225" ht="17.25" customHeight="1">
      <c r="B225" s="25" t="s">
        <v>576</v>
      </c>
      <c r="C225" s="25" t="s">
        <v>5494</v>
      </c>
      <c r="D225" s="25" t="s">
        <v>941</v>
      </c>
      <c r="E225" s="25" t="s">
        <v>181</v>
      </c>
      <c r="F225" s="25" t="s">
        <v>941</v>
      </c>
      <c r="G225" s="25">
        <v>1.475603708E8</v>
      </c>
      <c r="H225" s="25">
        <v>388810.24</v>
      </c>
      <c r="I225" s="26" t="s">
        <v>5441</v>
      </c>
      <c r="J225" s="26" t="s">
        <v>5442</v>
      </c>
      <c r="K225" s="26" t="str">
        <f t="shared" si="1"/>
        <v>ARB</v>
      </c>
      <c r="L225" s="26" t="str">
        <f t="shared" si="2"/>
        <v>Valsartan </v>
      </c>
      <c r="M225" s="26"/>
    </row>
    <row r="226" ht="17.25" customHeight="1">
      <c r="B226" s="25" t="s">
        <v>589</v>
      </c>
      <c r="C226" s="25" t="s">
        <v>5499</v>
      </c>
      <c r="D226" s="25" t="s">
        <v>695</v>
      </c>
      <c r="E226" s="25" t="s">
        <v>6151</v>
      </c>
      <c r="F226" s="25" t="s">
        <v>695</v>
      </c>
      <c r="G226" s="25">
        <v>1.4767089296E8</v>
      </c>
      <c r="H226" s="25">
        <v>197685.27</v>
      </c>
      <c r="I226" s="26" t="s">
        <v>5441</v>
      </c>
      <c r="J226" s="26" t="s">
        <v>6152</v>
      </c>
      <c r="K226" s="26" t="str">
        <f t="shared" si="1"/>
        <v>ARB/DU </v>
      </c>
      <c r="L226" s="26" t="str">
        <f t="shared" si="2"/>
        <v>Candesartan/Hydrochlorothiazide </v>
      </c>
      <c r="M226" s="26"/>
    </row>
    <row r="227" ht="17.25" customHeight="1">
      <c r="B227" s="25" t="s">
        <v>589</v>
      </c>
      <c r="C227" s="25" t="s">
        <v>5499</v>
      </c>
      <c r="D227" s="25" t="s">
        <v>742</v>
      </c>
      <c r="E227" s="25" t="s">
        <v>6153</v>
      </c>
      <c r="F227" s="25" t="s">
        <v>742</v>
      </c>
      <c r="G227" s="25">
        <v>6.15756751E7</v>
      </c>
      <c r="H227" s="25">
        <v>87589.87</v>
      </c>
      <c r="I227" s="26" t="s">
        <v>5441</v>
      </c>
      <c r="J227" s="26" t="s">
        <v>6152</v>
      </c>
      <c r="K227" s="26" t="str">
        <f t="shared" si="1"/>
        <v>ARB/DU </v>
      </c>
      <c r="L227" s="26" t="str">
        <f t="shared" si="2"/>
        <v>Candesartan/Hydrochlorothiazide </v>
      </c>
      <c r="M227" s="26"/>
    </row>
    <row r="228" ht="17.25" customHeight="1">
      <c r="B228" s="25" t="s">
        <v>589</v>
      </c>
      <c r="C228" s="25" t="s">
        <v>5499</v>
      </c>
      <c r="D228" s="25" t="s">
        <v>744</v>
      </c>
      <c r="E228" s="25" t="s">
        <v>6154</v>
      </c>
      <c r="F228" s="25" t="s">
        <v>744</v>
      </c>
      <c r="G228" s="25">
        <v>1.70304356E7</v>
      </c>
      <c r="H228" s="25">
        <v>26120.3</v>
      </c>
      <c r="I228" s="26" t="s">
        <v>5441</v>
      </c>
      <c r="J228" s="26" t="s">
        <v>6152</v>
      </c>
      <c r="K228" s="26" t="str">
        <f t="shared" si="1"/>
        <v>ARB/DU </v>
      </c>
      <c r="L228" s="26" t="str">
        <f t="shared" si="2"/>
        <v>Candesartan/Hydrochlorothiazide </v>
      </c>
      <c r="M228" s="26"/>
    </row>
    <row r="229" ht="17.25" customHeight="1">
      <c r="B229" s="25" t="s">
        <v>589</v>
      </c>
      <c r="C229" s="25" t="s">
        <v>5499</v>
      </c>
      <c r="D229" s="25" t="s">
        <v>699</v>
      </c>
      <c r="E229" s="25" t="s">
        <v>6155</v>
      </c>
      <c r="F229" s="25" t="s">
        <v>699</v>
      </c>
      <c r="G229" s="25">
        <v>4.76354484E7</v>
      </c>
      <c r="H229" s="25">
        <v>66160.35</v>
      </c>
      <c r="I229" s="26" t="s">
        <v>5441</v>
      </c>
      <c r="J229" s="26" t="s">
        <v>6152</v>
      </c>
      <c r="K229" s="26" t="str">
        <f t="shared" si="1"/>
        <v>ARB/DU </v>
      </c>
      <c r="L229" s="26" t="str">
        <f t="shared" si="2"/>
        <v>Candesartan/Hydrochlorothiazide </v>
      </c>
      <c r="M229" s="26"/>
    </row>
    <row r="230" ht="17.25" customHeight="1">
      <c r="B230" s="25" t="s">
        <v>589</v>
      </c>
      <c r="C230" s="25" t="s">
        <v>5499</v>
      </c>
      <c r="D230" s="25" t="s">
        <v>761</v>
      </c>
      <c r="E230" s="25" t="s">
        <v>6156</v>
      </c>
      <c r="F230" s="25" t="s">
        <v>761</v>
      </c>
      <c r="G230" s="25">
        <v>4.24469916E7</v>
      </c>
      <c r="H230" s="25">
        <v>58954.16</v>
      </c>
      <c r="I230" s="26" t="s">
        <v>5441</v>
      </c>
      <c r="J230" s="26" t="s">
        <v>6152</v>
      </c>
      <c r="K230" s="26" t="str">
        <f t="shared" si="1"/>
        <v>ARB/DU </v>
      </c>
      <c r="L230" s="26" t="str">
        <f t="shared" si="2"/>
        <v>Candesartan/Hydrochlorothiazide </v>
      </c>
      <c r="M230" s="26"/>
    </row>
    <row r="231" ht="17.25" customHeight="1">
      <c r="B231" s="25" t="s">
        <v>589</v>
      </c>
      <c r="C231" s="25" t="s">
        <v>5499</v>
      </c>
      <c r="D231" s="25" t="s">
        <v>5481</v>
      </c>
      <c r="E231" s="25" t="s">
        <v>6157</v>
      </c>
      <c r="F231" s="25" t="s">
        <v>5481</v>
      </c>
      <c r="G231" s="25">
        <v>7.0875326025E8</v>
      </c>
      <c r="H231" s="25">
        <v>833827.4</v>
      </c>
      <c r="I231" s="26" t="s">
        <v>5441</v>
      </c>
      <c r="J231" s="26" t="s">
        <v>6152</v>
      </c>
      <c r="K231" s="26" t="str">
        <f t="shared" si="1"/>
        <v>ARB/DU </v>
      </c>
      <c r="L231" s="26" t="str">
        <f t="shared" si="2"/>
        <v>Candesartan/Hydrochlorothiazide </v>
      </c>
      <c r="M231" s="26"/>
    </row>
    <row r="232" ht="17.25" customHeight="1">
      <c r="B232" s="25" t="s">
        <v>589</v>
      </c>
      <c r="C232" s="25" t="s">
        <v>5499</v>
      </c>
      <c r="D232" s="25" t="s">
        <v>708</v>
      </c>
      <c r="E232" s="25" t="s">
        <v>6158</v>
      </c>
      <c r="F232" s="25" t="s">
        <v>708</v>
      </c>
      <c r="G232" s="25">
        <v>1.0432112725E8</v>
      </c>
      <c r="H232" s="25">
        <v>143891.21</v>
      </c>
      <c r="I232" s="26" t="s">
        <v>5441</v>
      </c>
      <c r="J232" s="26" t="s">
        <v>6152</v>
      </c>
      <c r="K232" s="26" t="str">
        <f t="shared" si="1"/>
        <v>ARB/DU </v>
      </c>
      <c r="L232" s="26" t="str">
        <f t="shared" si="2"/>
        <v>Candesartan/Hydrochlorothiazide </v>
      </c>
      <c r="M232" s="26"/>
    </row>
    <row r="233" ht="17.25" customHeight="1">
      <c r="B233" s="25" t="s">
        <v>589</v>
      </c>
      <c r="C233" s="25" t="s">
        <v>5499</v>
      </c>
      <c r="D233" s="25" t="s">
        <v>1024</v>
      </c>
      <c r="E233" s="25" t="s">
        <v>6159</v>
      </c>
      <c r="F233" s="25" t="s">
        <v>1024</v>
      </c>
      <c r="G233" s="25">
        <v>3172919.0</v>
      </c>
      <c r="H233" s="25">
        <v>4376.44</v>
      </c>
      <c r="I233" s="26" t="s">
        <v>5441</v>
      </c>
      <c r="J233" s="26" t="s">
        <v>6152</v>
      </c>
      <c r="K233" s="26" t="str">
        <f t="shared" si="1"/>
        <v>ARB/DU </v>
      </c>
      <c r="L233" s="26" t="str">
        <f t="shared" si="2"/>
        <v>Candesartan/Hydrochlorothiazide </v>
      </c>
      <c r="M233" s="26"/>
    </row>
    <row r="234" ht="17.25" customHeight="1">
      <c r="B234" s="25" t="s">
        <v>589</v>
      </c>
      <c r="C234" s="25" t="s">
        <v>5499</v>
      </c>
      <c r="D234" s="25" t="s">
        <v>810</v>
      </c>
      <c r="E234" s="25" t="s">
        <v>6160</v>
      </c>
      <c r="F234" s="25" t="s">
        <v>810</v>
      </c>
      <c r="G234" s="25">
        <v>3.1515460037E8</v>
      </c>
      <c r="H234" s="25">
        <v>369466.13</v>
      </c>
      <c r="I234" s="26" t="s">
        <v>5441</v>
      </c>
      <c r="J234" s="26" t="s">
        <v>6152</v>
      </c>
      <c r="K234" s="26" t="str">
        <f t="shared" si="1"/>
        <v>ARB/DU </v>
      </c>
      <c r="L234" s="26" t="str">
        <f t="shared" si="2"/>
        <v>Candesartan/Hydrochlorothiazide </v>
      </c>
      <c r="M234" s="26"/>
    </row>
    <row r="235" ht="17.25" customHeight="1">
      <c r="B235" s="25" t="s">
        <v>589</v>
      </c>
      <c r="C235" s="25" t="s">
        <v>5499</v>
      </c>
      <c r="D235" s="25" t="s">
        <v>814</v>
      </c>
      <c r="E235" s="25" t="s">
        <v>6161</v>
      </c>
      <c r="F235" s="25" t="s">
        <v>814</v>
      </c>
      <c r="G235" s="25">
        <v>4.73960968E7</v>
      </c>
      <c r="H235" s="25">
        <v>72693.4</v>
      </c>
      <c r="I235" s="26" t="s">
        <v>5441</v>
      </c>
      <c r="J235" s="26" t="s">
        <v>6152</v>
      </c>
      <c r="K235" s="26" t="str">
        <f t="shared" si="1"/>
        <v>ARB/DU </v>
      </c>
      <c r="L235" s="26" t="str">
        <f t="shared" si="2"/>
        <v>Candesartan/Hydrochlorothiazide </v>
      </c>
      <c r="M235" s="26"/>
    </row>
    <row r="236" ht="17.25" customHeight="1">
      <c r="B236" s="25" t="s">
        <v>589</v>
      </c>
      <c r="C236" s="25" t="s">
        <v>5499</v>
      </c>
      <c r="D236" s="25" t="s">
        <v>826</v>
      </c>
      <c r="E236" s="25" t="s">
        <v>6162</v>
      </c>
      <c r="F236" s="25" t="s">
        <v>826</v>
      </c>
      <c r="G236" s="25">
        <v>1.3487561159E8</v>
      </c>
      <c r="H236" s="25">
        <v>207820.67</v>
      </c>
      <c r="I236" s="26" t="s">
        <v>5441</v>
      </c>
      <c r="J236" s="26" t="s">
        <v>6152</v>
      </c>
      <c r="K236" s="26" t="str">
        <f t="shared" si="1"/>
        <v>ARB/DU </v>
      </c>
      <c r="L236" s="26" t="str">
        <f t="shared" si="2"/>
        <v>Candesartan/Hydrochlorothiazide </v>
      </c>
      <c r="M236" s="26"/>
    </row>
    <row r="237" ht="17.25" customHeight="1">
      <c r="B237" s="25" t="s">
        <v>589</v>
      </c>
      <c r="C237" s="25" t="s">
        <v>5499</v>
      </c>
      <c r="D237" s="25" t="s">
        <v>834</v>
      </c>
      <c r="E237" s="25" t="s">
        <v>6163</v>
      </c>
      <c r="F237" s="25" t="s">
        <v>834</v>
      </c>
      <c r="G237" s="25">
        <v>3.985783245E7</v>
      </c>
      <c r="H237" s="25">
        <v>46726.65</v>
      </c>
      <c r="I237" s="26" t="s">
        <v>5441</v>
      </c>
      <c r="J237" s="26" t="s">
        <v>6152</v>
      </c>
      <c r="K237" s="26" t="str">
        <f t="shared" si="1"/>
        <v>ARB/DU </v>
      </c>
      <c r="L237" s="26" t="str">
        <f t="shared" si="2"/>
        <v>Candesartan/Hydrochlorothiazide </v>
      </c>
      <c r="M237" s="26"/>
    </row>
    <row r="238" ht="17.25" customHeight="1">
      <c r="B238" s="25" t="s">
        <v>589</v>
      </c>
      <c r="C238" s="25" t="s">
        <v>5499</v>
      </c>
      <c r="D238" s="25" t="s">
        <v>850</v>
      </c>
      <c r="E238" s="25" t="s">
        <v>6164</v>
      </c>
      <c r="F238" s="25" t="s">
        <v>850</v>
      </c>
      <c r="G238" s="25">
        <v>8.239002138E7</v>
      </c>
      <c r="H238" s="25">
        <v>110294.54</v>
      </c>
      <c r="I238" s="26" t="s">
        <v>5441</v>
      </c>
      <c r="J238" s="26" t="s">
        <v>6152</v>
      </c>
      <c r="K238" s="26" t="str">
        <f t="shared" si="1"/>
        <v>ARB/DU </v>
      </c>
      <c r="L238" s="26" t="str">
        <f t="shared" si="2"/>
        <v>Candesartan/Hydrochlorothiazide </v>
      </c>
      <c r="M238" s="26"/>
    </row>
    <row r="239" ht="17.25" customHeight="1">
      <c r="B239" s="25" t="s">
        <v>589</v>
      </c>
      <c r="C239" s="25" t="s">
        <v>5499</v>
      </c>
      <c r="D239" s="25" t="s">
        <v>862</v>
      </c>
      <c r="E239" s="25" t="s">
        <v>6165</v>
      </c>
      <c r="F239" s="25" t="s">
        <v>862</v>
      </c>
      <c r="G239" s="25">
        <v>5.125164012E7</v>
      </c>
      <c r="H239" s="25">
        <v>78606.84</v>
      </c>
      <c r="I239" s="26" t="s">
        <v>5441</v>
      </c>
      <c r="J239" s="26" t="s">
        <v>6152</v>
      </c>
      <c r="K239" s="26" t="str">
        <f t="shared" si="1"/>
        <v>ARB/DU </v>
      </c>
      <c r="L239" s="26" t="str">
        <f t="shared" si="2"/>
        <v>Candesartan/Hydrochlorothiazide </v>
      </c>
      <c r="M239" s="26"/>
    </row>
    <row r="240" ht="17.25" customHeight="1">
      <c r="B240" s="25" t="s">
        <v>589</v>
      </c>
      <c r="C240" s="25" t="s">
        <v>5499</v>
      </c>
      <c r="D240" s="25" t="s">
        <v>1040</v>
      </c>
      <c r="E240" s="25" t="s">
        <v>6166</v>
      </c>
      <c r="F240" s="25" t="s">
        <v>1040</v>
      </c>
      <c r="G240" s="25">
        <v>1.91738354E7</v>
      </c>
      <c r="H240" s="25">
        <v>25667.79</v>
      </c>
      <c r="I240" s="26" t="s">
        <v>5441</v>
      </c>
      <c r="J240" s="26" t="s">
        <v>6152</v>
      </c>
      <c r="K240" s="26" t="str">
        <f t="shared" si="1"/>
        <v>ARB/DU </v>
      </c>
      <c r="L240" s="26" t="str">
        <f t="shared" si="2"/>
        <v>Candesartan/Hydrochlorothiazide </v>
      </c>
      <c r="M240" s="26"/>
    </row>
    <row r="241" ht="17.25" customHeight="1">
      <c r="B241" s="25" t="s">
        <v>589</v>
      </c>
      <c r="C241" s="25" t="s">
        <v>5499</v>
      </c>
      <c r="D241" s="25" t="s">
        <v>880</v>
      </c>
      <c r="E241" s="25" t="s">
        <v>6167</v>
      </c>
      <c r="F241" s="25" t="s">
        <v>880</v>
      </c>
      <c r="G241" s="25">
        <v>9.974352076E7</v>
      </c>
      <c r="H241" s="25">
        <v>137577.28</v>
      </c>
      <c r="I241" s="26" t="s">
        <v>5441</v>
      </c>
      <c r="J241" s="26" t="s">
        <v>6152</v>
      </c>
      <c r="K241" s="26" t="str">
        <f t="shared" si="1"/>
        <v>ARB/DU </v>
      </c>
      <c r="L241" s="26" t="str">
        <f t="shared" si="2"/>
        <v>Candesartan/Hydrochlorothiazide </v>
      </c>
      <c r="M241" s="26"/>
    </row>
    <row r="242" ht="17.25" customHeight="1">
      <c r="B242" s="25" t="s">
        <v>589</v>
      </c>
      <c r="C242" s="25" t="s">
        <v>5499</v>
      </c>
      <c r="D242" s="25" t="s">
        <v>898</v>
      </c>
      <c r="E242" s="25" t="s">
        <v>6168</v>
      </c>
      <c r="F242" s="25" t="s">
        <v>898</v>
      </c>
      <c r="G242" s="25">
        <v>1.97776375E7</v>
      </c>
      <c r="H242" s="25">
        <v>27279.5</v>
      </c>
      <c r="I242" s="26" t="s">
        <v>5441</v>
      </c>
      <c r="J242" s="26" t="s">
        <v>6152</v>
      </c>
      <c r="K242" s="26" t="str">
        <f t="shared" si="1"/>
        <v>ARB/DU </v>
      </c>
      <c r="L242" s="26" t="str">
        <f t="shared" si="2"/>
        <v>Candesartan/Hydrochlorothiazide </v>
      </c>
      <c r="M242" s="26"/>
    </row>
    <row r="243" ht="17.25" customHeight="1">
      <c r="B243" s="25" t="s">
        <v>589</v>
      </c>
      <c r="C243" s="25" t="s">
        <v>5499</v>
      </c>
      <c r="D243" s="25" t="s">
        <v>717</v>
      </c>
      <c r="E243" s="25" t="s">
        <v>6169</v>
      </c>
      <c r="F243" s="25" t="s">
        <v>717</v>
      </c>
      <c r="G243" s="25">
        <v>6.1952584E7</v>
      </c>
      <c r="H243" s="25">
        <v>85451.84</v>
      </c>
      <c r="I243" s="26" t="s">
        <v>5441</v>
      </c>
      <c r="J243" s="26" t="s">
        <v>6152</v>
      </c>
      <c r="K243" s="26" t="str">
        <f t="shared" si="1"/>
        <v>ARB/DU </v>
      </c>
      <c r="L243" s="26" t="str">
        <f t="shared" si="2"/>
        <v>Candesartan/Hydrochlorothiazide </v>
      </c>
      <c r="M243" s="26"/>
    </row>
    <row r="244" ht="17.25" customHeight="1">
      <c r="B244" s="25" t="s">
        <v>589</v>
      </c>
      <c r="C244" s="25" t="s">
        <v>5499</v>
      </c>
      <c r="D244" s="25" t="s">
        <v>915</v>
      </c>
      <c r="E244" s="25" t="s">
        <v>6170</v>
      </c>
      <c r="F244" s="25" t="s">
        <v>915</v>
      </c>
      <c r="G244" s="25">
        <v>2.640446266E7</v>
      </c>
      <c r="H244" s="25">
        <v>45058.81</v>
      </c>
      <c r="I244" s="26" t="s">
        <v>5441</v>
      </c>
      <c r="J244" s="26" t="s">
        <v>6152</v>
      </c>
      <c r="K244" s="26" t="str">
        <f t="shared" si="1"/>
        <v>ARB/DU </v>
      </c>
      <c r="L244" s="26" t="str">
        <f t="shared" si="2"/>
        <v>Candesartan/Hydrochlorothiazide </v>
      </c>
      <c r="M244" s="26"/>
    </row>
    <row r="245" ht="17.25" customHeight="1">
      <c r="B245" s="25" t="s">
        <v>589</v>
      </c>
      <c r="C245" s="25" t="s">
        <v>5499</v>
      </c>
      <c r="D245" s="25" t="s">
        <v>917</v>
      </c>
      <c r="E245" s="25" t="s">
        <v>6171</v>
      </c>
      <c r="F245" s="25" t="s">
        <v>917</v>
      </c>
      <c r="G245" s="25">
        <v>1.219059562E7</v>
      </c>
      <c r="H245" s="25">
        <v>23132.06</v>
      </c>
      <c r="I245" s="26" t="s">
        <v>5441</v>
      </c>
      <c r="J245" s="26" t="s">
        <v>6152</v>
      </c>
      <c r="K245" s="26" t="str">
        <f t="shared" si="1"/>
        <v>ARB/DU </v>
      </c>
      <c r="L245" s="26" t="str">
        <f t="shared" si="2"/>
        <v>Candesartan/Hydrochlorothiazide </v>
      </c>
      <c r="M245" s="26"/>
    </row>
    <row r="246" ht="17.25" customHeight="1">
      <c r="B246" s="25" t="s">
        <v>589</v>
      </c>
      <c r="C246" s="25" t="s">
        <v>5499</v>
      </c>
      <c r="D246" s="25" t="s">
        <v>935</v>
      </c>
      <c r="E246" s="25" t="s">
        <v>6172</v>
      </c>
      <c r="F246" s="25" t="s">
        <v>935</v>
      </c>
      <c r="G246" s="25">
        <v>2.087364308E7</v>
      </c>
      <c r="H246" s="25">
        <v>32014.79</v>
      </c>
      <c r="I246" s="26" t="s">
        <v>5441</v>
      </c>
      <c r="J246" s="26" t="s">
        <v>6152</v>
      </c>
      <c r="K246" s="26" t="str">
        <f t="shared" si="1"/>
        <v>ARB/DU </v>
      </c>
      <c r="L246" s="26" t="str">
        <f t="shared" si="2"/>
        <v>Candesartan/Hydrochlorothiazide </v>
      </c>
      <c r="M246" s="26"/>
    </row>
    <row r="247" ht="17.25" customHeight="1">
      <c r="B247" s="25" t="s">
        <v>589</v>
      </c>
      <c r="C247" s="25" t="s">
        <v>5499</v>
      </c>
      <c r="D247" s="25" t="s">
        <v>937</v>
      </c>
      <c r="E247" s="25" t="s">
        <v>6173</v>
      </c>
      <c r="F247" s="25" t="s">
        <v>937</v>
      </c>
      <c r="G247" s="25">
        <v>3604975.5</v>
      </c>
      <c r="H247" s="25">
        <v>4972.38</v>
      </c>
      <c r="I247" s="26" t="s">
        <v>5441</v>
      </c>
      <c r="J247" s="26" t="s">
        <v>6152</v>
      </c>
      <c r="K247" s="26" t="str">
        <f t="shared" si="1"/>
        <v>ARB/DU </v>
      </c>
      <c r="L247" s="26" t="str">
        <f t="shared" si="2"/>
        <v>Candesartan/Hydrochlorothiazide </v>
      </c>
      <c r="M247" s="26"/>
    </row>
    <row r="248" ht="17.25" customHeight="1">
      <c r="B248" s="25" t="s">
        <v>589</v>
      </c>
      <c r="C248" s="25" t="s">
        <v>5499</v>
      </c>
      <c r="D248" s="25" t="s">
        <v>736</v>
      </c>
      <c r="E248" s="25" t="s">
        <v>6174</v>
      </c>
      <c r="F248" s="25" t="s">
        <v>736</v>
      </c>
      <c r="G248" s="25">
        <v>3959985.6</v>
      </c>
      <c r="H248" s="25">
        <v>5499.98</v>
      </c>
      <c r="I248" s="26" t="s">
        <v>5441</v>
      </c>
      <c r="J248" s="26" t="s">
        <v>6152</v>
      </c>
      <c r="K248" s="26" t="str">
        <f t="shared" si="1"/>
        <v>ARB/DU </v>
      </c>
      <c r="L248" s="26" t="str">
        <f t="shared" si="2"/>
        <v>Candesartan/Hydrochlorothiazide </v>
      </c>
      <c r="M248" s="26"/>
    </row>
    <row r="249" ht="17.25" customHeight="1">
      <c r="B249" s="25" t="s">
        <v>589</v>
      </c>
      <c r="C249" s="25" t="s">
        <v>5506</v>
      </c>
      <c r="D249" s="25" t="s">
        <v>917</v>
      </c>
      <c r="E249" s="25" t="s">
        <v>6175</v>
      </c>
      <c r="F249" s="25" t="s">
        <v>917</v>
      </c>
      <c r="G249" s="25">
        <v>2.405191624E8</v>
      </c>
      <c r="H249" s="25">
        <v>422720.53</v>
      </c>
      <c r="I249" s="26" t="s">
        <v>5441</v>
      </c>
      <c r="J249" s="26" t="s">
        <v>6152</v>
      </c>
      <c r="K249" s="26" t="str">
        <f t="shared" si="1"/>
        <v>ARB/DU </v>
      </c>
      <c r="L249" s="26" t="str">
        <f t="shared" si="2"/>
        <v>Losartan/Chlorthalidone</v>
      </c>
      <c r="M249" s="26"/>
    </row>
    <row r="250" ht="17.25" customHeight="1">
      <c r="B250" s="25" t="s">
        <v>589</v>
      </c>
      <c r="C250" s="25" t="s">
        <v>5511</v>
      </c>
      <c r="D250" s="25" t="s">
        <v>810</v>
      </c>
      <c r="E250" s="25" t="s">
        <v>6176</v>
      </c>
      <c r="F250" s="25" t="s">
        <v>810</v>
      </c>
      <c r="G250" s="25">
        <v>2.2175797017E8</v>
      </c>
      <c r="H250" s="25">
        <v>505143.45</v>
      </c>
      <c r="I250" s="26" t="s">
        <v>5441</v>
      </c>
      <c r="J250" s="26" t="s">
        <v>6152</v>
      </c>
      <c r="K250" s="26" t="str">
        <f t="shared" si="1"/>
        <v>ARB/DU </v>
      </c>
      <c r="L250" s="26" t="str">
        <f t="shared" si="2"/>
        <v>Azilsartan/chlorthalidone</v>
      </c>
      <c r="M250" s="26"/>
    </row>
    <row r="251" ht="17.25" customHeight="1">
      <c r="B251" s="25" t="s">
        <v>589</v>
      </c>
      <c r="C251" s="25" t="s">
        <v>5517</v>
      </c>
      <c r="D251" s="25" t="s">
        <v>1445</v>
      </c>
      <c r="E251" s="25" t="s">
        <v>6177</v>
      </c>
      <c r="F251" s="25" t="s">
        <v>1445</v>
      </c>
      <c r="G251" s="25">
        <v>9.0249995E7</v>
      </c>
      <c r="H251" s="25">
        <v>114240.5</v>
      </c>
      <c r="I251" s="26" t="s">
        <v>5441</v>
      </c>
      <c r="J251" s="26" t="s">
        <v>6152</v>
      </c>
      <c r="K251" s="26" t="str">
        <f t="shared" si="1"/>
        <v>ARB/DU </v>
      </c>
      <c r="L251" s="26" t="str">
        <f t="shared" si="2"/>
        <v>eprosartan/hydrochlorothiazide</v>
      </c>
      <c r="M251" s="26"/>
    </row>
    <row r="252" ht="17.25" customHeight="1">
      <c r="B252" s="25" t="s">
        <v>589</v>
      </c>
      <c r="C252" s="25" t="s">
        <v>5522</v>
      </c>
      <c r="D252" s="25" t="s">
        <v>720</v>
      </c>
      <c r="E252" s="25" t="s">
        <v>6178</v>
      </c>
      <c r="F252" s="25" t="s">
        <v>720</v>
      </c>
      <c r="G252" s="25">
        <v>6.5560677746E8</v>
      </c>
      <c r="H252" s="25">
        <v>954319.02</v>
      </c>
      <c r="I252" s="26" t="s">
        <v>5441</v>
      </c>
      <c r="J252" s="26" t="s">
        <v>6152</v>
      </c>
      <c r="K252" s="26" t="str">
        <f t="shared" si="1"/>
        <v>ARB/DU </v>
      </c>
      <c r="L252" s="26" t="str">
        <f t="shared" si="2"/>
        <v>Fimasartan/Hydrochlorothiazide </v>
      </c>
      <c r="M252" s="26"/>
    </row>
    <row r="253" ht="17.25" customHeight="1">
      <c r="B253" s="25" t="s">
        <v>589</v>
      </c>
      <c r="C253" s="25" t="s">
        <v>5527</v>
      </c>
      <c r="D253" s="25" t="s">
        <v>1637</v>
      </c>
      <c r="E253" s="25" t="s">
        <v>6179</v>
      </c>
      <c r="F253" s="25" t="s">
        <v>1637</v>
      </c>
      <c r="G253" s="25">
        <v>1.0816986E7</v>
      </c>
      <c r="H253" s="25">
        <v>22966.0</v>
      </c>
      <c r="I253" s="26" t="s">
        <v>5441</v>
      </c>
      <c r="J253" s="26" t="s">
        <v>6152</v>
      </c>
      <c r="K253" s="26" t="str">
        <f t="shared" si="1"/>
        <v>ARB/DU </v>
      </c>
      <c r="L253" s="26" t="str">
        <f t="shared" si="2"/>
        <v>Irbesartan/Hydrochlorothiazide </v>
      </c>
      <c r="M253" s="26"/>
    </row>
    <row r="254" ht="17.25" customHeight="1">
      <c r="B254" s="25" t="s">
        <v>589</v>
      </c>
      <c r="C254" s="25" t="s">
        <v>5527</v>
      </c>
      <c r="D254" s="25" t="s">
        <v>5613</v>
      </c>
      <c r="E254" s="25" t="s">
        <v>6180</v>
      </c>
      <c r="F254" s="25" t="s">
        <v>1445</v>
      </c>
      <c r="G254" s="25">
        <v>3.6701312103E8</v>
      </c>
      <c r="H254" s="25">
        <v>639160.05</v>
      </c>
      <c r="I254" s="26" t="s">
        <v>5441</v>
      </c>
      <c r="J254" s="26" t="s">
        <v>6152</v>
      </c>
      <c r="K254" s="26" t="str">
        <f t="shared" si="1"/>
        <v>ARB/DU </v>
      </c>
      <c r="L254" s="26" t="str">
        <f t="shared" si="2"/>
        <v>Irbesartan/Hydrochlorothiazide </v>
      </c>
      <c r="M254" s="26"/>
    </row>
    <row r="255" ht="17.25" customHeight="1">
      <c r="B255" s="25" t="s">
        <v>589</v>
      </c>
      <c r="C255" s="25" t="s">
        <v>5527</v>
      </c>
      <c r="D255" s="25" t="s">
        <v>953</v>
      </c>
      <c r="E255" s="25" t="s">
        <v>6181</v>
      </c>
      <c r="F255" s="25" t="s">
        <v>953</v>
      </c>
      <c r="G255" s="25">
        <v>1.724707192E7</v>
      </c>
      <c r="H255" s="25">
        <v>33107.69</v>
      </c>
      <c r="I255" s="26" t="s">
        <v>5441</v>
      </c>
      <c r="J255" s="26" t="s">
        <v>6152</v>
      </c>
      <c r="K255" s="26" t="str">
        <f t="shared" si="1"/>
        <v>ARB/DU </v>
      </c>
      <c r="L255" s="26" t="str">
        <f t="shared" si="2"/>
        <v>Irbesartan/Hydrochlorothiazide </v>
      </c>
      <c r="M255" s="26"/>
    </row>
    <row r="256" ht="17.25" customHeight="1">
      <c r="B256" s="25" t="s">
        <v>589</v>
      </c>
      <c r="C256" s="25" t="s">
        <v>5527</v>
      </c>
      <c r="D256" s="25" t="s">
        <v>810</v>
      </c>
      <c r="E256" s="25" t="s">
        <v>6182</v>
      </c>
      <c r="F256" s="25" t="s">
        <v>810</v>
      </c>
      <c r="G256" s="25">
        <v>6.584990565E7</v>
      </c>
      <c r="H256" s="25">
        <v>109221.87</v>
      </c>
      <c r="I256" s="26" t="s">
        <v>5441</v>
      </c>
      <c r="J256" s="26" t="s">
        <v>6152</v>
      </c>
      <c r="K256" s="26" t="str">
        <f t="shared" si="1"/>
        <v>ARB/DU </v>
      </c>
      <c r="L256" s="26" t="str">
        <f t="shared" si="2"/>
        <v>Irbesartan/Hydrochlorothiazide </v>
      </c>
      <c r="M256" s="26"/>
    </row>
    <row r="257" ht="17.25" customHeight="1">
      <c r="B257" s="25" t="s">
        <v>589</v>
      </c>
      <c r="C257" s="25" t="s">
        <v>5527</v>
      </c>
      <c r="D257" s="25" t="s">
        <v>814</v>
      </c>
      <c r="E257" s="25" t="s">
        <v>6183</v>
      </c>
      <c r="F257" s="25" t="s">
        <v>814</v>
      </c>
      <c r="G257" s="25">
        <v>1.650599174E7</v>
      </c>
      <c r="H257" s="25">
        <v>36356.81</v>
      </c>
      <c r="I257" s="26" t="s">
        <v>5441</v>
      </c>
      <c r="J257" s="26" t="s">
        <v>6152</v>
      </c>
      <c r="K257" s="26" t="str">
        <f t="shared" si="1"/>
        <v>ARB/DU </v>
      </c>
      <c r="L257" s="26" t="str">
        <f t="shared" si="2"/>
        <v>Irbesartan/Hydrochlorothiazide </v>
      </c>
      <c r="M257" s="26"/>
    </row>
    <row r="258" ht="17.25" customHeight="1">
      <c r="B258" s="25" t="s">
        <v>589</v>
      </c>
      <c r="C258" s="25" t="s">
        <v>5527</v>
      </c>
      <c r="D258" s="25" t="s">
        <v>830</v>
      </c>
      <c r="E258" s="25" t="s">
        <v>6184</v>
      </c>
      <c r="F258" s="25" t="s">
        <v>830</v>
      </c>
      <c r="G258" s="25">
        <v>2.295396056E7</v>
      </c>
      <c r="H258" s="25">
        <v>39637.27</v>
      </c>
      <c r="I258" s="26" t="s">
        <v>5441</v>
      </c>
      <c r="J258" s="26" t="s">
        <v>6152</v>
      </c>
      <c r="K258" s="26" t="str">
        <f t="shared" si="1"/>
        <v>ARB/DU </v>
      </c>
      <c r="L258" s="26" t="str">
        <f t="shared" si="2"/>
        <v>Irbesartan/Hydrochlorothiazide </v>
      </c>
      <c r="M258" s="26"/>
    </row>
    <row r="259" ht="17.25" customHeight="1">
      <c r="B259" s="25" t="s">
        <v>589</v>
      </c>
      <c r="C259" s="25" t="s">
        <v>5527</v>
      </c>
      <c r="D259" s="25" t="s">
        <v>1139</v>
      </c>
      <c r="E259" s="25" t="s">
        <v>6185</v>
      </c>
      <c r="F259" s="25" t="s">
        <v>1139</v>
      </c>
      <c r="G259" s="25">
        <v>2.162961808E7</v>
      </c>
      <c r="H259" s="25">
        <v>43843.58</v>
      </c>
      <c r="I259" s="26" t="s">
        <v>5441</v>
      </c>
      <c r="J259" s="26" t="s">
        <v>6152</v>
      </c>
      <c r="K259" s="26" t="str">
        <f t="shared" si="1"/>
        <v>ARB/DU </v>
      </c>
      <c r="L259" s="26" t="str">
        <f t="shared" si="2"/>
        <v>Irbesartan/Hydrochlorothiazide </v>
      </c>
      <c r="M259" s="26"/>
    </row>
    <row r="260" ht="17.25" customHeight="1">
      <c r="B260" s="25" t="s">
        <v>589</v>
      </c>
      <c r="C260" s="25" t="s">
        <v>5527</v>
      </c>
      <c r="D260" s="25" t="s">
        <v>913</v>
      </c>
      <c r="E260" s="25" t="s">
        <v>6186</v>
      </c>
      <c r="F260" s="25" t="s">
        <v>913</v>
      </c>
      <c r="G260" s="25">
        <v>7668152.91</v>
      </c>
      <c r="H260" s="25">
        <v>14571.19</v>
      </c>
      <c r="I260" s="26" t="s">
        <v>5441</v>
      </c>
      <c r="J260" s="26" t="s">
        <v>6152</v>
      </c>
      <c r="K260" s="26" t="str">
        <f t="shared" si="1"/>
        <v>ARB/DU </v>
      </c>
      <c r="L260" s="26" t="str">
        <f t="shared" si="2"/>
        <v>Irbesartan/Hydrochlorothiazide </v>
      </c>
      <c r="M260" s="26"/>
    </row>
    <row r="261" ht="17.25" customHeight="1">
      <c r="B261" s="25" t="s">
        <v>589</v>
      </c>
      <c r="C261" s="25" t="s">
        <v>5532</v>
      </c>
      <c r="D261" s="25" t="s">
        <v>749</v>
      </c>
      <c r="E261" s="25" t="s">
        <v>6187</v>
      </c>
      <c r="F261" s="25" t="s">
        <v>749</v>
      </c>
      <c r="G261" s="25">
        <v>7.38756E7</v>
      </c>
      <c r="H261" s="25">
        <v>153907.5</v>
      </c>
      <c r="I261" s="26" t="s">
        <v>5441</v>
      </c>
      <c r="J261" s="26" t="s">
        <v>6152</v>
      </c>
      <c r="K261" s="26" t="str">
        <f t="shared" si="1"/>
        <v>ARB/DU </v>
      </c>
      <c r="L261" s="26" t="str">
        <f t="shared" si="2"/>
        <v>Losartan/Hydrochlorothiazide </v>
      </c>
      <c r="M261" s="26"/>
    </row>
    <row r="262" ht="17.25" customHeight="1">
      <c r="B262" s="25" t="s">
        <v>589</v>
      </c>
      <c r="C262" s="25" t="s">
        <v>5532</v>
      </c>
      <c r="D262" s="25" t="s">
        <v>761</v>
      </c>
      <c r="E262" s="25" t="s">
        <v>6188</v>
      </c>
      <c r="F262" s="25" t="s">
        <v>761</v>
      </c>
      <c r="G262" s="25">
        <v>4.842233992E7</v>
      </c>
      <c r="H262" s="25">
        <v>111563.0</v>
      </c>
      <c r="I262" s="26" t="s">
        <v>5441</v>
      </c>
      <c r="J262" s="26" t="s">
        <v>6152</v>
      </c>
      <c r="K262" s="26" t="str">
        <f t="shared" si="1"/>
        <v>ARB/DU </v>
      </c>
      <c r="L262" s="26" t="str">
        <f t="shared" si="2"/>
        <v>Losartan/Hydrochlorothiazide </v>
      </c>
      <c r="M262" s="26"/>
    </row>
    <row r="263" ht="17.25" customHeight="1">
      <c r="B263" s="25" t="s">
        <v>589</v>
      </c>
      <c r="C263" s="25" t="s">
        <v>5532</v>
      </c>
      <c r="D263" s="25" t="s">
        <v>765</v>
      </c>
      <c r="E263" s="25" t="s">
        <v>6189</v>
      </c>
      <c r="F263" s="25" t="s">
        <v>765</v>
      </c>
      <c r="G263" s="25">
        <v>1.004818471E7</v>
      </c>
      <c r="H263" s="25">
        <v>22906.99</v>
      </c>
      <c r="I263" s="26" t="s">
        <v>5441</v>
      </c>
      <c r="J263" s="26" t="s">
        <v>6152</v>
      </c>
      <c r="K263" s="26" t="str">
        <f t="shared" si="1"/>
        <v>ARB/DU </v>
      </c>
      <c r="L263" s="26" t="str">
        <f t="shared" si="2"/>
        <v>Losartan/Hydrochlorothiazide </v>
      </c>
      <c r="M263" s="26"/>
    </row>
    <row r="264" ht="17.25" customHeight="1">
      <c r="B264" s="25" t="s">
        <v>589</v>
      </c>
      <c r="C264" s="25" t="s">
        <v>5532</v>
      </c>
      <c r="D264" s="25" t="s">
        <v>770</v>
      </c>
      <c r="E264" s="25" t="s">
        <v>6190</v>
      </c>
      <c r="F264" s="25" t="s">
        <v>770</v>
      </c>
      <c r="G264" s="25">
        <v>1.545410196E7</v>
      </c>
      <c r="H264" s="25">
        <v>54801.78</v>
      </c>
      <c r="I264" s="26" t="s">
        <v>5441</v>
      </c>
      <c r="J264" s="26" t="s">
        <v>6152</v>
      </c>
      <c r="K264" s="26" t="str">
        <f t="shared" si="1"/>
        <v>ARB/DU </v>
      </c>
      <c r="L264" s="26" t="str">
        <f t="shared" si="2"/>
        <v>Losartan/Hydrochlorothiazide </v>
      </c>
      <c r="M264" s="26"/>
    </row>
    <row r="265" ht="17.25" customHeight="1">
      <c r="B265" s="25" t="s">
        <v>589</v>
      </c>
      <c r="C265" s="25" t="s">
        <v>5532</v>
      </c>
      <c r="D265" s="25" t="s">
        <v>1061</v>
      </c>
      <c r="E265" s="25" t="s">
        <v>6191</v>
      </c>
      <c r="F265" s="25" t="s">
        <v>1061</v>
      </c>
      <c r="G265" s="25">
        <v>3.690457056E7</v>
      </c>
      <c r="H265" s="25">
        <v>74496.28</v>
      </c>
      <c r="I265" s="26" t="s">
        <v>5441</v>
      </c>
      <c r="J265" s="26" t="s">
        <v>6152</v>
      </c>
      <c r="K265" s="26" t="str">
        <f t="shared" si="1"/>
        <v>ARB/DU </v>
      </c>
      <c r="L265" s="26" t="str">
        <f t="shared" si="2"/>
        <v>Losartan/Hydrochlorothiazide </v>
      </c>
      <c r="M265" s="26"/>
    </row>
    <row r="266" ht="17.25" customHeight="1">
      <c r="B266" s="25" t="s">
        <v>589</v>
      </c>
      <c r="C266" s="25" t="s">
        <v>5532</v>
      </c>
      <c r="D266" s="25" t="s">
        <v>779</v>
      </c>
      <c r="E266" s="25" t="s">
        <v>6192</v>
      </c>
      <c r="F266" s="25" t="s">
        <v>779</v>
      </c>
      <c r="G266" s="25">
        <v>1043559.0</v>
      </c>
      <c r="H266" s="25">
        <v>2514.6</v>
      </c>
      <c r="I266" s="26" t="s">
        <v>5441</v>
      </c>
      <c r="J266" s="26" t="s">
        <v>6152</v>
      </c>
      <c r="K266" s="26" t="str">
        <f t="shared" si="1"/>
        <v>ARB/DU </v>
      </c>
      <c r="L266" s="26" t="str">
        <f t="shared" si="2"/>
        <v>Losartan/Hydrochlorothiazide </v>
      </c>
      <c r="M266" s="26"/>
    </row>
    <row r="267" ht="17.25" customHeight="1">
      <c r="B267" s="25" t="s">
        <v>589</v>
      </c>
      <c r="C267" s="25" t="s">
        <v>5532</v>
      </c>
      <c r="D267" s="25" t="s">
        <v>792</v>
      </c>
      <c r="E267" s="25" t="s">
        <v>6193</v>
      </c>
      <c r="F267" s="25" t="s">
        <v>792</v>
      </c>
      <c r="G267" s="25">
        <v>1757232.0</v>
      </c>
      <c r="H267" s="25">
        <v>3660.9</v>
      </c>
      <c r="I267" s="26" t="s">
        <v>5441</v>
      </c>
      <c r="J267" s="26" t="s">
        <v>6152</v>
      </c>
      <c r="K267" s="26" t="str">
        <f t="shared" si="1"/>
        <v>ARB/DU </v>
      </c>
      <c r="L267" s="26" t="str">
        <f t="shared" si="2"/>
        <v>Losartan/Hydrochlorothiazide </v>
      </c>
      <c r="M267" s="26"/>
    </row>
    <row r="268" ht="17.25" customHeight="1">
      <c r="B268" s="25" t="s">
        <v>589</v>
      </c>
      <c r="C268" s="25" t="s">
        <v>5532</v>
      </c>
      <c r="D268" s="25" t="s">
        <v>796</v>
      </c>
      <c r="E268" s="25" t="s">
        <v>6194</v>
      </c>
      <c r="F268" s="25" t="s">
        <v>796</v>
      </c>
      <c r="G268" s="25">
        <v>3.6010623764E8</v>
      </c>
      <c r="H268" s="25">
        <v>710937.9</v>
      </c>
      <c r="I268" s="26" t="s">
        <v>5441</v>
      </c>
      <c r="J268" s="26" t="s">
        <v>6152</v>
      </c>
      <c r="K268" s="26" t="str">
        <f t="shared" si="1"/>
        <v>ARB/DU </v>
      </c>
      <c r="L268" s="26" t="str">
        <f t="shared" si="2"/>
        <v>Losartan/Hydrochlorothiazide </v>
      </c>
      <c r="M268" s="26"/>
    </row>
    <row r="269" ht="17.25" customHeight="1">
      <c r="B269" s="25" t="s">
        <v>589</v>
      </c>
      <c r="C269" s="25" t="s">
        <v>5532</v>
      </c>
      <c r="D269" s="25" t="s">
        <v>796</v>
      </c>
      <c r="E269" s="25" t="s">
        <v>6195</v>
      </c>
      <c r="F269" s="25" t="s">
        <v>796</v>
      </c>
      <c r="G269" s="25">
        <v>3.529244645E7</v>
      </c>
      <c r="H269" s="25">
        <v>88897.85</v>
      </c>
      <c r="I269" s="26" t="s">
        <v>5441</v>
      </c>
      <c r="J269" s="26" t="s">
        <v>6152</v>
      </c>
      <c r="K269" s="26" t="str">
        <f t="shared" si="1"/>
        <v>ARB/DU </v>
      </c>
      <c r="L269" s="26" t="str">
        <f t="shared" si="2"/>
        <v>Losartan/Hydrochlorothiazide </v>
      </c>
      <c r="M269" s="26"/>
    </row>
    <row r="270" ht="17.25" customHeight="1">
      <c r="B270" s="25" t="s">
        <v>589</v>
      </c>
      <c r="C270" s="25" t="s">
        <v>5532</v>
      </c>
      <c r="D270" s="25" t="s">
        <v>814</v>
      </c>
      <c r="E270" s="25" t="s">
        <v>6196</v>
      </c>
      <c r="F270" s="25" t="s">
        <v>814</v>
      </c>
      <c r="G270" s="25">
        <v>6360469.09</v>
      </c>
      <c r="H270" s="25">
        <v>31332.37</v>
      </c>
      <c r="I270" s="26" t="s">
        <v>5441</v>
      </c>
      <c r="J270" s="26" t="s">
        <v>6152</v>
      </c>
      <c r="K270" s="26" t="str">
        <f t="shared" si="1"/>
        <v>ARB/DU </v>
      </c>
      <c r="L270" s="26" t="str">
        <f t="shared" si="2"/>
        <v>Losartan/Hydrochlorothiazide </v>
      </c>
      <c r="M270" s="26"/>
    </row>
    <row r="271" ht="17.25" customHeight="1">
      <c r="B271" s="25" t="s">
        <v>589</v>
      </c>
      <c r="C271" s="25" t="s">
        <v>5532</v>
      </c>
      <c r="D271" s="25" t="s">
        <v>834</v>
      </c>
      <c r="E271" s="25" t="s">
        <v>6197</v>
      </c>
      <c r="F271" s="25" t="s">
        <v>834</v>
      </c>
      <c r="G271" s="25">
        <v>6125951.95</v>
      </c>
      <c r="H271" s="25">
        <v>14761.33</v>
      </c>
      <c r="I271" s="26" t="s">
        <v>5441</v>
      </c>
      <c r="J271" s="26" t="s">
        <v>6152</v>
      </c>
      <c r="K271" s="26" t="str">
        <f t="shared" si="1"/>
        <v>ARB/DU </v>
      </c>
      <c r="L271" s="26" t="str">
        <f t="shared" si="2"/>
        <v>Losartan/Hydrochlorothiazide </v>
      </c>
      <c r="M271" s="26"/>
    </row>
    <row r="272" ht="17.25" customHeight="1">
      <c r="B272" s="25" t="s">
        <v>589</v>
      </c>
      <c r="C272" s="25" t="s">
        <v>5532</v>
      </c>
      <c r="D272" s="25" t="s">
        <v>836</v>
      </c>
      <c r="E272" s="25" t="s">
        <v>6198</v>
      </c>
      <c r="F272" s="25" t="s">
        <v>836</v>
      </c>
      <c r="G272" s="25">
        <v>1001576.4</v>
      </c>
      <c r="H272" s="25">
        <v>3958.8</v>
      </c>
      <c r="I272" s="26" t="s">
        <v>5441</v>
      </c>
      <c r="J272" s="26" t="s">
        <v>6152</v>
      </c>
      <c r="K272" s="26" t="str">
        <f t="shared" si="1"/>
        <v>ARB/DU </v>
      </c>
      <c r="L272" s="26" t="str">
        <f t="shared" si="2"/>
        <v>Losartan/Hydrochlorothiazide </v>
      </c>
      <c r="M272" s="26"/>
    </row>
    <row r="273" ht="17.25" customHeight="1">
      <c r="B273" s="25" t="s">
        <v>589</v>
      </c>
      <c r="C273" s="25" t="s">
        <v>5532</v>
      </c>
      <c r="D273" s="25" t="s">
        <v>710</v>
      </c>
      <c r="E273" s="25" t="s">
        <v>6199</v>
      </c>
      <c r="F273" s="25" t="s">
        <v>710</v>
      </c>
      <c r="G273" s="25">
        <v>1.689333654E7</v>
      </c>
      <c r="H273" s="25">
        <v>40706.85</v>
      </c>
      <c r="I273" s="26" t="s">
        <v>5441</v>
      </c>
      <c r="J273" s="26" t="s">
        <v>6152</v>
      </c>
      <c r="K273" s="26" t="str">
        <f t="shared" si="1"/>
        <v>ARB/DU </v>
      </c>
      <c r="L273" s="26" t="str">
        <f t="shared" si="2"/>
        <v>Losartan/Hydrochlorothiazide </v>
      </c>
      <c r="M273" s="26"/>
    </row>
    <row r="274" ht="17.25" customHeight="1">
      <c r="B274" s="25" t="s">
        <v>589</v>
      </c>
      <c r="C274" s="25" t="s">
        <v>5532</v>
      </c>
      <c r="D274" s="25" t="s">
        <v>848</v>
      </c>
      <c r="E274" s="25" t="s">
        <v>6200</v>
      </c>
      <c r="F274" s="25" t="s">
        <v>848</v>
      </c>
      <c r="G274" s="25">
        <v>5.09900167E7</v>
      </c>
      <c r="H274" s="25">
        <v>103835.84</v>
      </c>
      <c r="I274" s="26" t="s">
        <v>5441</v>
      </c>
      <c r="J274" s="26" t="s">
        <v>6152</v>
      </c>
      <c r="K274" s="26" t="str">
        <f t="shared" si="1"/>
        <v>ARB/DU </v>
      </c>
      <c r="L274" s="26" t="str">
        <f t="shared" si="2"/>
        <v>Losartan/Hydrochlorothiazide </v>
      </c>
      <c r="M274" s="26"/>
    </row>
    <row r="275" ht="17.25" customHeight="1">
      <c r="B275" s="25" t="s">
        <v>589</v>
      </c>
      <c r="C275" s="25" t="s">
        <v>5532</v>
      </c>
      <c r="D275" s="25" t="s">
        <v>852</v>
      </c>
      <c r="E275" s="25" t="s">
        <v>6201</v>
      </c>
      <c r="F275" s="25" t="s">
        <v>852</v>
      </c>
      <c r="G275" s="25">
        <v>3.714802504E7</v>
      </c>
      <c r="H275" s="25">
        <v>94765.37</v>
      </c>
      <c r="I275" s="26" t="s">
        <v>5441</v>
      </c>
      <c r="J275" s="26" t="s">
        <v>6152</v>
      </c>
      <c r="K275" s="26" t="str">
        <f t="shared" si="1"/>
        <v>ARB/DU </v>
      </c>
      <c r="L275" s="26" t="str">
        <f t="shared" si="2"/>
        <v>Losartan/Hydrochlorothiazide </v>
      </c>
      <c r="M275" s="26"/>
    </row>
    <row r="276" ht="17.25" customHeight="1">
      <c r="B276" s="25" t="s">
        <v>589</v>
      </c>
      <c r="C276" s="25" t="s">
        <v>5532</v>
      </c>
      <c r="D276" s="25" t="s">
        <v>1979</v>
      </c>
      <c r="E276" s="25" t="s">
        <v>6202</v>
      </c>
      <c r="F276" s="25" t="s">
        <v>1979</v>
      </c>
      <c r="G276" s="25">
        <v>1.11641979471E9</v>
      </c>
      <c r="H276" s="25">
        <v>2166825.22</v>
      </c>
      <c r="I276" s="26" t="s">
        <v>5441</v>
      </c>
      <c r="J276" s="26" t="s">
        <v>6152</v>
      </c>
      <c r="K276" s="26" t="str">
        <f t="shared" si="1"/>
        <v>ARB/DU </v>
      </c>
      <c r="L276" s="26" t="str">
        <f t="shared" si="2"/>
        <v>Losartan/Hydrochlorothiazide </v>
      </c>
      <c r="M276" s="26"/>
    </row>
    <row r="277" ht="17.25" customHeight="1">
      <c r="B277" s="25" t="s">
        <v>589</v>
      </c>
      <c r="C277" s="25" t="s">
        <v>5532</v>
      </c>
      <c r="D277" s="25" t="s">
        <v>862</v>
      </c>
      <c r="E277" s="25" t="s">
        <v>6203</v>
      </c>
      <c r="F277" s="25" t="s">
        <v>862</v>
      </c>
      <c r="G277" s="25">
        <v>4.148338139E7</v>
      </c>
      <c r="H277" s="25">
        <v>85532.81</v>
      </c>
      <c r="I277" s="26" t="s">
        <v>5441</v>
      </c>
      <c r="J277" s="26" t="s">
        <v>6152</v>
      </c>
      <c r="K277" s="26" t="str">
        <f t="shared" si="1"/>
        <v>ARB/DU </v>
      </c>
      <c r="L277" s="26" t="str">
        <f t="shared" si="2"/>
        <v>Losartan/Hydrochlorothiazide </v>
      </c>
      <c r="M277" s="26"/>
    </row>
    <row r="278" ht="17.25" customHeight="1">
      <c r="B278" s="25" t="s">
        <v>589</v>
      </c>
      <c r="C278" s="25" t="s">
        <v>5532</v>
      </c>
      <c r="D278" s="25" t="s">
        <v>730</v>
      </c>
      <c r="E278" s="25" t="s">
        <v>6204</v>
      </c>
      <c r="F278" s="25" t="s">
        <v>730</v>
      </c>
      <c r="G278" s="25">
        <v>5.630352216E7</v>
      </c>
      <c r="H278" s="25">
        <v>115376.07</v>
      </c>
      <c r="I278" s="26" t="s">
        <v>5441</v>
      </c>
      <c r="J278" s="26" t="s">
        <v>6152</v>
      </c>
      <c r="K278" s="26" t="str">
        <f t="shared" si="1"/>
        <v>ARB/DU </v>
      </c>
      <c r="L278" s="26" t="str">
        <f t="shared" si="2"/>
        <v>Losartan/Hydrochlorothiazide </v>
      </c>
      <c r="M278" s="26"/>
    </row>
    <row r="279" ht="17.25" customHeight="1">
      <c r="B279" s="25" t="s">
        <v>589</v>
      </c>
      <c r="C279" s="25" t="s">
        <v>5532</v>
      </c>
      <c r="D279" s="25" t="s">
        <v>715</v>
      </c>
      <c r="E279" s="25" t="s">
        <v>6205</v>
      </c>
      <c r="F279" s="25" t="s">
        <v>715</v>
      </c>
      <c r="G279" s="25">
        <v>6683840.94</v>
      </c>
      <c r="H279" s="25">
        <v>13838.18</v>
      </c>
      <c r="I279" s="26" t="s">
        <v>5441</v>
      </c>
      <c r="J279" s="26" t="s">
        <v>6152</v>
      </c>
      <c r="K279" s="26" t="str">
        <f t="shared" si="1"/>
        <v>ARB/DU </v>
      </c>
      <c r="L279" s="26" t="str">
        <f t="shared" si="2"/>
        <v>Losartan/Hydrochlorothiazide </v>
      </c>
      <c r="M279" s="26"/>
    </row>
    <row r="280" ht="17.25" customHeight="1">
      <c r="B280" s="25" t="s">
        <v>589</v>
      </c>
      <c r="C280" s="25" t="s">
        <v>5532</v>
      </c>
      <c r="D280" s="25" t="s">
        <v>701</v>
      </c>
      <c r="E280" s="25" t="s">
        <v>6206</v>
      </c>
      <c r="F280" s="25" t="s">
        <v>701</v>
      </c>
      <c r="G280" s="25">
        <v>8.260080649E7</v>
      </c>
      <c r="H280" s="25">
        <v>158124.26</v>
      </c>
      <c r="I280" s="26" t="s">
        <v>5441</v>
      </c>
      <c r="J280" s="26" t="s">
        <v>6152</v>
      </c>
      <c r="K280" s="26" t="str">
        <f t="shared" si="1"/>
        <v>ARB/DU </v>
      </c>
      <c r="L280" s="26" t="str">
        <f t="shared" si="2"/>
        <v>Losartan/Hydrochlorothiazide </v>
      </c>
      <c r="M280" s="26"/>
    </row>
    <row r="281" ht="17.25" customHeight="1">
      <c r="B281" s="25" t="s">
        <v>589</v>
      </c>
      <c r="C281" s="25" t="s">
        <v>5532</v>
      </c>
      <c r="D281" s="25" t="s">
        <v>868</v>
      </c>
      <c r="E281" s="25" t="s">
        <v>6207</v>
      </c>
      <c r="F281" s="25" t="s">
        <v>868</v>
      </c>
      <c r="G281" s="25">
        <v>1.20846257E7</v>
      </c>
      <c r="H281" s="25">
        <v>29119.58</v>
      </c>
      <c r="I281" s="26" t="s">
        <v>5441</v>
      </c>
      <c r="J281" s="26" t="s">
        <v>6152</v>
      </c>
      <c r="K281" s="26" t="str">
        <f t="shared" si="1"/>
        <v>ARB/DU </v>
      </c>
      <c r="L281" s="26" t="str">
        <f t="shared" si="2"/>
        <v>Losartan/Hydrochlorothiazide </v>
      </c>
      <c r="M281" s="26"/>
    </row>
    <row r="282" ht="17.25" customHeight="1">
      <c r="B282" s="25" t="s">
        <v>589</v>
      </c>
      <c r="C282" s="25" t="s">
        <v>5532</v>
      </c>
      <c r="D282" s="25" t="s">
        <v>1040</v>
      </c>
      <c r="E282" s="25" t="s">
        <v>6208</v>
      </c>
      <c r="F282" s="25" t="s">
        <v>1040</v>
      </c>
      <c r="G282" s="25">
        <v>2.334048856E7</v>
      </c>
      <c r="H282" s="25">
        <v>47828.87</v>
      </c>
      <c r="I282" s="26" t="s">
        <v>5441</v>
      </c>
      <c r="J282" s="26" t="s">
        <v>6152</v>
      </c>
      <c r="K282" s="26" t="str">
        <f t="shared" si="1"/>
        <v>ARB/DU </v>
      </c>
      <c r="L282" s="26" t="str">
        <f t="shared" si="2"/>
        <v>Losartan/Hydrochlorothiazide </v>
      </c>
      <c r="M282" s="26"/>
    </row>
    <row r="283" ht="17.25" customHeight="1">
      <c r="B283" s="25" t="s">
        <v>589</v>
      </c>
      <c r="C283" s="25" t="s">
        <v>5532</v>
      </c>
      <c r="D283" s="25" t="s">
        <v>983</v>
      </c>
      <c r="E283" s="25" t="s">
        <v>6209</v>
      </c>
      <c r="F283" s="25" t="s">
        <v>983</v>
      </c>
      <c r="G283" s="25">
        <v>7597224.46</v>
      </c>
      <c r="H283" s="25">
        <v>19530.14</v>
      </c>
      <c r="I283" s="26" t="s">
        <v>5441</v>
      </c>
      <c r="J283" s="26" t="s">
        <v>6152</v>
      </c>
      <c r="K283" s="26" t="str">
        <f t="shared" si="1"/>
        <v>ARB/DU </v>
      </c>
      <c r="L283" s="26" t="str">
        <f t="shared" si="2"/>
        <v>Losartan/Hydrochlorothiazide </v>
      </c>
      <c r="M283" s="26"/>
    </row>
    <row r="284" ht="17.25" customHeight="1">
      <c r="B284" s="25" t="s">
        <v>589</v>
      </c>
      <c r="C284" s="25" t="s">
        <v>5532</v>
      </c>
      <c r="D284" s="25" t="s">
        <v>734</v>
      </c>
      <c r="E284" s="25" t="s">
        <v>6210</v>
      </c>
      <c r="F284" s="25" t="s">
        <v>734</v>
      </c>
      <c r="G284" s="25">
        <v>5876935.35</v>
      </c>
      <c r="H284" s="25">
        <v>14161.29</v>
      </c>
      <c r="I284" s="26" t="s">
        <v>5441</v>
      </c>
      <c r="J284" s="26" t="s">
        <v>6152</v>
      </c>
      <c r="K284" s="26" t="str">
        <f t="shared" si="1"/>
        <v>ARB/DU </v>
      </c>
      <c r="L284" s="26" t="str">
        <f t="shared" si="2"/>
        <v>Losartan/Hydrochlorothiazide </v>
      </c>
      <c r="M284" s="26"/>
    </row>
    <row r="285" ht="17.25" customHeight="1">
      <c r="B285" s="25" t="s">
        <v>589</v>
      </c>
      <c r="C285" s="25" t="s">
        <v>5532</v>
      </c>
      <c r="D285" s="25" t="s">
        <v>880</v>
      </c>
      <c r="E285" s="25" t="s">
        <v>6211</v>
      </c>
      <c r="F285" s="25" t="s">
        <v>880</v>
      </c>
      <c r="G285" s="25">
        <v>2.0361397937E8</v>
      </c>
      <c r="H285" s="25">
        <v>396894.65</v>
      </c>
      <c r="I285" s="26" t="s">
        <v>5441</v>
      </c>
      <c r="J285" s="26" t="s">
        <v>6152</v>
      </c>
      <c r="K285" s="26" t="str">
        <f t="shared" si="1"/>
        <v>ARB/DU </v>
      </c>
      <c r="L285" s="26" t="str">
        <f t="shared" si="2"/>
        <v>Losartan/Hydrochlorothiazide </v>
      </c>
      <c r="M285" s="26"/>
    </row>
    <row r="286" ht="17.25" customHeight="1">
      <c r="B286" s="25" t="s">
        <v>589</v>
      </c>
      <c r="C286" s="25" t="s">
        <v>5532</v>
      </c>
      <c r="D286" s="25" t="s">
        <v>900</v>
      </c>
      <c r="E286" s="25" t="s">
        <v>6212</v>
      </c>
      <c r="F286" s="25" t="s">
        <v>900</v>
      </c>
      <c r="G286" s="25">
        <v>2.13771314E7</v>
      </c>
      <c r="H286" s="25">
        <v>51511.16</v>
      </c>
      <c r="I286" s="26" t="s">
        <v>5441</v>
      </c>
      <c r="J286" s="26" t="s">
        <v>6152</v>
      </c>
      <c r="K286" s="26" t="str">
        <f t="shared" si="1"/>
        <v>ARB/DU </v>
      </c>
      <c r="L286" s="26" t="str">
        <f t="shared" si="2"/>
        <v>Losartan/Hydrochlorothiazide </v>
      </c>
      <c r="M286" s="26"/>
    </row>
    <row r="287" ht="17.25" customHeight="1">
      <c r="B287" s="25" t="s">
        <v>589</v>
      </c>
      <c r="C287" s="25" t="s">
        <v>5532</v>
      </c>
      <c r="D287" s="25" t="s">
        <v>717</v>
      </c>
      <c r="E287" s="25" t="s">
        <v>6213</v>
      </c>
      <c r="F287" s="25" t="s">
        <v>717</v>
      </c>
      <c r="G287" s="25">
        <v>5657042.4</v>
      </c>
      <c r="H287" s="25">
        <v>11592.3</v>
      </c>
      <c r="I287" s="26" t="s">
        <v>5441</v>
      </c>
      <c r="J287" s="26" t="s">
        <v>6152</v>
      </c>
      <c r="K287" s="26" t="str">
        <f t="shared" si="1"/>
        <v>ARB/DU </v>
      </c>
      <c r="L287" s="26" t="str">
        <f t="shared" si="2"/>
        <v>Losartan/Hydrochlorothiazide </v>
      </c>
      <c r="M287" s="26"/>
    </row>
    <row r="288" ht="17.25" customHeight="1">
      <c r="B288" s="25" t="s">
        <v>589</v>
      </c>
      <c r="C288" s="25" t="s">
        <v>5532</v>
      </c>
      <c r="D288" s="25" t="s">
        <v>917</v>
      </c>
      <c r="E288" s="25" t="s">
        <v>6214</v>
      </c>
      <c r="F288" s="25" t="s">
        <v>917</v>
      </c>
      <c r="G288" s="25">
        <v>2.2544951288E8</v>
      </c>
      <c r="H288" s="25">
        <v>450281.7</v>
      </c>
      <c r="I288" s="26" t="s">
        <v>5441</v>
      </c>
      <c r="J288" s="26" t="s">
        <v>6152</v>
      </c>
      <c r="K288" s="26" t="str">
        <f t="shared" si="1"/>
        <v>ARB/DU </v>
      </c>
      <c r="L288" s="26" t="str">
        <f t="shared" si="2"/>
        <v>Losartan/Hydrochlorothiazide </v>
      </c>
      <c r="M288" s="26"/>
    </row>
    <row r="289" ht="17.25" customHeight="1">
      <c r="B289" s="25" t="s">
        <v>589</v>
      </c>
      <c r="C289" s="25" t="s">
        <v>5532</v>
      </c>
      <c r="D289" s="25" t="s">
        <v>927</v>
      </c>
      <c r="E289" s="25" t="s">
        <v>6215</v>
      </c>
      <c r="F289" s="25" t="s">
        <v>927</v>
      </c>
      <c r="G289" s="25">
        <v>3730094.7</v>
      </c>
      <c r="H289" s="25">
        <v>8988.18</v>
      </c>
      <c r="I289" s="26" t="s">
        <v>5441</v>
      </c>
      <c r="J289" s="26" t="s">
        <v>6152</v>
      </c>
      <c r="K289" s="26" t="str">
        <f t="shared" si="1"/>
        <v>ARB/DU </v>
      </c>
      <c r="L289" s="26" t="str">
        <f t="shared" si="2"/>
        <v>Losartan/Hydrochlorothiazide </v>
      </c>
      <c r="M289" s="26"/>
    </row>
    <row r="290" ht="17.25" customHeight="1">
      <c r="B290" s="25" t="s">
        <v>589</v>
      </c>
      <c r="C290" s="25" t="s">
        <v>5532</v>
      </c>
      <c r="D290" s="25" t="s">
        <v>935</v>
      </c>
      <c r="E290" s="25" t="s">
        <v>6216</v>
      </c>
      <c r="F290" s="25" t="s">
        <v>935</v>
      </c>
      <c r="G290" s="25">
        <v>1.3346867384E8</v>
      </c>
      <c r="H290" s="25">
        <v>254058.25</v>
      </c>
      <c r="I290" s="26" t="s">
        <v>5441</v>
      </c>
      <c r="J290" s="26" t="s">
        <v>6152</v>
      </c>
      <c r="K290" s="26" t="str">
        <f t="shared" si="1"/>
        <v>ARB/DU </v>
      </c>
      <c r="L290" s="26" t="str">
        <f t="shared" si="2"/>
        <v>Losartan/Hydrochlorothiazide </v>
      </c>
      <c r="M290" s="26"/>
    </row>
    <row r="291" ht="17.25" customHeight="1">
      <c r="B291" s="25" t="s">
        <v>589</v>
      </c>
      <c r="C291" s="25" t="s">
        <v>5532</v>
      </c>
      <c r="D291" s="25" t="s">
        <v>736</v>
      </c>
      <c r="E291" s="25" t="s">
        <v>6217</v>
      </c>
      <c r="F291" s="25" t="s">
        <v>736</v>
      </c>
      <c r="G291" s="25">
        <v>2518510.5</v>
      </c>
      <c r="H291" s="25">
        <v>6068.7</v>
      </c>
      <c r="I291" s="26" t="s">
        <v>5441</v>
      </c>
      <c r="J291" s="26" t="s">
        <v>6152</v>
      </c>
      <c r="K291" s="26" t="str">
        <f t="shared" si="1"/>
        <v>ARB/DU </v>
      </c>
      <c r="L291" s="26" t="str">
        <f t="shared" si="2"/>
        <v>Losartan/Hydrochlorothiazide </v>
      </c>
      <c r="M291" s="26"/>
    </row>
    <row r="292" ht="17.25" customHeight="1">
      <c r="B292" s="25" t="s">
        <v>589</v>
      </c>
      <c r="C292" s="25" t="s">
        <v>5532</v>
      </c>
      <c r="D292" s="25" t="s">
        <v>1050</v>
      </c>
      <c r="E292" s="25" t="s">
        <v>6218</v>
      </c>
      <c r="F292" s="25" t="s">
        <v>1050</v>
      </c>
      <c r="G292" s="25">
        <v>1.3100069152E8</v>
      </c>
      <c r="H292" s="25">
        <v>263871.65</v>
      </c>
      <c r="I292" s="26" t="s">
        <v>5441</v>
      </c>
      <c r="J292" s="26" t="s">
        <v>6152</v>
      </c>
      <c r="K292" s="26" t="str">
        <f t="shared" si="1"/>
        <v>ARB/DU </v>
      </c>
      <c r="L292" s="26" t="str">
        <f t="shared" si="2"/>
        <v>Losartan/Hydrochlorothiazide </v>
      </c>
      <c r="M292" s="26"/>
    </row>
    <row r="293" ht="17.25" customHeight="1">
      <c r="B293" s="25" t="s">
        <v>589</v>
      </c>
      <c r="C293" s="25" t="s">
        <v>5537</v>
      </c>
      <c r="D293" s="25" t="s">
        <v>742</v>
      </c>
      <c r="E293" s="25" t="s">
        <v>6219</v>
      </c>
      <c r="F293" s="25" t="s">
        <v>742</v>
      </c>
      <c r="G293" s="25">
        <v>2947326.12</v>
      </c>
      <c r="H293" s="25">
        <v>8325.78</v>
      </c>
      <c r="I293" s="26" t="s">
        <v>5441</v>
      </c>
      <c r="J293" s="26" t="s">
        <v>6152</v>
      </c>
      <c r="K293" s="26" t="str">
        <f t="shared" si="1"/>
        <v>ARB/DU </v>
      </c>
      <c r="L293" s="26" t="str">
        <f t="shared" si="2"/>
        <v>Olmesartan/Hydrochlorothiazide </v>
      </c>
      <c r="M293" s="26"/>
    </row>
    <row r="294" ht="17.25" customHeight="1">
      <c r="B294" s="25" t="s">
        <v>589</v>
      </c>
      <c r="C294" s="25" t="s">
        <v>5537</v>
      </c>
      <c r="D294" s="25" t="s">
        <v>757</v>
      </c>
      <c r="E294" s="25" t="s">
        <v>6220</v>
      </c>
      <c r="F294" s="25" t="s">
        <v>757</v>
      </c>
      <c r="G294" s="25">
        <v>2.416435145E7</v>
      </c>
      <c r="H294" s="25">
        <v>57948.09</v>
      </c>
      <c r="I294" s="26" t="s">
        <v>5441</v>
      </c>
      <c r="J294" s="26" t="s">
        <v>6152</v>
      </c>
      <c r="K294" s="26" t="str">
        <f t="shared" si="1"/>
        <v>ARB/DU </v>
      </c>
      <c r="L294" s="26" t="str">
        <f t="shared" si="2"/>
        <v>Olmesartan/Hydrochlorothiazide </v>
      </c>
      <c r="M294" s="26"/>
    </row>
    <row r="295" ht="17.25" customHeight="1">
      <c r="B295" s="25" t="s">
        <v>589</v>
      </c>
      <c r="C295" s="25" t="s">
        <v>5537</v>
      </c>
      <c r="D295" s="25" t="s">
        <v>763</v>
      </c>
      <c r="E295" s="25" t="s">
        <v>6221</v>
      </c>
      <c r="F295" s="25" t="s">
        <v>763</v>
      </c>
      <c r="G295" s="25">
        <v>6.8513868741E8</v>
      </c>
      <c r="H295" s="25">
        <v>1643018.45</v>
      </c>
      <c r="I295" s="26" t="s">
        <v>5441</v>
      </c>
      <c r="J295" s="26" t="s">
        <v>6152</v>
      </c>
      <c r="K295" s="26" t="str">
        <f t="shared" si="1"/>
        <v>ARB/DU </v>
      </c>
      <c r="L295" s="26" t="str">
        <f t="shared" si="2"/>
        <v>Olmesartan/Hydrochlorothiazide </v>
      </c>
      <c r="M295" s="26"/>
    </row>
    <row r="296" ht="17.25" customHeight="1">
      <c r="B296" s="25" t="s">
        <v>589</v>
      </c>
      <c r="C296" s="25" t="s">
        <v>5537</v>
      </c>
      <c r="D296" s="25" t="s">
        <v>772</v>
      </c>
      <c r="E296" s="25" t="s">
        <v>6222</v>
      </c>
      <c r="F296" s="25" t="s">
        <v>772</v>
      </c>
      <c r="G296" s="25">
        <v>1845543.6</v>
      </c>
      <c r="H296" s="25">
        <v>5213.4</v>
      </c>
      <c r="I296" s="26" t="s">
        <v>5441</v>
      </c>
      <c r="J296" s="26" t="s">
        <v>6152</v>
      </c>
      <c r="K296" s="26" t="str">
        <f t="shared" si="1"/>
        <v>ARB/DU </v>
      </c>
      <c r="L296" s="26" t="str">
        <f t="shared" si="2"/>
        <v>Olmesartan/Hydrochlorothiazide </v>
      </c>
      <c r="M296" s="26"/>
    </row>
    <row r="297" ht="17.25" customHeight="1">
      <c r="B297" s="25" t="s">
        <v>589</v>
      </c>
      <c r="C297" s="25" t="s">
        <v>5537</v>
      </c>
      <c r="D297" s="25" t="s">
        <v>776</v>
      </c>
      <c r="E297" s="25" t="s">
        <v>6223</v>
      </c>
      <c r="F297" s="25" t="s">
        <v>776</v>
      </c>
      <c r="G297" s="25">
        <v>6.031517607E7</v>
      </c>
      <c r="H297" s="25">
        <v>144640.71</v>
      </c>
      <c r="I297" s="26" t="s">
        <v>5441</v>
      </c>
      <c r="J297" s="26" t="s">
        <v>6152</v>
      </c>
      <c r="K297" s="26" t="str">
        <f t="shared" si="1"/>
        <v>ARB/DU </v>
      </c>
      <c r="L297" s="26" t="str">
        <f t="shared" si="2"/>
        <v>Olmesartan/Hydrochlorothiazide </v>
      </c>
      <c r="M297" s="26"/>
    </row>
    <row r="298" ht="17.25" customHeight="1">
      <c r="B298" s="25" t="s">
        <v>589</v>
      </c>
      <c r="C298" s="25" t="s">
        <v>5537</v>
      </c>
      <c r="D298" s="25" t="s">
        <v>1554</v>
      </c>
      <c r="E298" s="25" t="s">
        <v>6224</v>
      </c>
      <c r="F298" s="25" t="s">
        <v>1554</v>
      </c>
      <c r="G298" s="25">
        <v>2.841425184E7</v>
      </c>
      <c r="H298" s="25">
        <v>68303.49</v>
      </c>
      <c r="I298" s="26" t="s">
        <v>5441</v>
      </c>
      <c r="J298" s="26" t="s">
        <v>6152</v>
      </c>
      <c r="K298" s="26" t="str">
        <f t="shared" si="1"/>
        <v>ARB/DU </v>
      </c>
      <c r="L298" s="26" t="str">
        <f t="shared" si="2"/>
        <v>Olmesartan/Hydrochlorothiazide </v>
      </c>
      <c r="M298" s="26"/>
    </row>
    <row r="299" ht="17.25" customHeight="1">
      <c r="B299" s="25" t="s">
        <v>589</v>
      </c>
      <c r="C299" s="25" t="s">
        <v>5537</v>
      </c>
      <c r="D299" s="25" t="s">
        <v>796</v>
      </c>
      <c r="E299" s="25" t="s">
        <v>6225</v>
      </c>
      <c r="F299" s="25" t="s">
        <v>796</v>
      </c>
      <c r="G299" s="25">
        <v>2.997735488E7</v>
      </c>
      <c r="H299" s="25">
        <v>98609.72</v>
      </c>
      <c r="I299" s="26" t="s">
        <v>5441</v>
      </c>
      <c r="J299" s="26" t="s">
        <v>6152</v>
      </c>
      <c r="K299" s="26" t="str">
        <f t="shared" si="1"/>
        <v>ARB/DU </v>
      </c>
      <c r="L299" s="26" t="str">
        <f t="shared" si="2"/>
        <v>Olmesartan/Hydrochlorothiazide </v>
      </c>
      <c r="M299" s="26"/>
    </row>
    <row r="300" ht="17.25" customHeight="1">
      <c r="B300" s="25" t="s">
        <v>589</v>
      </c>
      <c r="C300" s="25" t="s">
        <v>5537</v>
      </c>
      <c r="D300" s="25" t="s">
        <v>800</v>
      </c>
      <c r="E300" s="25" t="s">
        <v>6226</v>
      </c>
      <c r="F300" s="25" t="s">
        <v>800</v>
      </c>
      <c r="G300" s="25">
        <v>5142406.47</v>
      </c>
      <c r="H300" s="25">
        <v>12331.91</v>
      </c>
      <c r="I300" s="26" t="s">
        <v>5441</v>
      </c>
      <c r="J300" s="26" t="s">
        <v>6152</v>
      </c>
      <c r="K300" s="26" t="str">
        <f t="shared" si="1"/>
        <v>ARB/DU </v>
      </c>
      <c r="L300" s="26" t="str">
        <f t="shared" si="2"/>
        <v>Olmesartan/Hydrochlorothiazide </v>
      </c>
      <c r="M300" s="26"/>
    </row>
    <row r="301" ht="17.25" customHeight="1">
      <c r="B301" s="25" t="s">
        <v>589</v>
      </c>
      <c r="C301" s="25" t="s">
        <v>5537</v>
      </c>
      <c r="D301" s="25" t="s">
        <v>810</v>
      </c>
      <c r="E301" s="25" t="s">
        <v>6227</v>
      </c>
      <c r="F301" s="25" t="s">
        <v>810</v>
      </c>
      <c r="G301" s="25">
        <v>7.80709122E7</v>
      </c>
      <c r="H301" s="25">
        <v>220539.3</v>
      </c>
      <c r="I301" s="26" t="s">
        <v>5441</v>
      </c>
      <c r="J301" s="26" t="s">
        <v>6152</v>
      </c>
      <c r="K301" s="26" t="str">
        <f t="shared" si="1"/>
        <v>ARB/DU </v>
      </c>
      <c r="L301" s="26" t="str">
        <f t="shared" si="2"/>
        <v>Olmesartan/Hydrochlorothiazide </v>
      </c>
      <c r="M301" s="26"/>
    </row>
    <row r="302" ht="17.25" customHeight="1">
      <c r="B302" s="25" t="s">
        <v>589</v>
      </c>
      <c r="C302" s="25" t="s">
        <v>5537</v>
      </c>
      <c r="D302" s="25" t="s">
        <v>730</v>
      </c>
      <c r="E302" s="25" t="s">
        <v>6228</v>
      </c>
      <c r="F302" s="25" t="s">
        <v>730</v>
      </c>
      <c r="G302" s="25">
        <v>2.105987819E7</v>
      </c>
      <c r="H302" s="25">
        <v>50503.31</v>
      </c>
      <c r="I302" s="26" t="s">
        <v>5441</v>
      </c>
      <c r="J302" s="26" t="s">
        <v>6152</v>
      </c>
      <c r="K302" s="26" t="str">
        <f t="shared" si="1"/>
        <v>ARB/DU </v>
      </c>
      <c r="L302" s="26" t="str">
        <f t="shared" si="2"/>
        <v>Olmesartan/Hydrochlorothiazide </v>
      </c>
      <c r="M302" s="26"/>
    </row>
    <row r="303" ht="17.25" customHeight="1">
      <c r="B303" s="25" t="s">
        <v>589</v>
      </c>
      <c r="C303" s="25" t="s">
        <v>5537</v>
      </c>
      <c r="D303" s="25" t="s">
        <v>713</v>
      </c>
      <c r="E303" s="25" t="s">
        <v>6229</v>
      </c>
      <c r="F303" s="25" t="s">
        <v>713</v>
      </c>
      <c r="G303" s="25">
        <v>4.697926587E7</v>
      </c>
      <c r="H303" s="25">
        <v>112660.11</v>
      </c>
      <c r="I303" s="26" t="s">
        <v>5441</v>
      </c>
      <c r="J303" s="26" t="s">
        <v>6152</v>
      </c>
      <c r="K303" s="26" t="str">
        <f t="shared" si="1"/>
        <v>ARB/DU </v>
      </c>
      <c r="L303" s="26" t="str">
        <f t="shared" si="2"/>
        <v>Olmesartan/Hydrochlorothiazide </v>
      </c>
      <c r="M303" s="26"/>
    </row>
    <row r="304" ht="17.25" customHeight="1">
      <c r="B304" s="25" t="s">
        <v>589</v>
      </c>
      <c r="C304" s="25" t="s">
        <v>5537</v>
      </c>
      <c r="D304" s="25" t="s">
        <v>1040</v>
      </c>
      <c r="E304" s="25" t="s">
        <v>6230</v>
      </c>
      <c r="F304" s="25" t="s">
        <v>1040</v>
      </c>
      <c r="G304" s="25">
        <v>7452624.0</v>
      </c>
      <c r="H304" s="25">
        <v>17872.0</v>
      </c>
      <c r="I304" s="26" t="s">
        <v>5441</v>
      </c>
      <c r="J304" s="26" t="s">
        <v>6152</v>
      </c>
      <c r="K304" s="26" t="str">
        <f t="shared" si="1"/>
        <v>ARB/DU </v>
      </c>
      <c r="L304" s="26" t="str">
        <f t="shared" si="2"/>
        <v>Olmesartan/Hydrochlorothiazide </v>
      </c>
      <c r="M304" s="26"/>
    </row>
    <row r="305" ht="17.25" customHeight="1">
      <c r="B305" s="25" t="s">
        <v>589</v>
      </c>
      <c r="C305" s="25" t="s">
        <v>5537</v>
      </c>
      <c r="D305" s="25" t="s">
        <v>876</v>
      </c>
      <c r="E305" s="25" t="s">
        <v>6231</v>
      </c>
      <c r="F305" s="25" t="s">
        <v>876</v>
      </c>
      <c r="G305" s="25">
        <v>7945218.48</v>
      </c>
      <c r="H305" s="25">
        <v>22444.12</v>
      </c>
      <c r="I305" s="26" t="s">
        <v>5441</v>
      </c>
      <c r="J305" s="26" t="s">
        <v>6152</v>
      </c>
      <c r="K305" s="26" t="str">
        <f t="shared" si="1"/>
        <v>ARB/DU </v>
      </c>
      <c r="L305" s="26" t="str">
        <f t="shared" si="2"/>
        <v>Olmesartan/Hydrochlorothiazide </v>
      </c>
      <c r="M305" s="26"/>
    </row>
    <row r="306" ht="17.25" customHeight="1">
      <c r="B306" s="25" t="s">
        <v>589</v>
      </c>
      <c r="C306" s="25" t="s">
        <v>5537</v>
      </c>
      <c r="D306" s="25" t="s">
        <v>886</v>
      </c>
      <c r="E306" s="25" t="s">
        <v>6232</v>
      </c>
      <c r="F306" s="25" t="s">
        <v>886</v>
      </c>
      <c r="G306" s="25">
        <v>1.021659222E7</v>
      </c>
      <c r="H306" s="25">
        <v>28860.43</v>
      </c>
      <c r="I306" s="26" t="s">
        <v>5441</v>
      </c>
      <c r="J306" s="26" t="s">
        <v>6152</v>
      </c>
      <c r="K306" s="26" t="str">
        <f t="shared" si="1"/>
        <v>ARB/DU </v>
      </c>
      <c r="L306" s="26" t="str">
        <f t="shared" si="2"/>
        <v>Olmesartan/Hydrochlorothiazide </v>
      </c>
      <c r="M306" s="26"/>
    </row>
    <row r="307" ht="17.25" customHeight="1">
      <c r="B307" s="25" t="s">
        <v>589</v>
      </c>
      <c r="C307" s="25" t="s">
        <v>5537</v>
      </c>
      <c r="D307" s="25" t="s">
        <v>900</v>
      </c>
      <c r="E307" s="25" t="s">
        <v>6233</v>
      </c>
      <c r="F307" s="25" t="s">
        <v>900</v>
      </c>
      <c r="G307" s="25">
        <v>3152150.52</v>
      </c>
      <c r="H307" s="25">
        <v>8904.38</v>
      </c>
      <c r="I307" s="26" t="s">
        <v>5441</v>
      </c>
      <c r="J307" s="26" t="s">
        <v>6152</v>
      </c>
      <c r="K307" s="26" t="str">
        <f t="shared" si="1"/>
        <v>ARB/DU </v>
      </c>
      <c r="L307" s="26" t="str">
        <f t="shared" si="2"/>
        <v>Olmesartan/Hydrochlorothiazide </v>
      </c>
      <c r="M307" s="26"/>
    </row>
    <row r="308" ht="17.25" customHeight="1">
      <c r="B308" s="25" t="s">
        <v>589</v>
      </c>
      <c r="C308" s="25" t="s">
        <v>5537</v>
      </c>
      <c r="D308" s="25" t="s">
        <v>906</v>
      </c>
      <c r="E308" s="25" t="s">
        <v>6234</v>
      </c>
      <c r="F308" s="25" t="s">
        <v>906</v>
      </c>
      <c r="G308" s="25">
        <v>2.224270854E7</v>
      </c>
      <c r="H308" s="25">
        <v>62832.51</v>
      </c>
      <c r="I308" s="26" t="s">
        <v>5441</v>
      </c>
      <c r="J308" s="26" t="s">
        <v>6152</v>
      </c>
      <c r="K308" s="26" t="str">
        <f t="shared" si="1"/>
        <v>ARB/DU </v>
      </c>
      <c r="L308" s="26" t="str">
        <f t="shared" si="2"/>
        <v>Olmesartan/Hydrochlorothiazide </v>
      </c>
      <c r="M308" s="26"/>
    </row>
    <row r="309" ht="17.25" customHeight="1">
      <c r="B309" s="25" t="s">
        <v>589</v>
      </c>
      <c r="C309" s="25" t="s">
        <v>5537</v>
      </c>
      <c r="D309" s="25" t="s">
        <v>717</v>
      </c>
      <c r="E309" s="25" t="s">
        <v>6235</v>
      </c>
      <c r="F309" s="25" t="s">
        <v>717</v>
      </c>
      <c r="G309" s="25">
        <v>2.231058096E7</v>
      </c>
      <c r="H309" s="25">
        <v>63024.24</v>
      </c>
      <c r="I309" s="26" t="s">
        <v>5441</v>
      </c>
      <c r="J309" s="26" t="s">
        <v>6152</v>
      </c>
      <c r="K309" s="26" t="str">
        <f t="shared" si="1"/>
        <v>ARB/DU </v>
      </c>
      <c r="L309" s="26" t="str">
        <f t="shared" si="2"/>
        <v>Olmesartan/Hydrochlorothiazide </v>
      </c>
      <c r="M309" s="26"/>
    </row>
    <row r="310" ht="17.25" customHeight="1">
      <c r="B310" s="25" t="s">
        <v>589</v>
      </c>
      <c r="C310" s="25" t="s">
        <v>5537</v>
      </c>
      <c r="D310" s="25" t="s">
        <v>935</v>
      </c>
      <c r="E310" s="25" t="s">
        <v>6236</v>
      </c>
      <c r="F310" s="25" t="s">
        <v>935</v>
      </c>
      <c r="G310" s="25">
        <v>4.398610243E7</v>
      </c>
      <c r="H310" s="25">
        <v>105482.27</v>
      </c>
      <c r="I310" s="26" t="s">
        <v>5441</v>
      </c>
      <c r="J310" s="26" t="s">
        <v>6152</v>
      </c>
      <c r="K310" s="26" t="str">
        <f t="shared" si="1"/>
        <v>ARB/DU </v>
      </c>
      <c r="L310" s="26" t="str">
        <f t="shared" si="2"/>
        <v>Olmesartan/Hydrochlorothiazide </v>
      </c>
      <c r="M310" s="26"/>
    </row>
    <row r="311" ht="17.25" customHeight="1">
      <c r="B311" s="25" t="s">
        <v>589</v>
      </c>
      <c r="C311" s="25" t="s">
        <v>5537</v>
      </c>
      <c r="D311" s="25" t="s">
        <v>937</v>
      </c>
      <c r="E311" s="25" t="s">
        <v>6237</v>
      </c>
      <c r="F311" s="25" t="s">
        <v>937</v>
      </c>
      <c r="G311" s="25">
        <v>6335375.16</v>
      </c>
      <c r="H311" s="25">
        <v>17896.54</v>
      </c>
      <c r="I311" s="26" t="s">
        <v>5441</v>
      </c>
      <c r="J311" s="26" t="s">
        <v>6152</v>
      </c>
      <c r="K311" s="26" t="str">
        <f t="shared" si="1"/>
        <v>ARB/DU </v>
      </c>
      <c r="L311" s="26" t="str">
        <f t="shared" si="2"/>
        <v>Olmesartan/Hydrochlorothiazide </v>
      </c>
      <c r="M311" s="26"/>
    </row>
    <row r="312" ht="17.25" customHeight="1">
      <c r="B312" s="25" t="s">
        <v>589</v>
      </c>
      <c r="C312" s="25" t="s">
        <v>5537</v>
      </c>
      <c r="D312" s="25" t="s">
        <v>941</v>
      </c>
      <c r="E312" s="25" t="s">
        <v>6238</v>
      </c>
      <c r="F312" s="25" t="s">
        <v>941</v>
      </c>
      <c r="G312" s="25">
        <v>2.964878254E7</v>
      </c>
      <c r="H312" s="25">
        <v>73570.18</v>
      </c>
      <c r="I312" s="26" t="s">
        <v>5441</v>
      </c>
      <c r="J312" s="26" t="s">
        <v>6152</v>
      </c>
      <c r="K312" s="26" t="str">
        <f t="shared" si="1"/>
        <v>ARB/DU </v>
      </c>
      <c r="L312" s="26" t="str">
        <f t="shared" si="2"/>
        <v>Olmesartan/Hydrochlorothiazide </v>
      </c>
      <c r="M312" s="26"/>
    </row>
    <row r="313" ht="17.25" customHeight="1">
      <c r="B313" s="25" t="s">
        <v>589</v>
      </c>
      <c r="C313" s="25" t="s">
        <v>5543</v>
      </c>
      <c r="D313" s="25" t="s">
        <v>746</v>
      </c>
      <c r="E313" s="25" t="s">
        <v>6239</v>
      </c>
      <c r="F313" s="25" t="s">
        <v>746</v>
      </c>
      <c r="G313" s="25">
        <v>2.1575673758E8</v>
      </c>
      <c r="H313" s="25">
        <v>449829.78</v>
      </c>
      <c r="I313" s="26" t="s">
        <v>5441</v>
      </c>
      <c r="J313" s="26" t="s">
        <v>6152</v>
      </c>
      <c r="K313" s="26" t="str">
        <f t="shared" si="1"/>
        <v>ARB/DU </v>
      </c>
      <c r="L313" s="26" t="str">
        <f t="shared" si="2"/>
        <v>Telmisartan/Hydrochlorothiazide </v>
      </c>
      <c r="M313" s="26"/>
    </row>
    <row r="314" ht="17.25" customHeight="1">
      <c r="B314" s="25" t="s">
        <v>589</v>
      </c>
      <c r="C314" s="25" t="s">
        <v>5543</v>
      </c>
      <c r="D314" s="25" t="s">
        <v>757</v>
      </c>
      <c r="E314" s="25" t="s">
        <v>6240</v>
      </c>
      <c r="F314" s="25" t="s">
        <v>757</v>
      </c>
      <c r="G314" s="25">
        <v>5.318533398E7</v>
      </c>
      <c r="H314" s="25">
        <v>114058.5</v>
      </c>
      <c r="I314" s="26" t="s">
        <v>5441</v>
      </c>
      <c r="J314" s="26" t="s">
        <v>6152</v>
      </c>
      <c r="K314" s="26" t="str">
        <f t="shared" si="1"/>
        <v>ARB/DU </v>
      </c>
      <c r="L314" s="26" t="str">
        <f t="shared" si="2"/>
        <v>Telmisartan/Hydrochlorothiazide </v>
      </c>
      <c r="M314" s="26"/>
    </row>
    <row r="315" ht="17.25" customHeight="1">
      <c r="B315" s="25" t="s">
        <v>589</v>
      </c>
      <c r="C315" s="25" t="s">
        <v>5543</v>
      </c>
      <c r="D315" s="25" t="s">
        <v>761</v>
      </c>
      <c r="E315" s="25" t="s">
        <v>6241</v>
      </c>
      <c r="F315" s="25" t="s">
        <v>761</v>
      </c>
      <c r="G315" s="25">
        <v>1.3765913858E8</v>
      </c>
      <c r="H315" s="25">
        <v>341559.02</v>
      </c>
      <c r="I315" s="26" t="s">
        <v>5441</v>
      </c>
      <c r="J315" s="26" t="s">
        <v>6152</v>
      </c>
      <c r="K315" s="26" t="str">
        <f t="shared" si="1"/>
        <v>ARB/DU </v>
      </c>
      <c r="L315" s="26" t="str">
        <f t="shared" si="2"/>
        <v>Telmisartan/Hydrochlorothiazide </v>
      </c>
      <c r="M315" s="26"/>
    </row>
    <row r="316" ht="17.25" customHeight="1">
      <c r="B316" s="25" t="s">
        <v>589</v>
      </c>
      <c r="C316" s="25" t="s">
        <v>5543</v>
      </c>
      <c r="D316" s="25" t="s">
        <v>772</v>
      </c>
      <c r="E316" s="25" t="s">
        <v>6242</v>
      </c>
      <c r="F316" s="25" t="s">
        <v>772</v>
      </c>
      <c r="G316" s="25">
        <v>2.796353239E7</v>
      </c>
      <c r="H316" s="25">
        <v>73402.29</v>
      </c>
      <c r="I316" s="26" t="s">
        <v>5441</v>
      </c>
      <c r="J316" s="26" t="s">
        <v>6152</v>
      </c>
      <c r="K316" s="26" t="str">
        <f t="shared" si="1"/>
        <v>ARB/DU </v>
      </c>
      <c r="L316" s="26" t="str">
        <f t="shared" si="2"/>
        <v>Telmisartan/Hydrochlorothiazide </v>
      </c>
      <c r="M316" s="26"/>
    </row>
    <row r="317" ht="17.25" customHeight="1">
      <c r="B317" s="25" t="s">
        <v>589</v>
      </c>
      <c r="C317" s="25" t="s">
        <v>5543</v>
      </c>
      <c r="D317" s="25" t="s">
        <v>726</v>
      </c>
      <c r="E317" s="25" t="s">
        <v>6243</v>
      </c>
      <c r="F317" s="25" t="s">
        <v>726</v>
      </c>
      <c r="G317" s="25">
        <v>1.0520977445E8</v>
      </c>
      <c r="H317" s="25">
        <v>263172.25</v>
      </c>
      <c r="I317" s="26" t="s">
        <v>5441</v>
      </c>
      <c r="J317" s="26" t="s">
        <v>6152</v>
      </c>
      <c r="K317" s="26" t="str">
        <f t="shared" si="1"/>
        <v>ARB/DU </v>
      </c>
      <c r="L317" s="26" t="str">
        <f t="shared" si="2"/>
        <v>Telmisartan/Hydrochlorothiazide </v>
      </c>
      <c r="M317" s="26"/>
    </row>
    <row r="318" ht="17.25" customHeight="1">
      <c r="B318" s="25" t="s">
        <v>589</v>
      </c>
      <c r="C318" s="25" t="s">
        <v>5543</v>
      </c>
      <c r="D318" s="25" t="s">
        <v>708</v>
      </c>
      <c r="E318" s="25" t="s">
        <v>6244</v>
      </c>
      <c r="F318" s="25" t="s">
        <v>708</v>
      </c>
      <c r="G318" s="25">
        <v>7.426573881E7</v>
      </c>
      <c r="H318" s="25">
        <v>184293.93</v>
      </c>
      <c r="I318" s="26" t="s">
        <v>5441</v>
      </c>
      <c r="J318" s="26" t="s">
        <v>6152</v>
      </c>
      <c r="K318" s="26" t="str">
        <f t="shared" si="1"/>
        <v>ARB/DU </v>
      </c>
      <c r="L318" s="26" t="str">
        <f t="shared" si="2"/>
        <v>Telmisartan/Hydrochlorothiazide </v>
      </c>
      <c r="M318" s="26"/>
    </row>
    <row r="319" ht="17.25" customHeight="1">
      <c r="B319" s="25" t="s">
        <v>589</v>
      </c>
      <c r="C319" s="25" t="s">
        <v>5543</v>
      </c>
      <c r="D319" s="25" t="s">
        <v>5939</v>
      </c>
      <c r="E319" s="25" t="s">
        <v>6245</v>
      </c>
      <c r="F319" s="25" t="s">
        <v>5939</v>
      </c>
      <c r="G319" s="25">
        <v>5.7374645997E8</v>
      </c>
      <c r="H319" s="25">
        <v>1200601.61</v>
      </c>
      <c r="I319" s="26" t="s">
        <v>5441</v>
      </c>
      <c r="J319" s="26" t="s">
        <v>6152</v>
      </c>
      <c r="K319" s="26" t="str">
        <f t="shared" si="1"/>
        <v>ARB/DU </v>
      </c>
      <c r="L319" s="26" t="str">
        <f t="shared" si="2"/>
        <v>Telmisartan/Hydrochlorothiazide </v>
      </c>
      <c r="M319" s="26"/>
    </row>
    <row r="320" ht="17.25" customHeight="1">
      <c r="B320" s="25" t="s">
        <v>589</v>
      </c>
      <c r="C320" s="25" t="s">
        <v>5543</v>
      </c>
      <c r="D320" s="25" t="s">
        <v>790</v>
      </c>
      <c r="E320" s="25" t="s">
        <v>6246</v>
      </c>
      <c r="F320" s="25" t="s">
        <v>790</v>
      </c>
      <c r="G320" s="25">
        <v>3.556923538E7</v>
      </c>
      <c r="H320" s="25">
        <v>85163.36</v>
      </c>
      <c r="I320" s="26" t="s">
        <v>5441</v>
      </c>
      <c r="J320" s="26" t="s">
        <v>6152</v>
      </c>
      <c r="K320" s="26" t="str">
        <f t="shared" si="1"/>
        <v>ARB/DU </v>
      </c>
      <c r="L320" s="26" t="str">
        <f t="shared" si="2"/>
        <v>Telmisartan/Hydrochlorothiazide </v>
      </c>
      <c r="M320" s="26"/>
    </row>
    <row r="321" ht="17.25" customHeight="1">
      <c r="B321" s="25" t="s">
        <v>589</v>
      </c>
      <c r="C321" s="25" t="s">
        <v>5543</v>
      </c>
      <c r="D321" s="25" t="s">
        <v>798</v>
      </c>
      <c r="E321" s="25" t="s">
        <v>6247</v>
      </c>
      <c r="F321" s="25" t="s">
        <v>798</v>
      </c>
      <c r="G321" s="25">
        <v>4.722318403E7</v>
      </c>
      <c r="H321" s="25">
        <v>102733.93</v>
      </c>
      <c r="I321" s="26" t="s">
        <v>5441</v>
      </c>
      <c r="J321" s="26" t="s">
        <v>6152</v>
      </c>
      <c r="K321" s="26" t="str">
        <f t="shared" si="1"/>
        <v>ARB/DU </v>
      </c>
      <c r="L321" s="26" t="str">
        <f t="shared" si="2"/>
        <v>Telmisartan/Hydrochlorothiazide </v>
      </c>
      <c r="M321" s="26"/>
    </row>
    <row r="322" ht="17.25" customHeight="1">
      <c r="B322" s="25" t="s">
        <v>589</v>
      </c>
      <c r="C322" s="25" t="s">
        <v>5543</v>
      </c>
      <c r="D322" s="25" t="s">
        <v>953</v>
      </c>
      <c r="E322" s="25" t="s">
        <v>6248</v>
      </c>
      <c r="F322" s="25" t="s">
        <v>953</v>
      </c>
      <c r="G322" s="25">
        <v>2.7421081E7</v>
      </c>
      <c r="H322" s="25">
        <v>71265.2</v>
      </c>
      <c r="I322" s="26" t="s">
        <v>5441</v>
      </c>
      <c r="J322" s="26" t="s">
        <v>6152</v>
      </c>
      <c r="K322" s="26" t="str">
        <f t="shared" si="1"/>
        <v>ARB/DU </v>
      </c>
      <c r="L322" s="26" t="str">
        <f t="shared" si="2"/>
        <v>Telmisartan/Hydrochlorothiazide </v>
      </c>
      <c r="M322" s="26"/>
    </row>
    <row r="323" ht="17.25" customHeight="1">
      <c r="B323" s="25" t="s">
        <v>589</v>
      </c>
      <c r="C323" s="25" t="s">
        <v>5543</v>
      </c>
      <c r="D323" s="25" t="s">
        <v>810</v>
      </c>
      <c r="E323" s="25" t="s">
        <v>6249</v>
      </c>
      <c r="F323" s="25" t="s">
        <v>810</v>
      </c>
      <c r="G323" s="25">
        <v>1.1720278826E8</v>
      </c>
      <c r="H323" s="25">
        <v>295162.86</v>
      </c>
      <c r="I323" s="26" t="s">
        <v>5441</v>
      </c>
      <c r="J323" s="26" t="s">
        <v>6152</v>
      </c>
      <c r="K323" s="26" t="str">
        <f t="shared" si="1"/>
        <v>ARB/DU </v>
      </c>
      <c r="L323" s="26" t="str">
        <f t="shared" si="2"/>
        <v>Telmisartan/Hydrochlorothiazide </v>
      </c>
      <c r="M323" s="26"/>
    </row>
    <row r="324" ht="17.25" customHeight="1">
      <c r="B324" s="25" t="s">
        <v>589</v>
      </c>
      <c r="C324" s="25" t="s">
        <v>5543</v>
      </c>
      <c r="D324" s="25" t="s">
        <v>814</v>
      </c>
      <c r="E324" s="25" t="s">
        <v>6250</v>
      </c>
      <c r="F324" s="25" t="s">
        <v>814</v>
      </c>
      <c r="G324" s="25">
        <v>1.337078335E7</v>
      </c>
      <c r="H324" s="25">
        <v>33895.89</v>
      </c>
      <c r="I324" s="26" t="s">
        <v>5441</v>
      </c>
      <c r="J324" s="26" t="s">
        <v>6152</v>
      </c>
      <c r="K324" s="26" t="str">
        <f t="shared" si="1"/>
        <v>ARB/DU </v>
      </c>
      <c r="L324" s="26" t="str">
        <f t="shared" si="2"/>
        <v>Telmisartan/Hydrochlorothiazide </v>
      </c>
      <c r="M324" s="26"/>
    </row>
    <row r="325" ht="17.25" customHeight="1">
      <c r="B325" s="25" t="s">
        <v>589</v>
      </c>
      <c r="C325" s="25" t="s">
        <v>5543</v>
      </c>
      <c r="D325" s="25" t="s">
        <v>816</v>
      </c>
      <c r="E325" s="25" t="s">
        <v>6251</v>
      </c>
      <c r="F325" s="25" t="s">
        <v>816</v>
      </c>
      <c r="G325" s="25">
        <v>9.909175553E7</v>
      </c>
      <c r="H325" s="25">
        <v>251439.65</v>
      </c>
      <c r="I325" s="26" t="s">
        <v>5441</v>
      </c>
      <c r="J325" s="26" t="s">
        <v>6152</v>
      </c>
      <c r="K325" s="26" t="str">
        <f t="shared" si="1"/>
        <v>ARB/DU </v>
      </c>
      <c r="L325" s="26" t="str">
        <f t="shared" si="2"/>
        <v>Telmisartan/Hydrochlorothiazide </v>
      </c>
      <c r="M325" s="26"/>
    </row>
    <row r="326" ht="17.25" customHeight="1">
      <c r="B326" s="25" t="s">
        <v>589</v>
      </c>
      <c r="C326" s="25" t="s">
        <v>5543</v>
      </c>
      <c r="D326" s="25" t="s">
        <v>826</v>
      </c>
      <c r="E326" s="25" t="s">
        <v>6252</v>
      </c>
      <c r="F326" s="25" t="s">
        <v>826</v>
      </c>
      <c r="G326" s="25">
        <v>9.382293427E7</v>
      </c>
      <c r="H326" s="25">
        <v>234275.76</v>
      </c>
      <c r="I326" s="26" t="s">
        <v>5441</v>
      </c>
      <c r="J326" s="26" t="s">
        <v>6152</v>
      </c>
      <c r="K326" s="26" t="str">
        <f t="shared" si="1"/>
        <v>ARB/DU </v>
      </c>
      <c r="L326" s="26" t="str">
        <f t="shared" si="2"/>
        <v>Telmisartan/Hydrochlorothiazide </v>
      </c>
      <c r="M326" s="26"/>
    </row>
    <row r="327" ht="17.25" customHeight="1">
      <c r="B327" s="25" t="s">
        <v>589</v>
      </c>
      <c r="C327" s="25" t="s">
        <v>5543</v>
      </c>
      <c r="D327" s="25" t="s">
        <v>710</v>
      </c>
      <c r="E327" s="25" t="s">
        <v>6253</v>
      </c>
      <c r="F327" s="25" t="s">
        <v>710</v>
      </c>
      <c r="G327" s="25">
        <v>6.704212198E7</v>
      </c>
      <c r="H327" s="25">
        <v>160190.88</v>
      </c>
      <c r="I327" s="26" t="s">
        <v>5441</v>
      </c>
      <c r="J327" s="26" t="s">
        <v>6152</v>
      </c>
      <c r="K327" s="26" t="str">
        <f t="shared" si="1"/>
        <v>ARB/DU </v>
      </c>
      <c r="L327" s="26" t="str">
        <f t="shared" si="2"/>
        <v>Telmisartan/Hydrochlorothiazide </v>
      </c>
      <c r="M327" s="26"/>
    </row>
    <row r="328" ht="17.25" customHeight="1">
      <c r="B328" s="25" t="s">
        <v>589</v>
      </c>
      <c r="C328" s="25" t="s">
        <v>5543</v>
      </c>
      <c r="D328" s="25" t="s">
        <v>1139</v>
      </c>
      <c r="E328" s="25" t="s">
        <v>6254</v>
      </c>
      <c r="F328" s="25" t="s">
        <v>1139</v>
      </c>
      <c r="G328" s="25">
        <v>6.204968352E7</v>
      </c>
      <c r="H328" s="25">
        <v>130928.64</v>
      </c>
      <c r="I328" s="26" t="s">
        <v>5441</v>
      </c>
      <c r="J328" s="26" t="s">
        <v>6152</v>
      </c>
      <c r="K328" s="26" t="str">
        <f t="shared" si="1"/>
        <v>ARB/DU </v>
      </c>
      <c r="L328" s="26" t="str">
        <f t="shared" si="2"/>
        <v>Telmisartan/Hydrochlorothiazide </v>
      </c>
      <c r="M328" s="26"/>
    </row>
    <row r="329" ht="17.25" customHeight="1">
      <c r="B329" s="25" t="s">
        <v>589</v>
      </c>
      <c r="C329" s="25" t="s">
        <v>5543</v>
      </c>
      <c r="D329" s="25" t="s">
        <v>846</v>
      </c>
      <c r="E329" s="25" t="s">
        <v>6255</v>
      </c>
      <c r="F329" s="25" t="s">
        <v>846</v>
      </c>
      <c r="G329" s="25">
        <v>1758132.0</v>
      </c>
      <c r="H329" s="25">
        <v>4816.8</v>
      </c>
      <c r="I329" s="26" t="s">
        <v>5441</v>
      </c>
      <c r="J329" s="26" t="s">
        <v>6152</v>
      </c>
      <c r="K329" s="26" t="str">
        <f t="shared" si="1"/>
        <v>ARB/DU </v>
      </c>
      <c r="L329" s="26" t="str">
        <f t="shared" si="2"/>
        <v>Telmisartan/Hydrochlorothiazide </v>
      </c>
      <c r="M329" s="26"/>
    </row>
    <row r="330" ht="17.25" customHeight="1">
      <c r="B330" s="25" t="s">
        <v>589</v>
      </c>
      <c r="C330" s="25" t="s">
        <v>5543</v>
      </c>
      <c r="D330" s="25" t="s">
        <v>862</v>
      </c>
      <c r="E330" s="25" t="s">
        <v>6256</v>
      </c>
      <c r="F330" s="25" t="s">
        <v>862</v>
      </c>
      <c r="G330" s="25">
        <v>1.3238835519E8</v>
      </c>
      <c r="H330" s="25">
        <v>279989.39</v>
      </c>
      <c r="I330" s="26" t="s">
        <v>5441</v>
      </c>
      <c r="J330" s="26" t="s">
        <v>6152</v>
      </c>
      <c r="K330" s="26" t="str">
        <f t="shared" si="1"/>
        <v>ARB/DU </v>
      </c>
      <c r="L330" s="26" t="str">
        <f t="shared" si="2"/>
        <v>Telmisartan/Hydrochlorothiazide </v>
      </c>
      <c r="M330" s="26"/>
    </row>
    <row r="331" ht="17.25" customHeight="1">
      <c r="B331" s="25" t="s">
        <v>589</v>
      </c>
      <c r="C331" s="25" t="s">
        <v>5543</v>
      </c>
      <c r="D331" s="25" t="s">
        <v>866</v>
      </c>
      <c r="E331" s="25" t="s">
        <v>6257</v>
      </c>
      <c r="F331" s="25" t="s">
        <v>866</v>
      </c>
      <c r="G331" s="25">
        <v>3196507.16</v>
      </c>
      <c r="H331" s="25">
        <v>8109.44</v>
      </c>
      <c r="I331" s="26" t="s">
        <v>5441</v>
      </c>
      <c r="J331" s="26" t="s">
        <v>6152</v>
      </c>
      <c r="K331" s="26" t="str">
        <f t="shared" si="1"/>
        <v>ARB/DU </v>
      </c>
      <c r="L331" s="26" t="str">
        <f t="shared" si="2"/>
        <v>Telmisartan/Hydrochlorothiazide </v>
      </c>
      <c r="M331" s="26"/>
    </row>
    <row r="332" ht="17.25" customHeight="1">
      <c r="B332" s="25" t="s">
        <v>589</v>
      </c>
      <c r="C332" s="25" t="s">
        <v>5543</v>
      </c>
      <c r="D332" s="25" t="s">
        <v>870</v>
      </c>
      <c r="E332" s="25" t="s">
        <v>6258</v>
      </c>
      <c r="F332" s="25" t="s">
        <v>870</v>
      </c>
      <c r="G332" s="25">
        <v>6457707.0</v>
      </c>
      <c r="H332" s="25">
        <v>15793.56</v>
      </c>
      <c r="I332" s="26" t="s">
        <v>5441</v>
      </c>
      <c r="J332" s="26" t="s">
        <v>6152</v>
      </c>
      <c r="K332" s="26" t="str">
        <f t="shared" si="1"/>
        <v>ARB/DU </v>
      </c>
      <c r="L332" s="26" t="str">
        <f t="shared" si="2"/>
        <v>Telmisartan/Hydrochlorothiazide </v>
      </c>
      <c r="M332" s="26"/>
    </row>
    <row r="333" ht="17.25" customHeight="1">
      <c r="B333" s="25" t="s">
        <v>589</v>
      </c>
      <c r="C333" s="25" t="s">
        <v>5543</v>
      </c>
      <c r="D333" s="25" t="s">
        <v>1040</v>
      </c>
      <c r="E333" s="25" t="s">
        <v>6259</v>
      </c>
      <c r="F333" s="25" t="s">
        <v>1040</v>
      </c>
      <c r="G333" s="25">
        <v>7.568680335E7</v>
      </c>
      <c r="H333" s="25">
        <v>157576.53</v>
      </c>
      <c r="I333" s="26" t="s">
        <v>5441</v>
      </c>
      <c r="J333" s="26" t="s">
        <v>6152</v>
      </c>
      <c r="K333" s="26" t="str">
        <f t="shared" si="1"/>
        <v>ARB/DU </v>
      </c>
      <c r="L333" s="26" t="str">
        <f t="shared" si="2"/>
        <v>Telmisartan/Hydrochlorothiazide </v>
      </c>
      <c r="M333" s="26"/>
    </row>
    <row r="334" ht="17.25" customHeight="1">
      <c r="B334" s="25" t="s">
        <v>589</v>
      </c>
      <c r="C334" s="25" t="s">
        <v>5543</v>
      </c>
      <c r="D334" s="25" t="s">
        <v>732</v>
      </c>
      <c r="E334" s="25" t="s">
        <v>6260</v>
      </c>
      <c r="F334" s="25" t="s">
        <v>732</v>
      </c>
      <c r="G334" s="25">
        <v>1.134660904E7</v>
      </c>
      <c r="H334" s="25">
        <v>28627.04</v>
      </c>
      <c r="I334" s="26" t="s">
        <v>5441</v>
      </c>
      <c r="J334" s="26" t="s">
        <v>6152</v>
      </c>
      <c r="K334" s="26" t="str">
        <f t="shared" si="1"/>
        <v>ARB/DU </v>
      </c>
      <c r="L334" s="26" t="str">
        <f t="shared" si="2"/>
        <v>Telmisartan/Hydrochlorothiazide </v>
      </c>
      <c r="M334" s="26"/>
    </row>
    <row r="335" ht="17.25" customHeight="1">
      <c r="B335" s="25" t="s">
        <v>589</v>
      </c>
      <c r="C335" s="25" t="s">
        <v>5543</v>
      </c>
      <c r="D335" s="25" t="s">
        <v>983</v>
      </c>
      <c r="E335" s="25" t="s">
        <v>6261</v>
      </c>
      <c r="F335" s="25" t="s">
        <v>983</v>
      </c>
      <c r="G335" s="25">
        <v>3.01655894E7</v>
      </c>
      <c r="H335" s="25">
        <v>92390.15</v>
      </c>
      <c r="I335" s="26" t="s">
        <v>5441</v>
      </c>
      <c r="J335" s="26" t="s">
        <v>6152</v>
      </c>
      <c r="K335" s="26" t="str">
        <f t="shared" si="1"/>
        <v>ARB/DU </v>
      </c>
      <c r="L335" s="26" t="str">
        <f t="shared" si="2"/>
        <v>Telmisartan/Hydrochlorothiazide </v>
      </c>
      <c r="M335" s="26"/>
    </row>
    <row r="336" ht="17.25" customHeight="1">
      <c r="B336" s="25" t="s">
        <v>589</v>
      </c>
      <c r="C336" s="25" t="s">
        <v>5543</v>
      </c>
      <c r="D336" s="25" t="s">
        <v>734</v>
      </c>
      <c r="E336" s="25" t="s">
        <v>6262</v>
      </c>
      <c r="F336" s="25" t="s">
        <v>734</v>
      </c>
      <c r="G336" s="25">
        <v>1087081.4</v>
      </c>
      <c r="H336" s="25">
        <v>2232.2</v>
      </c>
      <c r="I336" s="26" t="s">
        <v>5441</v>
      </c>
      <c r="J336" s="26" t="s">
        <v>6152</v>
      </c>
      <c r="K336" s="26" t="str">
        <f t="shared" si="1"/>
        <v>ARB/DU </v>
      </c>
      <c r="L336" s="26" t="str">
        <f t="shared" si="2"/>
        <v>Telmisartan/Hydrochlorothiazide </v>
      </c>
      <c r="M336" s="26"/>
    </row>
    <row r="337" ht="17.25" customHeight="1">
      <c r="B337" s="25" t="s">
        <v>589</v>
      </c>
      <c r="C337" s="25" t="s">
        <v>5543</v>
      </c>
      <c r="D337" s="25" t="s">
        <v>999</v>
      </c>
      <c r="E337" s="25" t="s">
        <v>6263</v>
      </c>
      <c r="F337" s="25" t="s">
        <v>999</v>
      </c>
      <c r="G337" s="25">
        <v>1.0600828269E8</v>
      </c>
      <c r="H337" s="25">
        <v>220859.05</v>
      </c>
      <c r="I337" s="26" t="s">
        <v>5441</v>
      </c>
      <c r="J337" s="26" t="s">
        <v>6152</v>
      </c>
      <c r="K337" s="26" t="str">
        <f t="shared" si="1"/>
        <v>ARB/DU </v>
      </c>
      <c r="L337" s="26" t="str">
        <f t="shared" si="2"/>
        <v>Telmisartan/Hydrochlorothiazide </v>
      </c>
      <c r="M337" s="26"/>
    </row>
    <row r="338" ht="17.25" customHeight="1">
      <c r="B338" s="25" t="s">
        <v>589</v>
      </c>
      <c r="C338" s="25" t="s">
        <v>5543</v>
      </c>
      <c r="D338" s="25" t="s">
        <v>876</v>
      </c>
      <c r="E338" s="25" t="s">
        <v>6264</v>
      </c>
      <c r="F338" s="25" t="s">
        <v>876</v>
      </c>
      <c r="G338" s="25">
        <v>2.0680899063E8</v>
      </c>
      <c r="H338" s="25">
        <v>457366.8</v>
      </c>
      <c r="I338" s="26" t="s">
        <v>5441</v>
      </c>
      <c r="J338" s="26" t="s">
        <v>6152</v>
      </c>
      <c r="K338" s="26" t="str">
        <f t="shared" si="1"/>
        <v>ARB/DU </v>
      </c>
      <c r="L338" s="26" t="str">
        <f t="shared" si="2"/>
        <v>Telmisartan/Hydrochlorothiazide </v>
      </c>
      <c r="M338" s="26"/>
    </row>
    <row r="339" ht="17.25" customHeight="1">
      <c r="B339" s="25" t="s">
        <v>589</v>
      </c>
      <c r="C339" s="25" t="s">
        <v>5543</v>
      </c>
      <c r="D339" s="25" t="s">
        <v>880</v>
      </c>
      <c r="E339" s="25" t="s">
        <v>6265</v>
      </c>
      <c r="F339" s="25" t="s">
        <v>880</v>
      </c>
      <c r="G339" s="25">
        <v>4.0074067687E8</v>
      </c>
      <c r="H339" s="25">
        <v>843717.5</v>
      </c>
      <c r="I339" s="26" t="s">
        <v>5441</v>
      </c>
      <c r="J339" s="26" t="s">
        <v>6152</v>
      </c>
      <c r="K339" s="26" t="str">
        <f t="shared" si="1"/>
        <v>ARB/DU </v>
      </c>
      <c r="L339" s="26" t="str">
        <f t="shared" si="2"/>
        <v>Telmisartan/Hydrochlorothiazide </v>
      </c>
      <c r="M339" s="26"/>
    </row>
    <row r="340" ht="17.25" customHeight="1">
      <c r="B340" s="25" t="s">
        <v>589</v>
      </c>
      <c r="C340" s="25" t="s">
        <v>5543</v>
      </c>
      <c r="D340" s="25" t="s">
        <v>900</v>
      </c>
      <c r="E340" s="25" t="s">
        <v>6266</v>
      </c>
      <c r="F340" s="25" t="s">
        <v>900</v>
      </c>
      <c r="G340" s="25">
        <v>2.013331675E7</v>
      </c>
      <c r="H340" s="25">
        <v>50987.89</v>
      </c>
      <c r="I340" s="26" t="s">
        <v>5441</v>
      </c>
      <c r="J340" s="26" t="s">
        <v>6152</v>
      </c>
      <c r="K340" s="26" t="str">
        <f t="shared" si="1"/>
        <v>ARB/DU </v>
      </c>
      <c r="L340" s="26" t="str">
        <f t="shared" si="2"/>
        <v>Telmisartan/Hydrochlorothiazide </v>
      </c>
      <c r="M340" s="26"/>
    </row>
    <row r="341" ht="17.25" customHeight="1">
      <c r="B341" s="25" t="s">
        <v>589</v>
      </c>
      <c r="C341" s="25" t="s">
        <v>5543</v>
      </c>
      <c r="D341" s="25" t="s">
        <v>904</v>
      </c>
      <c r="E341" s="25" t="s">
        <v>6267</v>
      </c>
      <c r="F341" s="25" t="s">
        <v>904</v>
      </c>
      <c r="G341" s="25">
        <v>1.527979889E7</v>
      </c>
      <c r="H341" s="25">
        <v>37823.27</v>
      </c>
      <c r="I341" s="26" t="s">
        <v>5441</v>
      </c>
      <c r="J341" s="26" t="s">
        <v>6152</v>
      </c>
      <c r="K341" s="26" t="str">
        <f t="shared" si="1"/>
        <v>ARB/DU </v>
      </c>
      <c r="L341" s="26" t="str">
        <f t="shared" si="2"/>
        <v>Telmisartan/Hydrochlorothiazide </v>
      </c>
      <c r="M341" s="26"/>
    </row>
    <row r="342" ht="17.25" customHeight="1">
      <c r="B342" s="25" t="s">
        <v>589</v>
      </c>
      <c r="C342" s="25" t="s">
        <v>5543</v>
      </c>
      <c r="D342" s="25" t="s">
        <v>906</v>
      </c>
      <c r="E342" s="25" t="s">
        <v>6268</v>
      </c>
      <c r="F342" s="25" t="s">
        <v>906</v>
      </c>
      <c r="G342" s="25">
        <v>3.078654887E7</v>
      </c>
      <c r="H342" s="25">
        <v>76229.11</v>
      </c>
      <c r="I342" s="26" t="s">
        <v>5441</v>
      </c>
      <c r="J342" s="26" t="s">
        <v>6152</v>
      </c>
      <c r="K342" s="26" t="str">
        <f t="shared" si="1"/>
        <v>ARB/DU </v>
      </c>
      <c r="L342" s="26" t="str">
        <f t="shared" si="2"/>
        <v>Telmisartan/Hydrochlorothiazide </v>
      </c>
      <c r="M342" s="26"/>
    </row>
    <row r="343" ht="17.25" customHeight="1">
      <c r="B343" s="25" t="s">
        <v>589</v>
      </c>
      <c r="C343" s="25" t="s">
        <v>5543</v>
      </c>
      <c r="D343" s="25" t="s">
        <v>717</v>
      </c>
      <c r="E343" s="25" t="s">
        <v>6269</v>
      </c>
      <c r="F343" s="25" t="s">
        <v>717</v>
      </c>
      <c r="G343" s="25">
        <v>1.165353844E8</v>
      </c>
      <c r="H343" s="25">
        <v>294029.9</v>
      </c>
      <c r="I343" s="26" t="s">
        <v>5441</v>
      </c>
      <c r="J343" s="26" t="s">
        <v>6152</v>
      </c>
      <c r="K343" s="26" t="str">
        <f t="shared" si="1"/>
        <v>ARB/DU </v>
      </c>
      <c r="L343" s="26" t="str">
        <f t="shared" si="2"/>
        <v>Telmisartan/Hydrochlorothiazide </v>
      </c>
      <c r="M343" s="26"/>
    </row>
    <row r="344" ht="17.25" customHeight="1">
      <c r="B344" s="25" t="s">
        <v>589</v>
      </c>
      <c r="C344" s="25" t="s">
        <v>5543</v>
      </c>
      <c r="D344" s="25" t="s">
        <v>968</v>
      </c>
      <c r="E344" s="25" t="s">
        <v>6270</v>
      </c>
      <c r="F344" s="25" t="s">
        <v>968</v>
      </c>
      <c r="G344" s="25">
        <v>2.176743399E7</v>
      </c>
      <c r="H344" s="25">
        <v>55097.04</v>
      </c>
      <c r="I344" s="26" t="s">
        <v>5441</v>
      </c>
      <c r="J344" s="26" t="s">
        <v>6152</v>
      </c>
      <c r="K344" s="26" t="str">
        <f t="shared" si="1"/>
        <v>ARB/DU </v>
      </c>
      <c r="L344" s="26" t="str">
        <f t="shared" si="2"/>
        <v>Telmisartan/Hydrochlorothiazide </v>
      </c>
      <c r="M344" s="26"/>
    </row>
    <row r="345" ht="17.25" customHeight="1">
      <c r="B345" s="25" t="s">
        <v>589</v>
      </c>
      <c r="C345" s="25" t="s">
        <v>5543</v>
      </c>
      <c r="D345" s="25" t="s">
        <v>921</v>
      </c>
      <c r="E345" s="25" t="s">
        <v>6271</v>
      </c>
      <c r="F345" s="25" t="s">
        <v>921</v>
      </c>
      <c r="G345" s="25">
        <v>1744900.75</v>
      </c>
      <c r="H345" s="25">
        <v>4780.55</v>
      </c>
      <c r="I345" s="26" t="s">
        <v>5441</v>
      </c>
      <c r="J345" s="26" t="s">
        <v>6152</v>
      </c>
      <c r="K345" s="26" t="str">
        <f t="shared" si="1"/>
        <v>ARB/DU </v>
      </c>
      <c r="L345" s="26" t="str">
        <f t="shared" si="2"/>
        <v>Telmisartan/Hydrochlorothiazide </v>
      </c>
      <c r="M345" s="26"/>
    </row>
    <row r="346" ht="17.25" customHeight="1">
      <c r="B346" s="25" t="s">
        <v>589</v>
      </c>
      <c r="C346" s="25" t="s">
        <v>5543</v>
      </c>
      <c r="D346" s="25" t="s">
        <v>923</v>
      </c>
      <c r="E346" s="25" t="s">
        <v>6272</v>
      </c>
      <c r="F346" s="25" t="s">
        <v>923</v>
      </c>
      <c r="G346" s="25">
        <v>9970044.81</v>
      </c>
      <c r="H346" s="25">
        <v>24217.15</v>
      </c>
      <c r="I346" s="26" t="s">
        <v>5441</v>
      </c>
      <c r="J346" s="26" t="s">
        <v>6152</v>
      </c>
      <c r="K346" s="26" t="str">
        <f t="shared" si="1"/>
        <v>ARB/DU </v>
      </c>
      <c r="L346" s="26" t="str">
        <f t="shared" si="2"/>
        <v>Telmisartan/Hydrochlorothiazide </v>
      </c>
      <c r="M346" s="26"/>
    </row>
    <row r="347" ht="17.25" customHeight="1">
      <c r="B347" s="25" t="s">
        <v>589</v>
      </c>
      <c r="C347" s="25" t="s">
        <v>5543</v>
      </c>
      <c r="D347" s="25" t="s">
        <v>937</v>
      </c>
      <c r="E347" s="25" t="s">
        <v>6273</v>
      </c>
      <c r="F347" s="25" t="s">
        <v>937</v>
      </c>
      <c r="G347" s="25">
        <v>778326.0</v>
      </c>
      <c r="H347" s="25">
        <v>2132.4</v>
      </c>
      <c r="I347" s="26" t="s">
        <v>5441</v>
      </c>
      <c r="J347" s="26" t="s">
        <v>6152</v>
      </c>
      <c r="K347" s="26" t="str">
        <f t="shared" si="1"/>
        <v>ARB/DU </v>
      </c>
      <c r="L347" s="26" t="str">
        <f t="shared" si="2"/>
        <v>Telmisartan/Hydrochlorothiazide </v>
      </c>
      <c r="M347" s="26"/>
    </row>
    <row r="348" ht="17.25" customHeight="1">
      <c r="B348" s="25" t="s">
        <v>589</v>
      </c>
      <c r="C348" s="25" t="s">
        <v>5543</v>
      </c>
      <c r="D348" s="25" t="s">
        <v>736</v>
      </c>
      <c r="E348" s="25" t="s">
        <v>6274</v>
      </c>
      <c r="F348" s="25" t="s">
        <v>736</v>
      </c>
      <c r="G348" s="25">
        <v>3.641444492E7</v>
      </c>
      <c r="H348" s="25">
        <v>88906.68</v>
      </c>
      <c r="I348" s="26" t="s">
        <v>5441</v>
      </c>
      <c r="J348" s="26" t="s">
        <v>6152</v>
      </c>
      <c r="K348" s="26" t="str">
        <f t="shared" si="1"/>
        <v>ARB/DU </v>
      </c>
      <c r="L348" s="26" t="str">
        <f t="shared" si="2"/>
        <v>Telmisartan/Hydrochlorothiazide </v>
      </c>
      <c r="M348" s="26"/>
    </row>
    <row r="349" ht="17.25" customHeight="1">
      <c r="B349" s="25" t="s">
        <v>589</v>
      </c>
      <c r="C349" s="25" t="s">
        <v>5548</v>
      </c>
      <c r="D349" s="25" t="s">
        <v>695</v>
      </c>
      <c r="E349" s="25" t="s">
        <v>6275</v>
      </c>
      <c r="F349" s="25" t="s">
        <v>695</v>
      </c>
      <c r="G349" s="25">
        <v>2.5562897608E8</v>
      </c>
      <c r="H349" s="25">
        <v>424103.4</v>
      </c>
      <c r="I349" s="26" t="s">
        <v>5441</v>
      </c>
      <c r="J349" s="26" t="s">
        <v>6152</v>
      </c>
      <c r="K349" s="26" t="str">
        <f t="shared" si="1"/>
        <v>ARB/DU </v>
      </c>
      <c r="L349" s="26" t="str">
        <f t="shared" si="2"/>
        <v>Valsartan/Hydrochlorothiazide </v>
      </c>
      <c r="M349" s="26"/>
    </row>
    <row r="350" ht="17.25" customHeight="1">
      <c r="B350" s="25" t="s">
        <v>589</v>
      </c>
      <c r="C350" s="25" t="s">
        <v>5548</v>
      </c>
      <c r="D350" s="25" t="s">
        <v>746</v>
      </c>
      <c r="E350" s="25" t="s">
        <v>6276</v>
      </c>
      <c r="F350" s="25" t="s">
        <v>746</v>
      </c>
      <c r="G350" s="25">
        <v>2.141930576E7</v>
      </c>
      <c r="H350" s="25">
        <v>30338.96</v>
      </c>
      <c r="I350" s="26" t="s">
        <v>5441</v>
      </c>
      <c r="J350" s="26" t="s">
        <v>6152</v>
      </c>
      <c r="K350" s="26" t="str">
        <f t="shared" si="1"/>
        <v>ARB/DU </v>
      </c>
      <c r="L350" s="26" t="str">
        <f t="shared" si="2"/>
        <v>Valsartan/Hydrochlorothiazide </v>
      </c>
      <c r="M350" s="26"/>
    </row>
    <row r="351" ht="17.25" customHeight="1">
      <c r="B351" s="25" t="s">
        <v>589</v>
      </c>
      <c r="C351" s="25" t="s">
        <v>5548</v>
      </c>
      <c r="D351" s="25" t="s">
        <v>705</v>
      </c>
      <c r="E351" s="25" t="s">
        <v>6277</v>
      </c>
      <c r="F351" s="25" t="s">
        <v>705</v>
      </c>
      <c r="G351" s="25">
        <v>1.1941108988E8</v>
      </c>
      <c r="H351" s="25">
        <v>199279.03</v>
      </c>
      <c r="I351" s="26" t="s">
        <v>5441</v>
      </c>
      <c r="J351" s="26" t="s">
        <v>6152</v>
      </c>
      <c r="K351" s="26" t="str">
        <f t="shared" si="1"/>
        <v>ARB/DU </v>
      </c>
      <c r="L351" s="26" t="str">
        <f t="shared" si="2"/>
        <v>Valsartan/Hydrochlorothiazide </v>
      </c>
      <c r="M351" s="26"/>
    </row>
    <row r="352" ht="17.25" customHeight="1">
      <c r="B352" s="25" t="s">
        <v>589</v>
      </c>
      <c r="C352" s="25" t="s">
        <v>5548</v>
      </c>
      <c r="D352" s="25" t="s">
        <v>6073</v>
      </c>
      <c r="E352" s="25" t="s">
        <v>6278</v>
      </c>
      <c r="F352" s="25" t="s">
        <v>6073</v>
      </c>
      <c r="G352" s="25">
        <v>8.7236222322E8</v>
      </c>
      <c r="H352" s="25">
        <v>1315352.2</v>
      </c>
      <c r="I352" s="26" t="s">
        <v>5441</v>
      </c>
      <c r="J352" s="26" t="s">
        <v>6152</v>
      </c>
      <c r="K352" s="26" t="str">
        <f t="shared" si="1"/>
        <v>ARB/DU </v>
      </c>
      <c r="L352" s="26" t="str">
        <f t="shared" si="2"/>
        <v>Valsartan/Hydrochlorothiazide </v>
      </c>
      <c r="M352" s="26"/>
    </row>
    <row r="353" ht="17.25" customHeight="1">
      <c r="B353" s="25" t="s">
        <v>589</v>
      </c>
      <c r="C353" s="25" t="s">
        <v>5548</v>
      </c>
      <c r="D353" s="25" t="s">
        <v>761</v>
      </c>
      <c r="E353" s="25" t="s">
        <v>6279</v>
      </c>
      <c r="F353" s="25" t="s">
        <v>761</v>
      </c>
      <c r="G353" s="25">
        <v>1.5564027072E8</v>
      </c>
      <c r="H353" s="25">
        <v>294532.64</v>
      </c>
      <c r="I353" s="26" t="s">
        <v>5441</v>
      </c>
      <c r="J353" s="26" t="s">
        <v>6152</v>
      </c>
      <c r="K353" s="26" t="str">
        <f t="shared" si="1"/>
        <v>ARB/DU </v>
      </c>
      <c r="L353" s="26" t="str">
        <f t="shared" si="2"/>
        <v>Valsartan/Hydrochlorothiazide </v>
      </c>
      <c r="M353" s="26"/>
    </row>
    <row r="354" ht="17.25" customHeight="1">
      <c r="B354" s="25" t="s">
        <v>589</v>
      </c>
      <c r="C354" s="25" t="s">
        <v>5548</v>
      </c>
      <c r="D354" s="25" t="s">
        <v>765</v>
      </c>
      <c r="E354" s="25" t="s">
        <v>6280</v>
      </c>
      <c r="F354" s="25" t="s">
        <v>765</v>
      </c>
      <c r="G354" s="25">
        <v>5.174823174E7</v>
      </c>
      <c r="H354" s="25">
        <v>92381.75</v>
      </c>
      <c r="I354" s="26" t="s">
        <v>5441</v>
      </c>
      <c r="J354" s="26" t="s">
        <v>6152</v>
      </c>
      <c r="K354" s="26" t="str">
        <f t="shared" si="1"/>
        <v>ARB/DU </v>
      </c>
      <c r="L354" s="26" t="str">
        <f t="shared" si="2"/>
        <v>Valsartan/Hydrochlorothiazide </v>
      </c>
      <c r="M354" s="26"/>
    </row>
    <row r="355" ht="17.25" customHeight="1">
      <c r="B355" s="25" t="s">
        <v>589</v>
      </c>
      <c r="C355" s="25" t="s">
        <v>5548</v>
      </c>
      <c r="D355" s="25" t="s">
        <v>768</v>
      </c>
      <c r="E355" s="25" t="s">
        <v>6281</v>
      </c>
      <c r="F355" s="25" t="s">
        <v>768</v>
      </c>
      <c r="G355" s="25">
        <v>1.5828255168E8</v>
      </c>
      <c r="H355" s="25">
        <v>277596.45</v>
      </c>
      <c r="I355" s="26" t="s">
        <v>5441</v>
      </c>
      <c r="J355" s="26" t="s">
        <v>6152</v>
      </c>
      <c r="K355" s="26" t="str">
        <f t="shared" si="1"/>
        <v>ARB/DU </v>
      </c>
      <c r="L355" s="26" t="str">
        <f t="shared" si="2"/>
        <v>Valsartan/Hydrochlorothiazide </v>
      </c>
      <c r="M355" s="26"/>
    </row>
    <row r="356" ht="17.25" customHeight="1">
      <c r="B356" s="25" t="s">
        <v>589</v>
      </c>
      <c r="C356" s="25" t="s">
        <v>5548</v>
      </c>
      <c r="D356" s="25" t="s">
        <v>726</v>
      </c>
      <c r="E356" s="25" t="s">
        <v>6282</v>
      </c>
      <c r="F356" s="25" t="s">
        <v>726</v>
      </c>
      <c r="G356" s="25">
        <v>9.666859998E7</v>
      </c>
      <c r="H356" s="25">
        <v>148380.1</v>
      </c>
      <c r="I356" s="26" t="s">
        <v>5441</v>
      </c>
      <c r="J356" s="26" t="s">
        <v>6152</v>
      </c>
      <c r="K356" s="26" t="str">
        <f t="shared" si="1"/>
        <v>ARB/DU </v>
      </c>
      <c r="L356" s="26" t="str">
        <f t="shared" si="2"/>
        <v>Valsartan/Hydrochlorothiazide </v>
      </c>
      <c r="M356" s="26"/>
    </row>
    <row r="357" ht="17.25" customHeight="1">
      <c r="B357" s="25" t="s">
        <v>589</v>
      </c>
      <c r="C357" s="25" t="s">
        <v>5548</v>
      </c>
      <c r="D357" s="25" t="s">
        <v>776</v>
      </c>
      <c r="E357" s="25" t="s">
        <v>6283</v>
      </c>
      <c r="F357" s="25" t="s">
        <v>776</v>
      </c>
      <c r="G357" s="25">
        <v>5.405169789E7</v>
      </c>
      <c r="H357" s="25">
        <v>99653.21</v>
      </c>
      <c r="I357" s="26" t="s">
        <v>5441</v>
      </c>
      <c r="J357" s="26" t="s">
        <v>6152</v>
      </c>
      <c r="K357" s="26" t="str">
        <f t="shared" si="1"/>
        <v>ARB/DU </v>
      </c>
      <c r="L357" s="26" t="str">
        <f t="shared" si="2"/>
        <v>Valsartan/Hydrochlorothiazide </v>
      </c>
      <c r="M357" s="26"/>
    </row>
    <row r="358" ht="17.25" customHeight="1">
      <c r="B358" s="25" t="s">
        <v>589</v>
      </c>
      <c r="C358" s="25" t="s">
        <v>5548</v>
      </c>
      <c r="D358" s="25" t="s">
        <v>1061</v>
      </c>
      <c r="E358" s="25" t="s">
        <v>6284</v>
      </c>
      <c r="F358" s="25" t="s">
        <v>1061</v>
      </c>
      <c r="G358" s="25">
        <v>3037393.64</v>
      </c>
      <c r="H358" s="25">
        <v>6354.38</v>
      </c>
      <c r="I358" s="26" t="s">
        <v>5441</v>
      </c>
      <c r="J358" s="26" t="s">
        <v>6152</v>
      </c>
      <c r="K358" s="26" t="str">
        <f t="shared" si="1"/>
        <v>ARB/DU </v>
      </c>
      <c r="L358" s="26" t="str">
        <f t="shared" si="2"/>
        <v>Valsartan/Hydrochlorothiazide </v>
      </c>
      <c r="M358" s="26"/>
    </row>
    <row r="359" ht="17.25" customHeight="1">
      <c r="B359" s="25" t="s">
        <v>589</v>
      </c>
      <c r="C359" s="25" t="s">
        <v>5548</v>
      </c>
      <c r="D359" s="25" t="s">
        <v>708</v>
      </c>
      <c r="E359" s="25" t="s">
        <v>6285</v>
      </c>
      <c r="F359" s="25" t="s">
        <v>708</v>
      </c>
      <c r="G359" s="25">
        <v>5.789155981E7</v>
      </c>
      <c r="H359" s="25">
        <v>100664.35</v>
      </c>
      <c r="I359" s="26" t="s">
        <v>5441</v>
      </c>
      <c r="J359" s="26" t="s">
        <v>6152</v>
      </c>
      <c r="K359" s="26" t="str">
        <f t="shared" si="1"/>
        <v>ARB/DU </v>
      </c>
      <c r="L359" s="26" t="str">
        <f t="shared" si="2"/>
        <v>Valsartan/Hydrochlorothiazide </v>
      </c>
      <c r="M359" s="26"/>
    </row>
    <row r="360" ht="17.25" customHeight="1">
      <c r="B360" s="25" t="s">
        <v>589</v>
      </c>
      <c r="C360" s="25" t="s">
        <v>5548</v>
      </c>
      <c r="D360" s="25" t="s">
        <v>790</v>
      </c>
      <c r="E360" s="25" t="s">
        <v>6286</v>
      </c>
      <c r="F360" s="25" t="s">
        <v>790</v>
      </c>
      <c r="G360" s="25">
        <v>5.701960957E7</v>
      </c>
      <c r="H360" s="25">
        <v>105149.67</v>
      </c>
      <c r="I360" s="26" t="s">
        <v>5441</v>
      </c>
      <c r="J360" s="26" t="s">
        <v>6152</v>
      </c>
      <c r="K360" s="26" t="str">
        <f t="shared" si="1"/>
        <v>ARB/DU </v>
      </c>
      <c r="L360" s="26" t="str">
        <f t="shared" si="2"/>
        <v>Valsartan/Hydrochlorothiazide </v>
      </c>
      <c r="M360" s="26"/>
    </row>
    <row r="361" ht="17.25" customHeight="1">
      <c r="B361" s="25" t="s">
        <v>589</v>
      </c>
      <c r="C361" s="25" t="s">
        <v>5548</v>
      </c>
      <c r="D361" s="25" t="s">
        <v>796</v>
      </c>
      <c r="E361" s="25" t="s">
        <v>6287</v>
      </c>
      <c r="F361" s="25" t="s">
        <v>796</v>
      </c>
      <c r="G361" s="25">
        <v>2.211244728E7</v>
      </c>
      <c r="H361" s="25">
        <v>47862.44</v>
      </c>
      <c r="I361" s="26" t="s">
        <v>5441</v>
      </c>
      <c r="J361" s="26" t="s">
        <v>6152</v>
      </c>
      <c r="K361" s="26" t="str">
        <f t="shared" si="1"/>
        <v>ARB/DU </v>
      </c>
      <c r="L361" s="26" t="str">
        <f t="shared" si="2"/>
        <v>Valsartan/Hydrochlorothiazide </v>
      </c>
      <c r="M361" s="26"/>
    </row>
    <row r="362" ht="17.25" customHeight="1">
      <c r="B362" s="25" t="s">
        <v>589</v>
      </c>
      <c r="C362" s="25" t="s">
        <v>5548</v>
      </c>
      <c r="D362" s="25" t="s">
        <v>800</v>
      </c>
      <c r="E362" s="25" t="s">
        <v>6288</v>
      </c>
      <c r="F362" s="25" t="s">
        <v>800</v>
      </c>
      <c r="G362" s="25">
        <v>9.165075192E7</v>
      </c>
      <c r="H362" s="25">
        <v>186074.6</v>
      </c>
      <c r="I362" s="26" t="s">
        <v>5441</v>
      </c>
      <c r="J362" s="26" t="s">
        <v>6152</v>
      </c>
      <c r="K362" s="26" t="str">
        <f t="shared" si="1"/>
        <v>ARB/DU </v>
      </c>
      <c r="L362" s="26" t="str">
        <f t="shared" si="2"/>
        <v>Valsartan/Hydrochlorothiazide </v>
      </c>
      <c r="M362" s="26"/>
    </row>
    <row r="363" ht="17.25" customHeight="1">
      <c r="B363" s="25" t="s">
        <v>589</v>
      </c>
      <c r="C363" s="25" t="s">
        <v>5548</v>
      </c>
      <c r="D363" s="25" t="s">
        <v>804</v>
      </c>
      <c r="E363" s="25" t="s">
        <v>6289</v>
      </c>
      <c r="F363" s="25" t="s">
        <v>804</v>
      </c>
      <c r="G363" s="25">
        <v>3.477673854E7</v>
      </c>
      <c r="H363" s="25">
        <v>61218.67</v>
      </c>
      <c r="I363" s="26" t="s">
        <v>5441</v>
      </c>
      <c r="J363" s="26" t="s">
        <v>6152</v>
      </c>
      <c r="K363" s="26" t="str">
        <f t="shared" si="1"/>
        <v>ARB/DU </v>
      </c>
      <c r="L363" s="26" t="str">
        <f t="shared" si="2"/>
        <v>Valsartan/Hydrochlorothiazide </v>
      </c>
      <c r="M363" s="26"/>
    </row>
    <row r="364" ht="17.25" customHeight="1">
      <c r="B364" s="25" t="s">
        <v>589</v>
      </c>
      <c r="C364" s="25" t="s">
        <v>5548</v>
      </c>
      <c r="D364" s="25" t="s">
        <v>814</v>
      </c>
      <c r="E364" s="25" t="s">
        <v>6290</v>
      </c>
      <c r="F364" s="25" t="s">
        <v>814</v>
      </c>
      <c r="G364" s="25">
        <v>1.411299522E7</v>
      </c>
      <c r="H364" s="25">
        <v>26428.83</v>
      </c>
      <c r="I364" s="26" t="s">
        <v>5441</v>
      </c>
      <c r="J364" s="26" t="s">
        <v>6152</v>
      </c>
      <c r="K364" s="26" t="str">
        <f t="shared" si="1"/>
        <v>ARB/DU </v>
      </c>
      <c r="L364" s="26" t="str">
        <f t="shared" si="2"/>
        <v>Valsartan/Hydrochlorothiazide </v>
      </c>
      <c r="M364" s="26"/>
    </row>
    <row r="365" ht="17.25" customHeight="1">
      <c r="B365" s="25" t="s">
        <v>589</v>
      </c>
      <c r="C365" s="25" t="s">
        <v>5548</v>
      </c>
      <c r="D365" s="25" t="s">
        <v>818</v>
      </c>
      <c r="E365" s="25" t="s">
        <v>6291</v>
      </c>
      <c r="F365" s="25" t="s">
        <v>818</v>
      </c>
      <c r="G365" s="25">
        <v>4.506914063E7</v>
      </c>
      <c r="H365" s="25">
        <v>85534.59</v>
      </c>
      <c r="I365" s="26" t="s">
        <v>5441</v>
      </c>
      <c r="J365" s="26" t="s">
        <v>6152</v>
      </c>
      <c r="K365" s="26" t="str">
        <f t="shared" si="1"/>
        <v>ARB/DU </v>
      </c>
      <c r="L365" s="26" t="str">
        <f t="shared" si="2"/>
        <v>Valsartan/Hydrochlorothiazide </v>
      </c>
      <c r="M365" s="26"/>
    </row>
    <row r="366" ht="17.25" customHeight="1">
      <c r="B366" s="25" t="s">
        <v>589</v>
      </c>
      <c r="C366" s="25" t="s">
        <v>5548</v>
      </c>
      <c r="D366" s="25" t="s">
        <v>826</v>
      </c>
      <c r="E366" s="25" t="s">
        <v>6292</v>
      </c>
      <c r="F366" s="25" t="s">
        <v>826</v>
      </c>
      <c r="G366" s="25">
        <v>5.731987728E7</v>
      </c>
      <c r="H366" s="25">
        <v>113368.28</v>
      </c>
      <c r="I366" s="26" t="s">
        <v>5441</v>
      </c>
      <c r="J366" s="26" t="s">
        <v>6152</v>
      </c>
      <c r="K366" s="26" t="str">
        <f t="shared" si="1"/>
        <v>ARB/DU </v>
      </c>
      <c r="L366" s="26" t="str">
        <f t="shared" si="2"/>
        <v>Valsartan/Hydrochlorothiazide </v>
      </c>
      <c r="M366" s="26"/>
    </row>
    <row r="367" ht="17.25" customHeight="1">
      <c r="B367" s="25" t="s">
        <v>589</v>
      </c>
      <c r="C367" s="25" t="s">
        <v>5548</v>
      </c>
      <c r="D367" s="25" t="s">
        <v>830</v>
      </c>
      <c r="E367" s="25" t="s">
        <v>6293</v>
      </c>
      <c r="F367" s="25" t="s">
        <v>830</v>
      </c>
      <c r="G367" s="25">
        <v>1.418559079E8</v>
      </c>
      <c r="H367" s="25">
        <v>240174.62</v>
      </c>
      <c r="I367" s="26" t="s">
        <v>5441</v>
      </c>
      <c r="J367" s="26" t="s">
        <v>6152</v>
      </c>
      <c r="K367" s="26" t="str">
        <f t="shared" si="1"/>
        <v>ARB/DU </v>
      </c>
      <c r="L367" s="26" t="str">
        <f t="shared" si="2"/>
        <v>Valsartan/Hydrochlorothiazide </v>
      </c>
      <c r="M367" s="26"/>
    </row>
    <row r="368" ht="17.25" customHeight="1">
      <c r="B368" s="25" t="s">
        <v>589</v>
      </c>
      <c r="C368" s="25" t="s">
        <v>5548</v>
      </c>
      <c r="D368" s="25" t="s">
        <v>834</v>
      </c>
      <c r="E368" s="25" t="s">
        <v>6294</v>
      </c>
      <c r="F368" s="25" t="s">
        <v>834</v>
      </c>
      <c r="G368" s="25">
        <v>1.4739253309E8</v>
      </c>
      <c r="H368" s="25">
        <v>261240.22</v>
      </c>
      <c r="I368" s="26" t="s">
        <v>5441</v>
      </c>
      <c r="J368" s="26" t="s">
        <v>6152</v>
      </c>
      <c r="K368" s="26" t="str">
        <f t="shared" si="1"/>
        <v>ARB/DU </v>
      </c>
      <c r="L368" s="26" t="str">
        <f t="shared" si="2"/>
        <v>Valsartan/Hydrochlorothiazide </v>
      </c>
      <c r="M368" s="26"/>
    </row>
    <row r="369" ht="17.25" customHeight="1">
      <c r="B369" s="25" t="s">
        <v>589</v>
      </c>
      <c r="C369" s="25" t="s">
        <v>5548</v>
      </c>
      <c r="D369" s="25" t="s">
        <v>836</v>
      </c>
      <c r="E369" s="25" t="s">
        <v>6295</v>
      </c>
      <c r="F369" s="25" t="s">
        <v>836</v>
      </c>
      <c r="G369" s="25">
        <v>1.102419168E7</v>
      </c>
      <c r="H369" s="25">
        <v>20566.28</v>
      </c>
      <c r="I369" s="26" t="s">
        <v>5441</v>
      </c>
      <c r="J369" s="26" t="s">
        <v>6152</v>
      </c>
      <c r="K369" s="26" t="str">
        <f t="shared" si="1"/>
        <v>ARB/DU </v>
      </c>
      <c r="L369" s="26" t="str">
        <f t="shared" si="2"/>
        <v>Valsartan/Hydrochlorothiazide </v>
      </c>
      <c r="M369" s="26"/>
    </row>
    <row r="370" ht="17.25" customHeight="1">
      <c r="B370" s="25" t="s">
        <v>589</v>
      </c>
      <c r="C370" s="25" t="s">
        <v>5548</v>
      </c>
      <c r="D370" s="25" t="s">
        <v>1139</v>
      </c>
      <c r="E370" s="25" t="s">
        <v>6296</v>
      </c>
      <c r="F370" s="25" t="s">
        <v>1139</v>
      </c>
      <c r="G370" s="25">
        <v>7.135840976E7</v>
      </c>
      <c r="H370" s="25">
        <v>140736.2</v>
      </c>
      <c r="I370" s="26" t="s">
        <v>5441</v>
      </c>
      <c r="J370" s="26" t="s">
        <v>6152</v>
      </c>
      <c r="K370" s="26" t="str">
        <f t="shared" si="1"/>
        <v>ARB/DU </v>
      </c>
      <c r="L370" s="26" t="str">
        <f t="shared" si="2"/>
        <v>Valsartan/Hydrochlorothiazide </v>
      </c>
      <c r="M370" s="26"/>
    </row>
    <row r="371" ht="17.25" customHeight="1">
      <c r="B371" s="25" t="s">
        <v>589</v>
      </c>
      <c r="C371" s="25" t="s">
        <v>5548</v>
      </c>
      <c r="D371" s="25" t="s">
        <v>730</v>
      </c>
      <c r="E371" s="25" t="s">
        <v>6297</v>
      </c>
      <c r="F371" s="25" t="s">
        <v>730</v>
      </c>
      <c r="G371" s="25">
        <v>2.330766368E7</v>
      </c>
      <c r="H371" s="25">
        <v>42844.97</v>
      </c>
      <c r="I371" s="26" t="s">
        <v>5441</v>
      </c>
      <c r="J371" s="26" t="s">
        <v>6152</v>
      </c>
      <c r="K371" s="26" t="str">
        <f t="shared" si="1"/>
        <v>ARB/DU </v>
      </c>
      <c r="L371" s="26" t="str">
        <f t="shared" si="2"/>
        <v>Valsartan/Hydrochlorothiazide </v>
      </c>
      <c r="M371" s="26"/>
    </row>
    <row r="372" ht="17.25" customHeight="1">
      <c r="B372" s="25" t="s">
        <v>589</v>
      </c>
      <c r="C372" s="25" t="s">
        <v>5548</v>
      </c>
      <c r="D372" s="25" t="s">
        <v>713</v>
      </c>
      <c r="E372" s="25" t="s">
        <v>6298</v>
      </c>
      <c r="F372" s="25" t="s">
        <v>713</v>
      </c>
      <c r="G372" s="25">
        <v>6.616896594E7</v>
      </c>
      <c r="H372" s="25">
        <v>143222.87</v>
      </c>
      <c r="I372" s="26" t="s">
        <v>5441</v>
      </c>
      <c r="J372" s="26" t="s">
        <v>6152</v>
      </c>
      <c r="K372" s="26" t="str">
        <f t="shared" si="1"/>
        <v>ARB/DU </v>
      </c>
      <c r="L372" s="26" t="str">
        <f t="shared" si="2"/>
        <v>Valsartan/Hydrochlorothiazide </v>
      </c>
      <c r="M372" s="26"/>
    </row>
    <row r="373" ht="17.25" customHeight="1">
      <c r="B373" s="25" t="s">
        <v>589</v>
      </c>
      <c r="C373" s="25" t="s">
        <v>5548</v>
      </c>
      <c r="D373" s="25" t="s">
        <v>833</v>
      </c>
      <c r="E373" s="25" t="s">
        <v>6299</v>
      </c>
      <c r="F373" s="25" t="s">
        <v>833</v>
      </c>
      <c r="G373" s="25">
        <v>3.466055079E7</v>
      </c>
      <c r="H373" s="25">
        <v>60619.17</v>
      </c>
      <c r="I373" s="26" t="s">
        <v>5441</v>
      </c>
      <c r="J373" s="26" t="s">
        <v>6152</v>
      </c>
      <c r="K373" s="26" t="str">
        <f t="shared" si="1"/>
        <v>ARB/DU </v>
      </c>
      <c r="L373" s="26" t="str">
        <f t="shared" si="2"/>
        <v>Valsartan/Hydrochlorothiazide </v>
      </c>
      <c r="M373" s="26"/>
    </row>
    <row r="374" ht="17.25" customHeight="1">
      <c r="B374" s="25" t="s">
        <v>589</v>
      </c>
      <c r="C374" s="25" t="s">
        <v>5548</v>
      </c>
      <c r="D374" s="25" t="s">
        <v>701</v>
      </c>
      <c r="E374" s="25" t="s">
        <v>6300</v>
      </c>
      <c r="F374" s="25" t="s">
        <v>701</v>
      </c>
      <c r="G374" s="25">
        <v>1.52635322E7</v>
      </c>
      <c r="H374" s="25">
        <v>23992.4</v>
      </c>
      <c r="I374" s="26" t="s">
        <v>5441</v>
      </c>
      <c r="J374" s="26" t="s">
        <v>6152</v>
      </c>
      <c r="K374" s="26" t="str">
        <f t="shared" si="1"/>
        <v>ARB/DU </v>
      </c>
      <c r="L374" s="26" t="str">
        <f t="shared" si="2"/>
        <v>Valsartan/Hydrochlorothiazide </v>
      </c>
      <c r="M374" s="26"/>
    </row>
    <row r="375" ht="17.25" customHeight="1">
      <c r="B375" s="25" t="s">
        <v>589</v>
      </c>
      <c r="C375" s="25" t="s">
        <v>5548</v>
      </c>
      <c r="D375" s="25" t="s">
        <v>870</v>
      </c>
      <c r="E375" s="25" t="s">
        <v>6301</v>
      </c>
      <c r="F375" s="25" t="s">
        <v>870</v>
      </c>
      <c r="G375" s="25">
        <v>1.615394195E7</v>
      </c>
      <c r="H375" s="25">
        <v>20578.27</v>
      </c>
      <c r="I375" s="26" t="s">
        <v>5441</v>
      </c>
      <c r="J375" s="26" t="s">
        <v>6152</v>
      </c>
      <c r="K375" s="26" t="str">
        <f t="shared" si="1"/>
        <v>ARB/DU </v>
      </c>
      <c r="L375" s="26" t="str">
        <f t="shared" si="2"/>
        <v>Valsartan/Hydrochlorothiazide </v>
      </c>
      <c r="M375" s="26"/>
    </row>
    <row r="376" ht="17.25" customHeight="1">
      <c r="B376" s="25" t="s">
        <v>589</v>
      </c>
      <c r="C376" s="25" t="s">
        <v>5548</v>
      </c>
      <c r="D376" s="25" t="s">
        <v>1040</v>
      </c>
      <c r="E376" s="25" t="s">
        <v>6302</v>
      </c>
      <c r="F376" s="25" t="s">
        <v>1040</v>
      </c>
      <c r="G376" s="25">
        <v>3.555371625E7</v>
      </c>
      <c r="H376" s="25">
        <v>55812.71</v>
      </c>
      <c r="I376" s="26" t="s">
        <v>5441</v>
      </c>
      <c r="J376" s="26" t="s">
        <v>6152</v>
      </c>
      <c r="K376" s="26" t="str">
        <f t="shared" si="1"/>
        <v>ARB/DU </v>
      </c>
      <c r="L376" s="26" t="str">
        <f t="shared" si="2"/>
        <v>Valsartan/Hydrochlorothiazide </v>
      </c>
      <c r="M376" s="26"/>
    </row>
    <row r="377" ht="17.25" customHeight="1">
      <c r="B377" s="25" t="s">
        <v>589</v>
      </c>
      <c r="C377" s="25" t="s">
        <v>5548</v>
      </c>
      <c r="D377" s="25" t="s">
        <v>876</v>
      </c>
      <c r="E377" s="25" t="s">
        <v>6303</v>
      </c>
      <c r="F377" s="25" t="s">
        <v>876</v>
      </c>
      <c r="G377" s="25">
        <v>4.751809474E7</v>
      </c>
      <c r="H377" s="25">
        <v>78980.83</v>
      </c>
      <c r="I377" s="26" t="s">
        <v>5441</v>
      </c>
      <c r="J377" s="26" t="s">
        <v>6152</v>
      </c>
      <c r="K377" s="26" t="str">
        <f t="shared" si="1"/>
        <v>ARB/DU </v>
      </c>
      <c r="L377" s="26" t="str">
        <f t="shared" si="2"/>
        <v>Valsartan/Hydrochlorothiazide </v>
      </c>
      <c r="M377" s="26"/>
    </row>
    <row r="378" ht="17.25" customHeight="1">
      <c r="B378" s="25" t="s">
        <v>589</v>
      </c>
      <c r="C378" s="25" t="s">
        <v>5548</v>
      </c>
      <c r="D378" s="25" t="s">
        <v>880</v>
      </c>
      <c r="E378" s="25" t="s">
        <v>6304</v>
      </c>
      <c r="F378" s="25" t="s">
        <v>880</v>
      </c>
      <c r="G378" s="25">
        <v>4.718459472E7</v>
      </c>
      <c r="H378" s="25">
        <v>74887.32</v>
      </c>
      <c r="I378" s="26" t="s">
        <v>5441</v>
      </c>
      <c r="J378" s="26" t="s">
        <v>6152</v>
      </c>
      <c r="K378" s="26" t="str">
        <f t="shared" si="1"/>
        <v>ARB/DU </v>
      </c>
      <c r="L378" s="26" t="str">
        <f t="shared" si="2"/>
        <v>Valsartan/Hydrochlorothiazide </v>
      </c>
      <c r="M378" s="26"/>
    </row>
    <row r="379" ht="17.25" customHeight="1">
      <c r="B379" s="25" t="s">
        <v>589</v>
      </c>
      <c r="C379" s="25" t="s">
        <v>5548</v>
      </c>
      <c r="D379" s="25" t="s">
        <v>902</v>
      </c>
      <c r="E379" s="25" t="s">
        <v>6305</v>
      </c>
      <c r="F379" s="25" t="s">
        <v>902</v>
      </c>
      <c r="G379" s="25">
        <v>3.712351566E7</v>
      </c>
      <c r="H379" s="25">
        <v>80353.93</v>
      </c>
      <c r="I379" s="26" t="s">
        <v>5441</v>
      </c>
      <c r="J379" s="26" t="s">
        <v>6152</v>
      </c>
      <c r="K379" s="26" t="str">
        <f t="shared" si="1"/>
        <v>ARB/DU </v>
      </c>
      <c r="L379" s="26" t="str">
        <f t="shared" si="2"/>
        <v>Valsartan/Hydrochlorothiazide </v>
      </c>
      <c r="M379" s="26"/>
    </row>
    <row r="380" ht="17.25" customHeight="1">
      <c r="B380" s="25" t="s">
        <v>589</v>
      </c>
      <c r="C380" s="25" t="s">
        <v>5548</v>
      </c>
      <c r="D380" s="25" t="s">
        <v>906</v>
      </c>
      <c r="E380" s="25" t="s">
        <v>6306</v>
      </c>
      <c r="F380" s="25" t="s">
        <v>906</v>
      </c>
      <c r="G380" s="25">
        <v>1.4672327008E8</v>
      </c>
      <c r="H380" s="25">
        <v>234654.77</v>
      </c>
      <c r="I380" s="26" t="s">
        <v>5441</v>
      </c>
      <c r="J380" s="26" t="s">
        <v>6152</v>
      </c>
      <c r="K380" s="26" t="str">
        <f t="shared" si="1"/>
        <v>ARB/DU </v>
      </c>
      <c r="L380" s="26" t="str">
        <f t="shared" si="2"/>
        <v>Valsartan/Hydrochlorothiazide </v>
      </c>
      <c r="M380" s="26"/>
    </row>
    <row r="381" ht="17.25" customHeight="1">
      <c r="B381" s="25" t="s">
        <v>589</v>
      </c>
      <c r="C381" s="25" t="s">
        <v>5548</v>
      </c>
      <c r="D381" s="25" t="s">
        <v>717</v>
      </c>
      <c r="E381" s="25" t="s">
        <v>6307</v>
      </c>
      <c r="F381" s="25" t="s">
        <v>717</v>
      </c>
      <c r="G381" s="25">
        <v>1.0357761467E8</v>
      </c>
      <c r="H381" s="25">
        <v>164919.58</v>
      </c>
      <c r="I381" s="26" t="s">
        <v>5441</v>
      </c>
      <c r="J381" s="26" t="s">
        <v>6152</v>
      </c>
      <c r="K381" s="26" t="str">
        <f t="shared" si="1"/>
        <v>ARB/DU </v>
      </c>
      <c r="L381" s="26" t="str">
        <f t="shared" si="2"/>
        <v>Valsartan/Hydrochlorothiazide </v>
      </c>
      <c r="M381" s="26"/>
    </row>
    <row r="382" ht="17.25" customHeight="1">
      <c r="B382" s="25" t="s">
        <v>589</v>
      </c>
      <c r="C382" s="25" t="s">
        <v>5548</v>
      </c>
      <c r="D382" s="25" t="s">
        <v>1176</v>
      </c>
      <c r="E382" s="25" t="s">
        <v>6308</v>
      </c>
      <c r="F382" s="25" t="s">
        <v>1176</v>
      </c>
      <c r="G382" s="25">
        <v>946776.6</v>
      </c>
      <c r="H382" s="25">
        <v>2049.3</v>
      </c>
      <c r="I382" s="26" t="s">
        <v>5441</v>
      </c>
      <c r="J382" s="26" t="s">
        <v>6152</v>
      </c>
      <c r="K382" s="26" t="str">
        <f t="shared" si="1"/>
        <v>ARB/DU </v>
      </c>
      <c r="L382" s="26" t="str">
        <f t="shared" si="2"/>
        <v>Valsartan/Hydrochlorothiazide </v>
      </c>
      <c r="M382" s="26"/>
    </row>
    <row r="383" ht="17.25" customHeight="1">
      <c r="B383" s="25" t="s">
        <v>589</v>
      </c>
      <c r="C383" s="25" t="s">
        <v>5548</v>
      </c>
      <c r="D383" s="25" t="s">
        <v>925</v>
      </c>
      <c r="E383" s="25" t="s">
        <v>6309</v>
      </c>
      <c r="F383" s="25" t="s">
        <v>925</v>
      </c>
      <c r="G383" s="25">
        <v>2.375397261E7</v>
      </c>
      <c r="H383" s="25">
        <v>47588.08</v>
      </c>
      <c r="I383" s="26" t="s">
        <v>5441</v>
      </c>
      <c r="J383" s="26" t="s">
        <v>6152</v>
      </c>
      <c r="K383" s="26" t="str">
        <f t="shared" si="1"/>
        <v>ARB/DU </v>
      </c>
      <c r="L383" s="26" t="str">
        <f t="shared" si="2"/>
        <v>Valsartan/Hydrochlorothiazide </v>
      </c>
      <c r="M383" s="26"/>
    </row>
    <row r="384" ht="17.25" customHeight="1">
      <c r="B384" s="25" t="s">
        <v>589</v>
      </c>
      <c r="C384" s="25" t="s">
        <v>5548</v>
      </c>
      <c r="D384" s="25" t="s">
        <v>927</v>
      </c>
      <c r="E384" s="25" t="s">
        <v>6310</v>
      </c>
      <c r="F384" s="25" t="s">
        <v>927</v>
      </c>
      <c r="G384" s="25">
        <v>4.989467994E7</v>
      </c>
      <c r="H384" s="25">
        <v>92464.66</v>
      </c>
      <c r="I384" s="26" t="s">
        <v>5441</v>
      </c>
      <c r="J384" s="26" t="s">
        <v>6152</v>
      </c>
      <c r="K384" s="26" t="str">
        <f t="shared" si="1"/>
        <v>ARB/DU </v>
      </c>
      <c r="L384" s="26" t="str">
        <f t="shared" si="2"/>
        <v>Valsartan/Hydrochlorothiazide </v>
      </c>
      <c r="M384" s="26"/>
    </row>
    <row r="385" ht="17.25" customHeight="1">
      <c r="B385" s="25" t="s">
        <v>589</v>
      </c>
      <c r="C385" s="25" t="s">
        <v>5548</v>
      </c>
      <c r="D385" s="25" t="s">
        <v>941</v>
      </c>
      <c r="E385" s="25" t="s">
        <v>301</v>
      </c>
      <c r="F385" s="25" t="s">
        <v>941</v>
      </c>
      <c r="G385" s="25">
        <v>3.6157566E7</v>
      </c>
      <c r="H385" s="25">
        <v>65804.0</v>
      </c>
      <c r="I385" s="26" t="s">
        <v>5441</v>
      </c>
      <c r="J385" s="26" t="s">
        <v>6152</v>
      </c>
      <c r="K385" s="26" t="str">
        <f t="shared" si="1"/>
        <v>ARB/DU </v>
      </c>
      <c r="L385" s="26" t="str">
        <f t="shared" si="2"/>
        <v>Valsartan/Hydrochlorothiazide </v>
      </c>
      <c r="M385" s="26"/>
    </row>
    <row r="386" ht="17.25" customHeight="1">
      <c r="B386" s="25" t="s">
        <v>598</v>
      </c>
      <c r="C386" s="25" t="s">
        <v>5554</v>
      </c>
      <c r="D386" s="25" t="s">
        <v>1139</v>
      </c>
      <c r="E386" s="25" t="s">
        <v>6311</v>
      </c>
      <c r="F386" s="25" t="s">
        <v>1139</v>
      </c>
      <c r="G386" s="25">
        <v>1.8085194788E9</v>
      </c>
      <c r="H386" s="25">
        <v>2179315.59</v>
      </c>
      <c r="I386" s="26" t="s">
        <v>5441</v>
      </c>
      <c r="J386" s="26" t="s">
        <v>6152</v>
      </c>
      <c r="K386" s="26" t="str">
        <f t="shared" si="1"/>
        <v>ARB/CCB</v>
      </c>
      <c r="L386" s="26" t="str">
        <f t="shared" si="2"/>
        <v>Valsartan/amlodipine</v>
      </c>
      <c r="M386" s="26"/>
    </row>
    <row r="387" ht="17.25" customHeight="1">
      <c r="B387" s="25" t="s">
        <v>598</v>
      </c>
      <c r="C387" s="25" t="s">
        <v>6061</v>
      </c>
      <c r="D387" s="25" t="s">
        <v>810</v>
      </c>
      <c r="E387" s="25" t="s">
        <v>6312</v>
      </c>
      <c r="F387" s="25" t="s">
        <v>810</v>
      </c>
      <c r="G387" s="25">
        <v>9.715218601E7</v>
      </c>
      <c r="H387" s="25">
        <v>138185.08</v>
      </c>
      <c r="I387" s="26" t="s">
        <v>5441</v>
      </c>
      <c r="J387" s="26" t="s">
        <v>6152</v>
      </c>
      <c r="K387" s="26" t="str">
        <f t="shared" si="1"/>
        <v>ARB/CCB</v>
      </c>
      <c r="L387" s="26" t="str">
        <f t="shared" si="2"/>
        <v>Azilsartan/Amlodipine </v>
      </c>
      <c r="M387" s="26"/>
    </row>
    <row r="388" ht="17.25" customHeight="1">
      <c r="B388" s="25" t="s">
        <v>598</v>
      </c>
      <c r="C388" s="25" t="s">
        <v>5560</v>
      </c>
      <c r="D388" s="25" t="s">
        <v>699</v>
      </c>
      <c r="E388" s="25" t="s">
        <v>6313</v>
      </c>
      <c r="F388" s="25" t="s">
        <v>699</v>
      </c>
      <c r="G388" s="25">
        <v>4.124591916E8</v>
      </c>
      <c r="H388" s="25">
        <v>666842.64</v>
      </c>
      <c r="I388" s="26" t="s">
        <v>5441</v>
      </c>
      <c r="J388" s="26" t="s">
        <v>6152</v>
      </c>
      <c r="K388" s="26" t="str">
        <f t="shared" si="1"/>
        <v>ARB/CCB</v>
      </c>
      <c r="L388" s="26" t="str">
        <f t="shared" si="2"/>
        <v>Candesartan/amlodipine </v>
      </c>
      <c r="M388" s="26"/>
    </row>
    <row r="389" ht="17.25" customHeight="1">
      <c r="B389" s="25" t="s">
        <v>598</v>
      </c>
      <c r="C389" s="25" t="s">
        <v>5560</v>
      </c>
      <c r="D389" s="25" t="s">
        <v>814</v>
      </c>
      <c r="E389" s="25" t="s">
        <v>6314</v>
      </c>
      <c r="F389" s="25" t="s">
        <v>814</v>
      </c>
      <c r="G389" s="25">
        <v>6.6228440586E8</v>
      </c>
      <c r="H389" s="25">
        <v>883306.89</v>
      </c>
      <c r="I389" s="26" t="s">
        <v>5441</v>
      </c>
      <c r="J389" s="26" t="s">
        <v>6152</v>
      </c>
      <c r="K389" s="26" t="str">
        <f t="shared" si="1"/>
        <v>ARB/CCB</v>
      </c>
      <c r="L389" s="26" t="str">
        <f t="shared" si="2"/>
        <v>Candesartan/amlodipine </v>
      </c>
      <c r="M389" s="26"/>
    </row>
    <row r="390" ht="17.25" customHeight="1">
      <c r="B390" s="25" t="s">
        <v>598</v>
      </c>
      <c r="C390" s="25" t="s">
        <v>5560</v>
      </c>
      <c r="D390" s="25" t="s">
        <v>1139</v>
      </c>
      <c r="E390" s="25" t="s">
        <v>6315</v>
      </c>
      <c r="F390" s="25" t="s">
        <v>1139</v>
      </c>
      <c r="G390" s="25">
        <v>8.9232217862E8</v>
      </c>
      <c r="H390" s="25">
        <v>1195872.88</v>
      </c>
      <c r="I390" s="26" t="s">
        <v>5441</v>
      </c>
      <c r="J390" s="26" t="s">
        <v>6152</v>
      </c>
      <c r="K390" s="26" t="str">
        <f t="shared" si="1"/>
        <v>ARB/CCB</v>
      </c>
      <c r="L390" s="26" t="str">
        <f t="shared" si="2"/>
        <v>Candesartan/amlodipine </v>
      </c>
      <c r="M390" s="26"/>
    </row>
    <row r="391" ht="17.25" customHeight="1">
      <c r="B391" s="25" t="s">
        <v>598</v>
      </c>
      <c r="C391" s="25" t="s">
        <v>5560</v>
      </c>
      <c r="D391" s="25" t="s">
        <v>880</v>
      </c>
      <c r="E391" s="25" t="s">
        <v>6316</v>
      </c>
      <c r="F391" s="25" t="s">
        <v>880</v>
      </c>
      <c r="G391" s="25">
        <v>5.8305476531E8</v>
      </c>
      <c r="H391" s="25">
        <v>769327.13</v>
      </c>
      <c r="I391" s="26" t="s">
        <v>5441</v>
      </c>
      <c r="J391" s="26" t="s">
        <v>6152</v>
      </c>
      <c r="K391" s="26" t="str">
        <f t="shared" si="1"/>
        <v>ARB/CCB</v>
      </c>
      <c r="L391" s="26" t="str">
        <f t="shared" si="2"/>
        <v>Candesartan/amlodipine </v>
      </c>
      <c r="M391" s="26"/>
    </row>
    <row r="392" ht="17.25" customHeight="1">
      <c r="B392" s="25" t="s">
        <v>598</v>
      </c>
      <c r="C392" s="25" t="s">
        <v>6066</v>
      </c>
      <c r="D392" s="25" t="s">
        <v>917</v>
      </c>
      <c r="E392" s="25" t="s">
        <v>6317</v>
      </c>
      <c r="F392" s="25" t="s">
        <v>917</v>
      </c>
      <c r="G392" s="25">
        <v>4.3094054513E8</v>
      </c>
      <c r="H392" s="25">
        <v>726712.57</v>
      </c>
      <c r="I392" s="26" t="s">
        <v>5441</v>
      </c>
      <c r="J392" s="26" t="s">
        <v>6152</v>
      </c>
      <c r="K392" s="26" t="str">
        <f t="shared" si="1"/>
        <v>ARB/CCB/DU </v>
      </c>
      <c r="L392" s="26" t="str">
        <f t="shared" si="2"/>
        <v>Losartan/amlodipine/Chlorthalidone</v>
      </c>
      <c r="M392" s="26"/>
    </row>
    <row r="393" ht="17.25" customHeight="1">
      <c r="B393" s="25" t="s">
        <v>598</v>
      </c>
      <c r="C393" s="25" t="s">
        <v>6070</v>
      </c>
      <c r="D393" s="25" t="s">
        <v>695</v>
      </c>
      <c r="E393" s="25" t="s">
        <v>6318</v>
      </c>
      <c r="F393" s="25" t="s">
        <v>695</v>
      </c>
      <c r="G393" s="25">
        <v>4.763089591E7</v>
      </c>
      <c r="H393" s="25">
        <v>44328.21</v>
      </c>
      <c r="I393" s="26" t="s">
        <v>5441</v>
      </c>
      <c r="J393" s="26" t="s">
        <v>6152</v>
      </c>
      <c r="K393" s="26" t="str">
        <f t="shared" si="1"/>
        <v>ARB/CCB/DU </v>
      </c>
      <c r="L393" s="26" t="str">
        <f t="shared" si="2"/>
        <v>Valsartan/amlodipine/Chlorthalidone</v>
      </c>
      <c r="M393" s="26"/>
    </row>
    <row r="394" ht="17.25" customHeight="1">
      <c r="B394" s="25" t="s">
        <v>598</v>
      </c>
      <c r="C394" s="25" t="s">
        <v>6070</v>
      </c>
      <c r="D394" s="25" t="s">
        <v>726</v>
      </c>
      <c r="E394" s="25" t="s">
        <v>6319</v>
      </c>
      <c r="F394" s="25" t="s">
        <v>726</v>
      </c>
      <c r="G394" s="25">
        <v>2.107506643E7</v>
      </c>
      <c r="H394" s="25">
        <v>21843.23</v>
      </c>
      <c r="I394" s="26" t="s">
        <v>5441</v>
      </c>
      <c r="J394" s="26" t="s">
        <v>6152</v>
      </c>
      <c r="K394" s="26" t="str">
        <f t="shared" si="1"/>
        <v>ARB/CCB/DU </v>
      </c>
      <c r="L394" s="26" t="str">
        <f t="shared" si="2"/>
        <v>Valsartan/amlodipine/Chlorthalidone</v>
      </c>
      <c r="M394" s="26"/>
    </row>
    <row r="395" ht="17.25" customHeight="1">
      <c r="B395" s="25" t="s">
        <v>598</v>
      </c>
      <c r="C395" s="25" t="s">
        <v>6070</v>
      </c>
      <c r="D395" s="25" t="s">
        <v>1139</v>
      </c>
      <c r="E395" s="25" t="s">
        <v>6320</v>
      </c>
      <c r="F395" s="25" t="s">
        <v>1139</v>
      </c>
      <c r="G395" s="25">
        <v>9.040891694E7</v>
      </c>
      <c r="H395" s="25">
        <v>98232.92</v>
      </c>
      <c r="I395" s="26" t="s">
        <v>5441</v>
      </c>
      <c r="J395" s="26" t="s">
        <v>6152</v>
      </c>
      <c r="K395" s="26" t="str">
        <f t="shared" si="1"/>
        <v>ARB/CCB/DU </v>
      </c>
      <c r="L395" s="26" t="str">
        <f t="shared" si="2"/>
        <v>Valsartan/amlodipine/Chlorthalidone</v>
      </c>
      <c r="M395" s="26"/>
    </row>
    <row r="396" ht="17.25" customHeight="1">
      <c r="B396" s="25" t="s">
        <v>598</v>
      </c>
      <c r="C396" s="25" t="s">
        <v>5565</v>
      </c>
      <c r="D396" s="25" t="s">
        <v>788</v>
      </c>
      <c r="E396" s="25" t="s">
        <v>6321</v>
      </c>
      <c r="F396" s="25" t="s">
        <v>788</v>
      </c>
      <c r="G396" s="25">
        <v>6.59169559825E9</v>
      </c>
      <c r="H396" s="25">
        <v>9556594.79</v>
      </c>
      <c r="I396" s="26" t="s">
        <v>5441</v>
      </c>
      <c r="J396" s="26" t="s">
        <v>6152</v>
      </c>
      <c r="K396" s="26" t="str">
        <f t="shared" si="1"/>
        <v>ARB/CCB</v>
      </c>
      <c r="L396" s="26" t="str">
        <f t="shared" si="2"/>
        <v>Fimasartan/amlodipine </v>
      </c>
      <c r="M396" s="26"/>
    </row>
    <row r="397" ht="17.25" customHeight="1">
      <c r="B397" s="25" t="s">
        <v>598</v>
      </c>
      <c r="C397" s="25" t="s">
        <v>5570</v>
      </c>
      <c r="D397" s="25" t="s">
        <v>788</v>
      </c>
      <c r="E397" s="25" t="s">
        <v>6322</v>
      </c>
      <c r="F397" s="25" t="s">
        <v>788</v>
      </c>
      <c r="G397" s="25">
        <v>2.02901864528E9</v>
      </c>
      <c r="H397" s="25">
        <v>2605717.74</v>
      </c>
      <c r="I397" s="26" t="s">
        <v>5441</v>
      </c>
      <c r="J397" s="26" t="s">
        <v>6152</v>
      </c>
      <c r="K397" s="26" t="str">
        <f t="shared" si="1"/>
        <v>ARB/CCB</v>
      </c>
      <c r="L397" s="26" t="str">
        <f t="shared" si="2"/>
        <v>Fimasartan/amlodipine </v>
      </c>
      <c r="M397" s="26"/>
    </row>
    <row r="398" ht="17.25" customHeight="1">
      <c r="B398" s="25" t="s">
        <v>598</v>
      </c>
      <c r="C398" s="25" t="s">
        <v>5574</v>
      </c>
      <c r="D398" s="25" t="s">
        <v>1040</v>
      </c>
      <c r="E398" s="25" t="s">
        <v>6323</v>
      </c>
      <c r="F398" s="25" t="s">
        <v>1040</v>
      </c>
      <c r="G398" s="25">
        <v>8.0085934718E8</v>
      </c>
      <c r="H398" s="25">
        <v>880585.16</v>
      </c>
      <c r="I398" s="26" t="s">
        <v>5441</v>
      </c>
      <c r="J398" s="26" t="s">
        <v>6152</v>
      </c>
      <c r="K398" s="26" t="str">
        <f t="shared" si="1"/>
        <v>ARB/CCB</v>
      </c>
      <c r="L398" s="26" t="str">
        <f t="shared" si="2"/>
        <v>Temisartan/amlodipine/Hydrochlothiazide</v>
      </c>
      <c r="M398" s="26"/>
    </row>
    <row r="399" ht="17.25" customHeight="1">
      <c r="B399" s="25" t="s">
        <v>598</v>
      </c>
      <c r="C399" s="25" t="s">
        <v>5574</v>
      </c>
      <c r="D399" s="25" t="s">
        <v>717</v>
      </c>
      <c r="E399" s="25" t="s">
        <v>6324</v>
      </c>
      <c r="F399" s="25" t="s">
        <v>717</v>
      </c>
      <c r="G399" s="25">
        <v>1.189721167E8</v>
      </c>
      <c r="H399" s="25">
        <v>143389.04</v>
      </c>
      <c r="I399" s="26" t="s">
        <v>5441</v>
      </c>
      <c r="J399" s="26" t="s">
        <v>6152</v>
      </c>
      <c r="K399" s="26" t="str">
        <f t="shared" si="1"/>
        <v>ARB/CCB</v>
      </c>
      <c r="L399" s="26" t="str">
        <f t="shared" si="2"/>
        <v>Temisartan/amlodipine/Hydrochlothiazide</v>
      </c>
      <c r="M399" s="26"/>
    </row>
    <row r="400" ht="17.25" customHeight="1">
      <c r="B400" s="25" t="s">
        <v>598</v>
      </c>
      <c r="C400" s="25" t="s">
        <v>5579</v>
      </c>
      <c r="D400" s="25" t="s">
        <v>1445</v>
      </c>
      <c r="E400" s="25" t="s">
        <v>6325</v>
      </c>
      <c r="F400" s="25" t="s">
        <v>1445</v>
      </c>
      <c r="G400" s="25">
        <v>8.8765391427E8</v>
      </c>
      <c r="H400" s="25">
        <v>953876.36</v>
      </c>
      <c r="I400" s="26" t="s">
        <v>5441</v>
      </c>
      <c r="J400" s="26" t="s">
        <v>6152</v>
      </c>
      <c r="K400" s="26" t="str">
        <f t="shared" si="1"/>
        <v>ARB/CCB</v>
      </c>
      <c r="L400" s="26" t="str">
        <f t="shared" si="2"/>
        <v>Irbesartan/Amlodipine </v>
      </c>
      <c r="M400" s="26"/>
    </row>
    <row r="401" ht="17.25" customHeight="1">
      <c r="B401" s="25" t="s">
        <v>598</v>
      </c>
      <c r="C401" s="25" t="s">
        <v>5583</v>
      </c>
      <c r="D401" s="25" t="s">
        <v>739</v>
      </c>
      <c r="E401" s="25" t="s">
        <v>6326</v>
      </c>
      <c r="F401" s="25" t="s">
        <v>739</v>
      </c>
      <c r="G401" s="25">
        <v>6.055474353E7</v>
      </c>
      <c r="H401" s="25">
        <v>80311.99</v>
      </c>
      <c r="I401" s="26" t="s">
        <v>5441</v>
      </c>
      <c r="J401" s="26" t="s">
        <v>6152</v>
      </c>
      <c r="K401" s="26" t="str">
        <f t="shared" si="1"/>
        <v>ARB/CCB</v>
      </c>
      <c r="L401" s="26" t="str">
        <f t="shared" si="2"/>
        <v>Losartan/Amlodipine </v>
      </c>
      <c r="M401" s="26"/>
    </row>
    <row r="402" ht="17.25" customHeight="1">
      <c r="B402" s="25" t="s">
        <v>598</v>
      </c>
      <c r="C402" s="25" t="s">
        <v>5583</v>
      </c>
      <c r="D402" s="25" t="s">
        <v>761</v>
      </c>
      <c r="E402" s="25" t="s">
        <v>6327</v>
      </c>
      <c r="F402" s="25" t="s">
        <v>761</v>
      </c>
      <c r="G402" s="25">
        <v>2.8473719322E8</v>
      </c>
      <c r="H402" s="25">
        <v>370955.77</v>
      </c>
      <c r="I402" s="26" t="s">
        <v>5441</v>
      </c>
      <c r="J402" s="26" t="s">
        <v>6152</v>
      </c>
      <c r="K402" s="26" t="str">
        <f t="shared" si="1"/>
        <v>ARB/CCB</v>
      </c>
      <c r="L402" s="26" t="str">
        <f t="shared" si="2"/>
        <v>Losartan/Amlodipine </v>
      </c>
      <c r="M402" s="26"/>
    </row>
    <row r="403" ht="17.25" customHeight="1">
      <c r="B403" s="25" t="s">
        <v>598</v>
      </c>
      <c r="C403" s="25" t="s">
        <v>5583</v>
      </c>
      <c r="D403" s="25" t="s">
        <v>783</v>
      </c>
      <c r="E403" s="25" t="s">
        <v>6328</v>
      </c>
      <c r="F403" s="25" t="s">
        <v>783</v>
      </c>
      <c r="G403" s="25">
        <v>5.75649162E7</v>
      </c>
      <c r="H403" s="25">
        <v>81700.7</v>
      </c>
      <c r="I403" s="26" t="s">
        <v>5441</v>
      </c>
      <c r="J403" s="26" t="s">
        <v>6152</v>
      </c>
      <c r="K403" s="26" t="str">
        <f t="shared" si="1"/>
        <v>ARB/CCB</v>
      </c>
      <c r="L403" s="26" t="str">
        <f t="shared" si="2"/>
        <v>Losartan/Amlodipine </v>
      </c>
      <c r="M403" s="26"/>
    </row>
    <row r="404" ht="17.25" customHeight="1">
      <c r="B404" s="25" t="s">
        <v>598</v>
      </c>
      <c r="C404" s="25" t="s">
        <v>5583</v>
      </c>
      <c r="D404" s="25" t="s">
        <v>826</v>
      </c>
      <c r="E404" s="25" t="s">
        <v>6329</v>
      </c>
      <c r="F404" s="25" t="s">
        <v>826</v>
      </c>
      <c r="G404" s="25">
        <v>9275875.56</v>
      </c>
      <c r="H404" s="25">
        <v>15537.48</v>
      </c>
      <c r="I404" s="26" t="s">
        <v>5441</v>
      </c>
      <c r="J404" s="26" t="s">
        <v>6152</v>
      </c>
      <c r="K404" s="26" t="str">
        <f t="shared" si="1"/>
        <v>ARB/CCB</v>
      </c>
      <c r="L404" s="26" t="str">
        <f t="shared" si="2"/>
        <v>Losartan/Amlodipine </v>
      </c>
      <c r="M404" s="26"/>
    </row>
    <row r="405" ht="17.25" customHeight="1">
      <c r="B405" s="25" t="s">
        <v>598</v>
      </c>
      <c r="C405" s="25" t="s">
        <v>5583</v>
      </c>
      <c r="D405" s="25" t="s">
        <v>836</v>
      </c>
      <c r="E405" s="25" t="s">
        <v>6330</v>
      </c>
      <c r="F405" s="25" t="s">
        <v>836</v>
      </c>
      <c r="G405" s="25">
        <v>1.26451764E7</v>
      </c>
      <c r="H405" s="25">
        <v>16487.3</v>
      </c>
      <c r="I405" s="26" t="s">
        <v>5441</v>
      </c>
      <c r="J405" s="26" t="s">
        <v>6152</v>
      </c>
      <c r="K405" s="26" t="str">
        <f t="shared" si="1"/>
        <v>ARB/CCB</v>
      </c>
      <c r="L405" s="26" t="str">
        <f t="shared" si="2"/>
        <v>Losartan/Amlodipine </v>
      </c>
      <c r="M405" s="26"/>
    </row>
    <row r="406" ht="17.25" customHeight="1">
      <c r="B406" s="25" t="s">
        <v>598</v>
      </c>
      <c r="C406" s="25" t="s">
        <v>5583</v>
      </c>
      <c r="D406" s="25" t="s">
        <v>852</v>
      </c>
      <c r="E406" s="25" t="s">
        <v>6331</v>
      </c>
      <c r="F406" s="25" t="s">
        <v>852</v>
      </c>
      <c r="G406" s="25">
        <v>1.737108948E7</v>
      </c>
      <c r="H406" s="25">
        <v>22483.64</v>
      </c>
      <c r="I406" s="26" t="s">
        <v>5441</v>
      </c>
      <c r="J406" s="26" t="s">
        <v>6152</v>
      </c>
      <c r="K406" s="26" t="str">
        <f t="shared" si="1"/>
        <v>ARB/CCB</v>
      </c>
      <c r="L406" s="26" t="str">
        <f t="shared" si="2"/>
        <v>Losartan/Amlodipine </v>
      </c>
      <c r="M406" s="26"/>
    </row>
    <row r="407" ht="17.25" customHeight="1">
      <c r="B407" s="25" t="s">
        <v>598</v>
      </c>
      <c r="C407" s="25" t="s">
        <v>5583</v>
      </c>
      <c r="D407" s="25" t="s">
        <v>730</v>
      </c>
      <c r="E407" s="25" t="s">
        <v>6332</v>
      </c>
      <c r="F407" s="25" t="s">
        <v>730</v>
      </c>
      <c r="G407" s="25">
        <v>3.67473168E7</v>
      </c>
      <c r="H407" s="25">
        <v>49531.0</v>
      </c>
      <c r="I407" s="26" t="s">
        <v>5441</v>
      </c>
      <c r="J407" s="26" t="s">
        <v>6152</v>
      </c>
      <c r="K407" s="26" t="str">
        <f t="shared" si="1"/>
        <v>ARB/CCB</v>
      </c>
      <c r="L407" s="26" t="str">
        <f t="shared" si="2"/>
        <v>Losartan/Amlodipine </v>
      </c>
      <c r="M407" s="26"/>
    </row>
    <row r="408" ht="17.25" customHeight="1">
      <c r="B408" s="25" t="s">
        <v>598</v>
      </c>
      <c r="C408" s="25" t="s">
        <v>5583</v>
      </c>
      <c r="D408" s="25" t="s">
        <v>884</v>
      </c>
      <c r="E408" s="25" t="s">
        <v>6333</v>
      </c>
      <c r="F408" s="25" t="s">
        <v>884</v>
      </c>
      <c r="G408" s="25">
        <v>3.344366325E7</v>
      </c>
      <c r="H408" s="25">
        <v>43529.03</v>
      </c>
      <c r="I408" s="26" t="s">
        <v>5441</v>
      </c>
      <c r="J408" s="26" t="s">
        <v>6152</v>
      </c>
      <c r="K408" s="26" t="str">
        <f t="shared" si="1"/>
        <v>ARB/CCB</v>
      </c>
      <c r="L408" s="26" t="str">
        <f t="shared" si="2"/>
        <v>Losartan/Amlodipine </v>
      </c>
      <c r="M408" s="26"/>
    </row>
    <row r="409" ht="17.25" customHeight="1">
      <c r="B409" s="25" t="s">
        <v>598</v>
      </c>
      <c r="C409" s="25" t="s">
        <v>5583</v>
      </c>
      <c r="D409" s="25" t="s">
        <v>886</v>
      </c>
      <c r="E409" s="25" t="s">
        <v>6334</v>
      </c>
      <c r="F409" s="25" t="s">
        <v>886</v>
      </c>
      <c r="G409" s="25">
        <v>4.072531902E7</v>
      </c>
      <c r="H409" s="25">
        <v>61452.19</v>
      </c>
      <c r="I409" s="26" t="s">
        <v>5441</v>
      </c>
      <c r="J409" s="26" t="s">
        <v>6152</v>
      </c>
      <c r="K409" s="26" t="str">
        <f t="shared" si="1"/>
        <v>ARB/CCB</v>
      </c>
      <c r="L409" s="26" t="str">
        <f t="shared" si="2"/>
        <v>Losartan/Amlodipine </v>
      </c>
      <c r="M409" s="26"/>
    </row>
    <row r="410" ht="17.25" customHeight="1">
      <c r="B410" s="25" t="s">
        <v>598</v>
      </c>
      <c r="C410" s="25" t="s">
        <v>5583</v>
      </c>
      <c r="D410" s="25" t="s">
        <v>900</v>
      </c>
      <c r="E410" s="25" t="s">
        <v>6335</v>
      </c>
      <c r="F410" s="25" t="s">
        <v>900</v>
      </c>
      <c r="G410" s="25">
        <v>2306999.04</v>
      </c>
      <c r="H410" s="25">
        <v>3864.32</v>
      </c>
      <c r="I410" s="26" t="s">
        <v>5441</v>
      </c>
      <c r="J410" s="26" t="s">
        <v>6152</v>
      </c>
      <c r="K410" s="26" t="str">
        <f t="shared" si="1"/>
        <v>ARB/CCB</v>
      </c>
      <c r="L410" s="26" t="str">
        <f t="shared" si="2"/>
        <v>Losartan/Amlodipine </v>
      </c>
      <c r="M410" s="26"/>
    </row>
    <row r="411" ht="17.25" customHeight="1">
      <c r="B411" s="25" t="s">
        <v>598</v>
      </c>
      <c r="C411" s="25" t="s">
        <v>5583</v>
      </c>
      <c r="D411" s="25" t="s">
        <v>717</v>
      </c>
      <c r="E411" s="25" t="s">
        <v>6336</v>
      </c>
      <c r="F411" s="25" t="s">
        <v>717</v>
      </c>
      <c r="G411" s="25">
        <v>2844502.02</v>
      </c>
      <c r="H411" s="25">
        <v>4764.66</v>
      </c>
      <c r="I411" s="26" t="s">
        <v>5441</v>
      </c>
      <c r="J411" s="26" t="s">
        <v>6152</v>
      </c>
      <c r="K411" s="26" t="str">
        <f t="shared" si="1"/>
        <v>ARB/CCB</v>
      </c>
      <c r="L411" s="26" t="str">
        <f t="shared" si="2"/>
        <v>Losartan/Amlodipine </v>
      </c>
      <c r="M411" s="26"/>
    </row>
    <row r="412" ht="17.25" customHeight="1">
      <c r="B412" s="25" t="s">
        <v>598</v>
      </c>
      <c r="C412" s="25" t="s">
        <v>5583</v>
      </c>
      <c r="D412" s="25" t="s">
        <v>1176</v>
      </c>
      <c r="E412" s="25" t="s">
        <v>6337</v>
      </c>
      <c r="F412" s="25" t="s">
        <v>1176</v>
      </c>
      <c r="G412" s="25">
        <v>1.78861087E7</v>
      </c>
      <c r="H412" s="25">
        <v>35270.9</v>
      </c>
      <c r="I412" s="26" t="s">
        <v>5441</v>
      </c>
      <c r="J412" s="26" t="s">
        <v>6152</v>
      </c>
      <c r="K412" s="26" t="str">
        <f t="shared" si="1"/>
        <v>ARB/CCB</v>
      </c>
      <c r="L412" s="26" t="str">
        <f t="shared" si="2"/>
        <v>Losartan/Amlodipine </v>
      </c>
      <c r="M412" s="26"/>
    </row>
    <row r="413" ht="17.25" customHeight="1">
      <c r="B413" s="25" t="s">
        <v>598</v>
      </c>
      <c r="C413" s="25" t="s">
        <v>5583</v>
      </c>
      <c r="D413" s="25" t="s">
        <v>935</v>
      </c>
      <c r="E413" s="25" t="s">
        <v>6338</v>
      </c>
      <c r="F413" s="25" t="s">
        <v>935</v>
      </c>
      <c r="G413" s="25">
        <v>2.7398321577E8</v>
      </c>
      <c r="H413" s="25">
        <v>363942.17</v>
      </c>
      <c r="I413" s="26" t="s">
        <v>5441</v>
      </c>
      <c r="J413" s="26" t="s">
        <v>6152</v>
      </c>
      <c r="K413" s="26" t="str">
        <f t="shared" si="1"/>
        <v>ARB/CCB</v>
      </c>
      <c r="L413" s="26" t="str">
        <f t="shared" si="2"/>
        <v>Losartan/Amlodipine </v>
      </c>
      <c r="M413" s="26"/>
    </row>
    <row r="414" ht="17.25" customHeight="1">
      <c r="B414" s="25" t="s">
        <v>598</v>
      </c>
      <c r="C414" s="25" t="s">
        <v>5583</v>
      </c>
      <c r="D414" s="25" t="s">
        <v>736</v>
      </c>
      <c r="E414" s="25" t="s">
        <v>6339</v>
      </c>
      <c r="F414" s="25" t="s">
        <v>736</v>
      </c>
      <c r="G414" s="25">
        <v>2.084565567E7</v>
      </c>
      <c r="H414" s="25">
        <v>32601.33</v>
      </c>
      <c r="I414" s="26" t="s">
        <v>5441</v>
      </c>
      <c r="J414" s="26" t="s">
        <v>6152</v>
      </c>
      <c r="K414" s="26" t="str">
        <f t="shared" si="1"/>
        <v>ARB/CCB</v>
      </c>
      <c r="L414" s="26" t="str">
        <f t="shared" si="2"/>
        <v>Losartan/Amlodipine </v>
      </c>
      <c r="M414" s="26"/>
    </row>
    <row r="415" ht="17.25" customHeight="1">
      <c r="B415" s="25" t="s">
        <v>598</v>
      </c>
      <c r="C415" s="25" t="s">
        <v>5583</v>
      </c>
      <c r="D415" s="25" t="s">
        <v>1050</v>
      </c>
      <c r="E415" s="25" t="s">
        <v>6340</v>
      </c>
      <c r="F415" s="25" t="s">
        <v>1050</v>
      </c>
      <c r="G415" s="25">
        <v>5.133776564E7</v>
      </c>
      <c r="H415" s="25">
        <v>80597.71</v>
      </c>
      <c r="I415" s="26" t="s">
        <v>5441</v>
      </c>
      <c r="J415" s="26" t="s">
        <v>6152</v>
      </c>
      <c r="K415" s="26" t="str">
        <f t="shared" si="1"/>
        <v>ARB/CCB</v>
      </c>
      <c r="L415" s="26" t="str">
        <f t="shared" si="2"/>
        <v>Losartan/Amlodipine </v>
      </c>
      <c r="M415" s="26"/>
    </row>
    <row r="416" ht="17.25" customHeight="1">
      <c r="B416" s="25" t="s">
        <v>598</v>
      </c>
      <c r="C416" s="25" t="s">
        <v>6075</v>
      </c>
      <c r="D416" s="25" t="s">
        <v>701</v>
      </c>
      <c r="E416" s="25" t="s">
        <v>6341</v>
      </c>
      <c r="F416" s="25" t="s">
        <v>701</v>
      </c>
      <c r="G416" s="25">
        <v>7.357813072E7</v>
      </c>
      <c r="H416" s="25">
        <v>140416.28</v>
      </c>
      <c r="I416" s="26" t="s">
        <v>5441</v>
      </c>
      <c r="J416" s="26" t="s">
        <v>6152</v>
      </c>
      <c r="K416" s="26" t="str">
        <f t="shared" si="1"/>
        <v>ARB/CCB</v>
      </c>
      <c r="L416" s="26" t="str">
        <f t="shared" si="2"/>
        <v>Telmisartan/amlodipine</v>
      </c>
      <c r="M416" s="26"/>
    </row>
    <row r="417" ht="17.25" customHeight="1">
      <c r="B417" s="25" t="s">
        <v>598</v>
      </c>
      <c r="C417" s="25" t="s">
        <v>6078</v>
      </c>
      <c r="D417" s="25" t="s">
        <v>701</v>
      </c>
      <c r="E417" s="25" t="s">
        <v>6342</v>
      </c>
      <c r="F417" s="25" t="s">
        <v>701</v>
      </c>
      <c r="G417" s="25">
        <v>1.6519506694E8</v>
      </c>
      <c r="H417" s="25">
        <v>238721.2</v>
      </c>
      <c r="I417" s="26" t="s">
        <v>5441</v>
      </c>
      <c r="J417" s="26" t="s">
        <v>6152</v>
      </c>
      <c r="K417" s="26" t="str">
        <f t="shared" si="1"/>
        <v>ARB/CCB/DU </v>
      </c>
      <c r="L417" s="26" t="str">
        <f t="shared" si="2"/>
        <v>Telmisartan/amlodipine/Chlorthalidone</v>
      </c>
      <c r="M417" s="26"/>
    </row>
    <row r="418" ht="17.25" customHeight="1">
      <c r="B418" s="25" t="s">
        <v>598</v>
      </c>
      <c r="C418" s="25" t="s">
        <v>5587</v>
      </c>
      <c r="D418" s="25" t="s">
        <v>761</v>
      </c>
      <c r="E418" s="25" t="s">
        <v>6343</v>
      </c>
      <c r="F418" s="25" t="s">
        <v>761</v>
      </c>
      <c r="G418" s="25">
        <v>1268221.5</v>
      </c>
      <c r="H418" s="25">
        <v>2013.05</v>
      </c>
      <c r="I418" s="26" t="s">
        <v>5441</v>
      </c>
      <c r="J418" s="26" t="s">
        <v>6152</v>
      </c>
      <c r="K418" s="26" t="str">
        <f t="shared" si="1"/>
        <v>ARB/CCB</v>
      </c>
      <c r="L418" s="26" t="str">
        <f t="shared" si="2"/>
        <v>Telmisartan/Amlodipine/Chlorthalidone</v>
      </c>
      <c r="M418" s="26"/>
    </row>
    <row r="419" ht="17.25" customHeight="1">
      <c r="B419" s="25" t="s">
        <v>598</v>
      </c>
      <c r="C419" s="25" t="s">
        <v>5587</v>
      </c>
      <c r="D419" s="25" t="s">
        <v>701</v>
      </c>
      <c r="E419" s="25" t="s">
        <v>6342</v>
      </c>
      <c r="F419" s="25" t="s">
        <v>701</v>
      </c>
      <c r="G419" s="25">
        <v>1.81397216456E9</v>
      </c>
      <c r="H419" s="25">
        <v>2224269.22</v>
      </c>
      <c r="I419" s="26" t="s">
        <v>5441</v>
      </c>
      <c r="J419" s="26" t="s">
        <v>6152</v>
      </c>
      <c r="K419" s="26" t="str">
        <f t="shared" si="1"/>
        <v>ARB/CCB</v>
      </c>
      <c r="L419" s="26" t="str">
        <f t="shared" si="2"/>
        <v>Telmisartan/Amlodipine/Chlorthalidone</v>
      </c>
      <c r="M419" s="26"/>
    </row>
    <row r="420" ht="17.25" customHeight="1">
      <c r="B420" s="25" t="s">
        <v>598</v>
      </c>
      <c r="C420" s="25" t="s">
        <v>5587</v>
      </c>
      <c r="D420" s="25" t="s">
        <v>999</v>
      </c>
      <c r="E420" s="25" t="s">
        <v>6344</v>
      </c>
      <c r="F420" s="25" t="s">
        <v>999</v>
      </c>
      <c r="G420" s="25">
        <v>4783576.86</v>
      </c>
      <c r="H420" s="25">
        <v>5672.22</v>
      </c>
      <c r="I420" s="26" t="s">
        <v>5441</v>
      </c>
      <c r="J420" s="26" t="s">
        <v>6152</v>
      </c>
      <c r="K420" s="26" t="str">
        <f t="shared" si="1"/>
        <v>ARB/CCB</v>
      </c>
      <c r="L420" s="26" t="str">
        <f t="shared" si="2"/>
        <v>Telmisartan/Amlodipine/Chlorthalidone</v>
      </c>
      <c r="M420" s="26"/>
    </row>
    <row r="421" ht="17.25" customHeight="1">
      <c r="B421" s="25" t="s">
        <v>598</v>
      </c>
      <c r="C421" s="25" t="s">
        <v>5587</v>
      </c>
      <c r="D421" s="25" t="s">
        <v>876</v>
      </c>
      <c r="E421" s="25" t="s">
        <v>6345</v>
      </c>
      <c r="F421" s="25" t="s">
        <v>876</v>
      </c>
      <c r="G421" s="25">
        <v>1237729.92</v>
      </c>
      <c r="H421" s="25">
        <v>1393.84</v>
      </c>
      <c r="I421" s="26" t="s">
        <v>5441</v>
      </c>
      <c r="J421" s="26" t="s">
        <v>6152</v>
      </c>
      <c r="K421" s="26" t="str">
        <f t="shared" si="1"/>
        <v>ARB/CCB</v>
      </c>
      <c r="L421" s="26" t="str">
        <f t="shared" si="2"/>
        <v>Telmisartan/Amlodipine/Chlorthalidone</v>
      </c>
      <c r="M421" s="26"/>
    </row>
    <row r="422" ht="17.25" customHeight="1">
      <c r="B422" s="25" t="s">
        <v>598</v>
      </c>
      <c r="C422" s="25" t="s">
        <v>5591</v>
      </c>
      <c r="D422" s="25" t="s">
        <v>695</v>
      </c>
      <c r="E422" s="25" t="s">
        <v>6346</v>
      </c>
      <c r="F422" s="25" t="s">
        <v>695</v>
      </c>
      <c r="G422" s="25">
        <v>8.620112538E7</v>
      </c>
      <c r="H422" s="25">
        <v>135759.03</v>
      </c>
      <c r="I422" s="26" t="s">
        <v>5441</v>
      </c>
      <c r="J422" s="26" t="s">
        <v>6152</v>
      </c>
      <c r="K422" s="26" t="str">
        <f t="shared" si="1"/>
        <v>ARB/CCB</v>
      </c>
      <c r="L422" s="26" t="str">
        <f t="shared" si="2"/>
        <v>Olmesartan/amlodipine/Hydrochlothiazide</v>
      </c>
      <c r="M422" s="26"/>
    </row>
    <row r="423" ht="17.25" customHeight="1">
      <c r="B423" s="25" t="s">
        <v>598</v>
      </c>
      <c r="C423" s="25" t="s">
        <v>5591</v>
      </c>
      <c r="D423" s="25" t="s">
        <v>1738</v>
      </c>
      <c r="E423" s="25" t="s">
        <v>6347</v>
      </c>
      <c r="F423" s="25" t="s">
        <v>1738</v>
      </c>
      <c r="G423" s="25">
        <v>3.60935273625E9</v>
      </c>
      <c r="H423" s="25">
        <v>4789301.1</v>
      </c>
      <c r="I423" s="26" t="s">
        <v>5441</v>
      </c>
      <c r="J423" s="26" t="s">
        <v>6152</v>
      </c>
      <c r="K423" s="26" t="str">
        <f t="shared" si="1"/>
        <v>ARB/CCB</v>
      </c>
      <c r="L423" s="26" t="str">
        <f t="shared" si="2"/>
        <v>Olmesartan/amlodipine/Hydrochlothiazide</v>
      </c>
      <c r="M423" s="26"/>
    </row>
    <row r="424" ht="17.25" customHeight="1">
      <c r="B424" s="25" t="s">
        <v>598</v>
      </c>
      <c r="C424" s="25" t="s">
        <v>5591</v>
      </c>
      <c r="D424" s="25" t="s">
        <v>759</v>
      </c>
      <c r="E424" s="25" t="s">
        <v>6348</v>
      </c>
      <c r="F424" s="25" t="s">
        <v>759</v>
      </c>
      <c r="G424" s="25">
        <v>2.08705405E7</v>
      </c>
      <c r="H424" s="25">
        <v>32123.04</v>
      </c>
      <c r="I424" s="26" t="s">
        <v>5441</v>
      </c>
      <c r="J424" s="26" t="s">
        <v>6152</v>
      </c>
      <c r="K424" s="26" t="str">
        <f t="shared" si="1"/>
        <v>ARB/CCB</v>
      </c>
      <c r="L424" s="26" t="str">
        <f t="shared" si="2"/>
        <v>Olmesartan/amlodipine/Hydrochlothiazide</v>
      </c>
      <c r="M424" s="26"/>
    </row>
    <row r="425" ht="17.25" customHeight="1">
      <c r="B425" s="25" t="s">
        <v>598</v>
      </c>
      <c r="C425" s="25" t="s">
        <v>5591</v>
      </c>
      <c r="D425" s="25" t="s">
        <v>761</v>
      </c>
      <c r="E425" s="25" t="s">
        <v>6349</v>
      </c>
      <c r="F425" s="25" t="s">
        <v>761</v>
      </c>
      <c r="G425" s="25">
        <v>2.105589768E7</v>
      </c>
      <c r="H425" s="25">
        <v>33859.88</v>
      </c>
      <c r="I425" s="26" t="s">
        <v>5441</v>
      </c>
      <c r="J425" s="26" t="s">
        <v>6152</v>
      </c>
      <c r="K425" s="26" t="str">
        <f t="shared" si="1"/>
        <v>ARB/CCB</v>
      </c>
      <c r="L425" s="26" t="str">
        <f t="shared" si="2"/>
        <v>Olmesartan/amlodipine/Hydrochlothiazide</v>
      </c>
      <c r="M425" s="26"/>
    </row>
    <row r="426" ht="17.25" customHeight="1">
      <c r="B426" s="25" t="s">
        <v>598</v>
      </c>
      <c r="C426" s="25" t="s">
        <v>5591</v>
      </c>
      <c r="D426" s="25" t="s">
        <v>770</v>
      </c>
      <c r="E426" s="25" t="s">
        <v>6350</v>
      </c>
      <c r="F426" s="25" t="s">
        <v>770</v>
      </c>
      <c r="G426" s="25">
        <v>8.491642116E7</v>
      </c>
      <c r="H426" s="25">
        <v>133854.84</v>
      </c>
      <c r="I426" s="26" t="s">
        <v>5441</v>
      </c>
      <c r="J426" s="26" t="s">
        <v>6152</v>
      </c>
      <c r="K426" s="26" t="str">
        <f t="shared" si="1"/>
        <v>ARB/CCB</v>
      </c>
      <c r="L426" s="26" t="str">
        <f t="shared" si="2"/>
        <v>Olmesartan/amlodipine/Hydrochlothiazide</v>
      </c>
      <c r="M426" s="26"/>
    </row>
    <row r="427" ht="17.25" customHeight="1">
      <c r="B427" s="25" t="s">
        <v>598</v>
      </c>
      <c r="C427" s="25" t="s">
        <v>5591</v>
      </c>
      <c r="D427" s="25" t="s">
        <v>774</v>
      </c>
      <c r="E427" s="25" t="s">
        <v>6351</v>
      </c>
      <c r="F427" s="25" t="s">
        <v>774</v>
      </c>
      <c r="G427" s="25">
        <v>6.056696834E7</v>
      </c>
      <c r="H427" s="25">
        <v>94684.71</v>
      </c>
      <c r="I427" s="26" t="s">
        <v>5441</v>
      </c>
      <c r="J427" s="26" t="s">
        <v>6152</v>
      </c>
      <c r="K427" s="26" t="str">
        <f t="shared" si="1"/>
        <v>ARB/CCB</v>
      </c>
      <c r="L427" s="26" t="str">
        <f t="shared" si="2"/>
        <v>Olmesartan/amlodipine/Hydrochlothiazide</v>
      </c>
      <c r="M427" s="26"/>
    </row>
    <row r="428" ht="17.25" customHeight="1">
      <c r="B428" s="25" t="s">
        <v>598</v>
      </c>
      <c r="C428" s="25" t="s">
        <v>5591</v>
      </c>
      <c r="D428" s="25" t="s">
        <v>776</v>
      </c>
      <c r="E428" s="25" t="s">
        <v>6352</v>
      </c>
      <c r="F428" s="25" t="s">
        <v>776</v>
      </c>
      <c r="G428" s="25">
        <v>8.008049716E7</v>
      </c>
      <c r="H428" s="25">
        <v>125671.42</v>
      </c>
      <c r="I428" s="26" t="s">
        <v>5441</v>
      </c>
      <c r="J428" s="26" t="s">
        <v>6152</v>
      </c>
      <c r="K428" s="26" t="str">
        <f t="shared" si="1"/>
        <v>ARB/CCB</v>
      </c>
      <c r="L428" s="26" t="str">
        <f t="shared" si="2"/>
        <v>Olmesartan/amlodipine/Hydrochlothiazide</v>
      </c>
      <c r="M428" s="26"/>
    </row>
    <row r="429" ht="17.25" customHeight="1">
      <c r="B429" s="25" t="s">
        <v>598</v>
      </c>
      <c r="C429" s="25" t="s">
        <v>5591</v>
      </c>
      <c r="D429" s="25" t="s">
        <v>779</v>
      </c>
      <c r="E429" s="25" t="s">
        <v>6353</v>
      </c>
      <c r="F429" s="25" t="s">
        <v>779</v>
      </c>
      <c r="G429" s="25">
        <v>1.8024307178E8</v>
      </c>
      <c r="H429" s="25">
        <v>279748.31</v>
      </c>
      <c r="I429" s="26" t="s">
        <v>5441</v>
      </c>
      <c r="J429" s="26" t="s">
        <v>6152</v>
      </c>
      <c r="K429" s="26" t="str">
        <f t="shared" si="1"/>
        <v>ARB/CCB</v>
      </c>
      <c r="L429" s="26" t="str">
        <f t="shared" si="2"/>
        <v>Olmesartan/amlodipine/Hydrochlothiazide</v>
      </c>
      <c r="M429" s="26"/>
    </row>
    <row r="430" ht="17.25" customHeight="1">
      <c r="B430" s="25" t="s">
        <v>598</v>
      </c>
      <c r="C430" s="25" t="s">
        <v>5591</v>
      </c>
      <c r="D430" s="25" t="s">
        <v>783</v>
      </c>
      <c r="E430" s="25" t="s">
        <v>6354</v>
      </c>
      <c r="F430" s="25" t="s">
        <v>783</v>
      </c>
      <c r="G430" s="25">
        <v>1.0113031848E8</v>
      </c>
      <c r="H430" s="25">
        <v>159504.4</v>
      </c>
      <c r="I430" s="26" t="s">
        <v>5441</v>
      </c>
      <c r="J430" s="26" t="s">
        <v>6152</v>
      </c>
      <c r="K430" s="26" t="str">
        <f t="shared" si="1"/>
        <v>ARB/CCB</v>
      </c>
      <c r="L430" s="26" t="str">
        <f t="shared" si="2"/>
        <v>Olmesartan/amlodipine/Hydrochlothiazide</v>
      </c>
      <c r="M430" s="26"/>
    </row>
    <row r="431" ht="17.25" customHeight="1">
      <c r="B431" s="25" t="s">
        <v>598</v>
      </c>
      <c r="C431" s="25" t="s">
        <v>5591</v>
      </c>
      <c r="D431" s="25" t="s">
        <v>792</v>
      </c>
      <c r="E431" s="25" t="s">
        <v>6355</v>
      </c>
      <c r="F431" s="25" t="s">
        <v>792</v>
      </c>
      <c r="G431" s="25">
        <v>1.5264802222E8</v>
      </c>
      <c r="H431" s="25">
        <v>203356.11</v>
      </c>
      <c r="I431" s="26" t="s">
        <v>5441</v>
      </c>
      <c r="J431" s="26" t="s">
        <v>6152</v>
      </c>
      <c r="K431" s="26" t="str">
        <f t="shared" si="1"/>
        <v>ARB/CCB</v>
      </c>
      <c r="L431" s="26" t="str">
        <f t="shared" si="2"/>
        <v>Olmesartan/amlodipine/Hydrochlothiazide</v>
      </c>
      <c r="M431" s="26"/>
    </row>
    <row r="432" ht="17.25" customHeight="1">
      <c r="B432" s="25" t="s">
        <v>598</v>
      </c>
      <c r="C432" s="25" t="s">
        <v>5591</v>
      </c>
      <c r="D432" s="25" t="s">
        <v>794</v>
      </c>
      <c r="E432" s="25" t="s">
        <v>6356</v>
      </c>
      <c r="F432" s="25" t="s">
        <v>794</v>
      </c>
      <c r="G432" s="25">
        <v>3.855421612E7</v>
      </c>
      <c r="H432" s="25">
        <v>60108.3</v>
      </c>
      <c r="I432" s="26" t="s">
        <v>5441</v>
      </c>
      <c r="J432" s="26" t="s">
        <v>6152</v>
      </c>
      <c r="K432" s="26" t="str">
        <f t="shared" si="1"/>
        <v>ARB/CCB</v>
      </c>
      <c r="L432" s="26" t="str">
        <f t="shared" si="2"/>
        <v>Olmesartan/amlodipine/Hydrochlothiazide</v>
      </c>
      <c r="M432" s="26"/>
    </row>
    <row r="433" ht="17.25" customHeight="1">
      <c r="B433" s="25" t="s">
        <v>598</v>
      </c>
      <c r="C433" s="25" t="s">
        <v>5591</v>
      </c>
      <c r="D433" s="25" t="s">
        <v>796</v>
      </c>
      <c r="E433" s="25" t="s">
        <v>6357</v>
      </c>
      <c r="F433" s="25" t="s">
        <v>796</v>
      </c>
      <c r="G433" s="25">
        <v>6.623813064E7</v>
      </c>
      <c r="H433" s="25">
        <v>102317.58</v>
      </c>
      <c r="I433" s="26" t="s">
        <v>5441</v>
      </c>
      <c r="J433" s="26" t="s">
        <v>6152</v>
      </c>
      <c r="K433" s="26" t="str">
        <f t="shared" si="1"/>
        <v>ARB/CCB</v>
      </c>
      <c r="L433" s="26" t="str">
        <f t="shared" si="2"/>
        <v>Olmesartan/amlodipine/Hydrochlothiazide</v>
      </c>
      <c r="M433" s="26"/>
    </row>
    <row r="434" ht="17.25" customHeight="1">
      <c r="B434" s="25" t="s">
        <v>598</v>
      </c>
      <c r="C434" s="25" t="s">
        <v>5591</v>
      </c>
      <c r="D434" s="25" t="s">
        <v>810</v>
      </c>
      <c r="E434" s="25" t="s">
        <v>6358</v>
      </c>
      <c r="F434" s="25" t="s">
        <v>810</v>
      </c>
      <c r="G434" s="25">
        <v>1.9391534408E8</v>
      </c>
      <c r="H434" s="25">
        <v>302611.18</v>
      </c>
      <c r="I434" s="26" t="s">
        <v>5441</v>
      </c>
      <c r="J434" s="26" t="s">
        <v>6152</v>
      </c>
      <c r="K434" s="26" t="str">
        <f t="shared" si="1"/>
        <v>ARB/CCB</v>
      </c>
      <c r="L434" s="26" t="str">
        <f t="shared" si="2"/>
        <v>Olmesartan/amlodipine/Hydrochlothiazide</v>
      </c>
      <c r="M434" s="26"/>
    </row>
    <row r="435" ht="17.25" customHeight="1">
      <c r="B435" s="25" t="s">
        <v>598</v>
      </c>
      <c r="C435" s="25" t="s">
        <v>5591</v>
      </c>
      <c r="D435" s="25" t="s">
        <v>826</v>
      </c>
      <c r="E435" s="25" t="s">
        <v>6359</v>
      </c>
      <c r="F435" s="25" t="s">
        <v>826</v>
      </c>
      <c r="G435" s="25">
        <v>1.3646433586E8</v>
      </c>
      <c r="H435" s="25">
        <v>211530.19</v>
      </c>
      <c r="I435" s="26" t="s">
        <v>5441</v>
      </c>
      <c r="J435" s="26" t="s">
        <v>6152</v>
      </c>
      <c r="K435" s="26" t="str">
        <f t="shared" si="1"/>
        <v>ARB/CCB</v>
      </c>
      <c r="L435" s="26" t="str">
        <f t="shared" si="2"/>
        <v>Olmesartan/amlodipine/Hydrochlothiazide</v>
      </c>
      <c r="M435" s="26"/>
    </row>
    <row r="436" ht="17.25" customHeight="1">
      <c r="B436" s="25" t="s">
        <v>598</v>
      </c>
      <c r="C436" s="25" t="s">
        <v>5591</v>
      </c>
      <c r="D436" s="25" t="s">
        <v>834</v>
      </c>
      <c r="E436" s="25" t="s">
        <v>6360</v>
      </c>
      <c r="F436" s="25" t="s">
        <v>834</v>
      </c>
      <c r="G436" s="25">
        <v>6.751716996E7</v>
      </c>
      <c r="H436" s="25">
        <v>103345.2</v>
      </c>
      <c r="I436" s="26" t="s">
        <v>5441</v>
      </c>
      <c r="J436" s="26" t="s">
        <v>6152</v>
      </c>
      <c r="K436" s="26" t="str">
        <f t="shared" si="1"/>
        <v>ARB/CCB</v>
      </c>
      <c r="L436" s="26" t="str">
        <f t="shared" si="2"/>
        <v>Olmesartan/amlodipine/Hydrochlothiazide</v>
      </c>
      <c r="M436" s="26"/>
    </row>
    <row r="437" ht="17.25" customHeight="1">
      <c r="B437" s="25" t="s">
        <v>598</v>
      </c>
      <c r="C437" s="25" t="s">
        <v>5591</v>
      </c>
      <c r="D437" s="25" t="s">
        <v>710</v>
      </c>
      <c r="E437" s="25" t="s">
        <v>6361</v>
      </c>
      <c r="F437" s="25" t="s">
        <v>710</v>
      </c>
      <c r="G437" s="25">
        <v>4.728842656E7</v>
      </c>
      <c r="H437" s="25">
        <v>74863.06</v>
      </c>
      <c r="I437" s="26" t="s">
        <v>5441</v>
      </c>
      <c r="J437" s="26" t="s">
        <v>6152</v>
      </c>
      <c r="K437" s="26" t="str">
        <f t="shared" si="1"/>
        <v>ARB/CCB</v>
      </c>
      <c r="L437" s="26" t="str">
        <f t="shared" si="2"/>
        <v>Olmesartan/amlodipine/Hydrochlothiazide</v>
      </c>
      <c r="M437" s="26"/>
    </row>
    <row r="438" ht="17.25" customHeight="1">
      <c r="B438" s="25" t="s">
        <v>598</v>
      </c>
      <c r="C438" s="25" t="s">
        <v>5591</v>
      </c>
      <c r="D438" s="25" t="s">
        <v>732</v>
      </c>
      <c r="E438" s="25" t="s">
        <v>6362</v>
      </c>
      <c r="F438" s="25" t="s">
        <v>732</v>
      </c>
      <c r="G438" s="25">
        <v>2.506407356E7</v>
      </c>
      <c r="H438" s="25">
        <v>40157.22</v>
      </c>
      <c r="I438" s="26" t="s">
        <v>5441</v>
      </c>
      <c r="J438" s="26" t="s">
        <v>6152</v>
      </c>
      <c r="K438" s="26" t="str">
        <f t="shared" si="1"/>
        <v>ARB/CCB</v>
      </c>
      <c r="L438" s="26" t="str">
        <f t="shared" si="2"/>
        <v>Olmesartan/amlodipine/Hydrochlothiazide</v>
      </c>
      <c r="M438" s="26"/>
    </row>
    <row r="439" ht="17.25" customHeight="1">
      <c r="B439" s="25" t="s">
        <v>598</v>
      </c>
      <c r="C439" s="25" t="s">
        <v>5591</v>
      </c>
      <c r="D439" s="25" t="s">
        <v>734</v>
      </c>
      <c r="E439" s="25" t="s">
        <v>6363</v>
      </c>
      <c r="F439" s="25" t="s">
        <v>734</v>
      </c>
      <c r="G439" s="25">
        <v>5.146067862E7</v>
      </c>
      <c r="H439" s="25">
        <v>80554.67</v>
      </c>
      <c r="I439" s="26" t="s">
        <v>5441</v>
      </c>
      <c r="J439" s="26" t="s">
        <v>6152</v>
      </c>
      <c r="K439" s="26" t="str">
        <f t="shared" si="1"/>
        <v>ARB/CCB</v>
      </c>
      <c r="L439" s="26" t="str">
        <f t="shared" si="2"/>
        <v>Olmesartan/amlodipine/Hydrochlothiazide</v>
      </c>
      <c r="M439" s="26"/>
    </row>
    <row r="440" ht="17.25" customHeight="1">
      <c r="B440" s="25" t="s">
        <v>598</v>
      </c>
      <c r="C440" s="25" t="s">
        <v>5591</v>
      </c>
      <c r="D440" s="25" t="s">
        <v>999</v>
      </c>
      <c r="E440" s="25" t="s">
        <v>6364</v>
      </c>
      <c r="F440" s="25" t="s">
        <v>999</v>
      </c>
      <c r="G440" s="25">
        <v>4.178874828E7</v>
      </c>
      <c r="H440" s="25">
        <v>66178.48</v>
      </c>
      <c r="I440" s="26" t="s">
        <v>5441</v>
      </c>
      <c r="J440" s="26" t="s">
        <v>6152</v>
      </c>
      <c r="K440" s="26" t="str">
        <f t="shared" si="1"/>
        <v>ARB/CCB</v>
      </c>
      <c r="L440" s="26" t="str">
        <f t="shared" si="2"/>
        <v>Olmesartan/amlodipine/Hydrochlothiazide</v>
      </c>
      <c r="M440" s="26"/>
    </row>
    <row r="441" ht="17.25" customHeight="1">
      <c r="B441" s="25" t="s">
        <v>598</v>
      </c>
      <c r="C441" s="25" t="s">
        <v>5591</v>
      </c>
      <c r="D441" s="25" t="s">
        <v>876</v>
      </c>
      <c r="E441" s="25" t="s">
        <v>6365</v>
      </c>
      <c r="F441" s="25" t="s">
        <v>876</v>
      </c>
      <c r="G441" s="25">
        <v>7.364225186E7</v>
      </c>
      <c r="H441" s="25">
        <v>113322.03</v>
      </c>
      <c r="I441" s="26" t="s">
        <v>5441</v>
      </c>
      <c r="J441" s="26" t="s">
        <v>6152</v>
      </c>
      <c r="K441" s="26" t="str">
        <f t="shared" si="1"/>
        <v>ARB/CCB</v>
      </c>
      <c r="L441" s="26" t="str">
        <f t="shared" si="2"/>
        <v>Olmesartan/amlodipine/Hydrochlothiazide</v>
      </c>
      <c r="M441" s="26"/>
    </row>
    <row r="442" ht="17.25" customHeight="1">
      <c r="B442" s="25" t="s">
        <v>598</v>
      </c>
      <c r="C442" s="25" t="s">
        <v>5591</v>
      </c>
      <c r="D442" s="25" t="s">
        <v>900</v>
      </c>
      <c r="E442" s="25" t="s">
        <v>6366</v>
      </c>
      <c r="F442" s="25" t="s">
        <v>900</v>
      </c>
      <c r="G442" s="25">
        <v>8.260182554E7</v>
      </c>
      <c r="H442" s="25">
        <v>130984.21</v>
      </c>
      <c r="I442" s="26" t="s">
        <v>5441</v>
      </c>
      <c r="J442" s="26" t="s">
        <v>6152</v>
      </c>
      <c r="K442" s="26" t="str">
        <f t="shared" si="1"/>
        <v>ARB/CCB</v>
      </c>
      <c r="L442" s="26" t="str">
        <f t="shared" si="2"/>
        <v>Olmesartan/amlodipine/Hydrochlothiazide</v>
      </c>
      <c r="M442" s="26"/>
    </row>
    <row r="443" ht="17.25" customHeight="1">
      <c r="B443" s="25" t="s">
        <v>598</v>
      </c>
      <c r="C443" s="25" t="s">
        <v>5591</v>
      </c>
      <c r="D443" s="25" t="s">
        <v>717</v>
      </c>
      <c r="E443" s="25" t="s">
        <v>6367</v>
      </c>
      <c r="F443" s="25" t="s">
        <v>717</v>
      </c>
      <c r="G443" s="25">
        <v>1.2624694258E8</v>
      </c>
      <c r="H443" s="25">
        <v>197097.21</v>
      </c>
      <c r="I443" s="26" t="s">
        <v>5441</v>
      </c>
      <c r="J443" s="26" t="s">
        <v>6152</v>
      </c>
      <c r="K443" s="26" t="str">
        <f t="shared" si="1"/>
        <v>ARB/CCB</v>
      </c>
      <c r="L443" s="26" t="str">
        <f t="shared" si="2"/>
        <v>Olmesartan/amlodipine/Hydrochlothiazide</v>
      </c>
      <c r="M443" s="26"/>
    </row>
    <row r="444" ht="17.25" customHeight="1">
      <c r="B444" s="25" t="s">
        <v>598</v>
      </c>
      <c r="C444" s="25" t="s">
        <v>5591</v>
      </c>
      <c r="D444" s="25" t="s">
        <v>1445</v>
      </c>
      <c r="E444" s="25" t="s">
        <v>6368</v>
      </c>
      <c r="F444" s="25" t="s">
        <v>1445</v>
      </c>
      <c r="G444" s="25">
        <v>2.376542722E7</v>
      </c>
      <c r="H444" s="25">
        <v>38234.45</v>
      </c>
      <c r="I444" s="26" t="s">
        <v>5441</v>
      </c>
      <c r="J444" s="26" t="s">
        <v>6152</v>
      </c>
      <c r="K444" s="26" t="str">
        <f t="shared" si="1"/>
        <v>ARB/CCB</v>
      </c>
      <c r="L444" s="26" t="str">
        <f t="shared" si="2"/>
        <v>Olmesartan/amlodipine/Hydrochlothiazide</v>
      </c>
      <c r="M444" s="26"/>
    </row>
    <row r="445" ht="17.25" customHeight="1">
      <c r="B445" s="25" t="s">
        <v>598</v>
      </c>
      <c r="C445" s="25" t="s">
        <v>5591</v>
      </c>
      <c r="D445" s="25" t="s">
        <v>927</v>
      </c>
      <c r="E445" s="25" t="s">
        <v>6369</v>
      </c>
      <c r="F445" s="25" t="s">
        <v>927</v>
      </c>
      <c r="G445" s="25">
        <v>1.523698514E7</v>
      </c>
      <c r="H445" s="25">
        <v>24517.53</v>
      </c>
      <c r="I445" s="26" t="s">
        <v>5441</v>
      </c>
      <c r="J445" s="26" t="s">
        <v>6152</v>
      </c>
      <c r="K445" s="26" t="str">
        <f t="shared" si="1"/>
        <v>ARB/CCB</v>
      </c>
      <c r="L445" s="26" t="str">
        <f t="shared" si="2"/>
        <v>Olmesartan/amlodipine/Hydrochlothiazide</v>
      </c>
      <c r="M445" s="26"/>
    </row>
    <row r="446" ht="17.25" customHeight="1">
      <c r="B446" s="25" t="s">
        <v>598</v>
      </c>
      <c r="C446" s="25" t="s">
        <v>5591</v>
      </c>
      <c r="D446" s="25" t="s">
        <v>736</v>
      </c>
      <c r="E446" s="25" t="s">
        <v>6370</v>
      </c>
      <c r="F446" s="25" t="s">
        <v>736</v>
      </c>
      <c r="G446" s="25">
        <v>4.744156383E7</v>
      </c>
      <c r="H446" s="25">
        <v>73772.86</v>
      </c>
      <c r="I446" s="26" t="s">
        <v>5441</v>
      </c>
      <c r="J446" s="26" t="s">
        <v>6152</v>
      </c>
      <c r="K446" s="26" t="str">
        <f t="shared" si="1"/>
        <v>ARB/CCB</v>
      </c>
      <c r="L446" s="26" t="str">
        <f t="shared" si="2"/>
        <v>Olmesartan/amlodipine/Hydrochlothiazide</v>
      </c>
      <c r="M446" s="26"/>
    </row>
    <row r="447" ht="17.25" customHeight="1">
      <c r="B447" s="25" t="s">
        <v>598</v>
      </c>
      <c r="C447" s="25" t="s">
        <v>5591</v>
      </c>
      <c r="D447" s="25" t="s">
        <v>941</v>
      </c>
      <c r="E447" s="25" t="s">
        <v>6371</v>
      </c>
      <c r="F447" s="25" t="s">
        <v>941</v>
      </c>
      <c r="G447" s="25">
        <v>7.709810634E7</v>
      </c>
      <c r="H447" s="25">
        <v>102202.97</v>
      </c>
      <c r="I447" s="26" t="s">
        <v>5441</v>
      </c>
      <c r="J447" s="26" t="s">
        <v>6152</v>
      </c>
      <c r="K447" s="26" t="str">
        <f t="shared" si="1"/>
        <v>ARB/CCB</v>
      </c>
      <c r="L447" s="26" t="str">
        <f t="shared" si="2"/>
        <v>Olmesartan/amlodipine/Hydrochlothiazide</v>
      </c>
      <c r="M447" s="26"/>
    </row>
    <row r="448" ht="17.25" customHeight="1">
      <c r="B448" s="25" t="s">
        <v>598</v>
      </c>
      <c r="C448" s="25" t="s">
        <v>5595</v>
      </c>
      <c r="D448" s="25" t="s">
        <v>739</v>
      </c>
      <c r="E448" s="25" t="s">
        <v>6372</v>
      </c>
      <c r="F448" s="25" t="s">
        <v>739</v>
      </c>
      <c r="G448" s="25">
        <v>1.519566124E7</v>
      </c>
      <c r="H448" s="25">
        <v>24524.03</v>
      </c>
      <c r="I448" s="26" t="s">
        <v>5441</v>
      </c>
      <c r="J448" s="26" t="s">
        <v>6152</v>
      </c>
      <c r="K448" s="26" t="str">
        <f t="shared" si="1"/>
        <v>ARB/CCB</v>
      </c>
      <c r="L448" s="26" t="str">
        <f t="shared" si="2"/>
        <v>Olmesartan/amlodipine</v>
      </c>
      <c r="M448" s="26"/>
    </row>
    <row r="449" ht="17.25" customHeight="1">
      <c r="B449" s="25" t="s">
        <v>598</v>
      </c>
      <c r="C449" s="25" t="s">
        <v>5595</v>
      </c>
      <c r="D449" s="25" t="s">
        <v>695</v>
      </c>
      <c r="E449" s="25" t="s">
        <v>6373</v>
      </c>
      <c r="F449" s="25" t="s">
        <v>695</v>
      </c>
      <c r="G449" s="25">
        <v>2.8955655074E8</v>
      </c>
      <c r="H449" s="25">
        <v>397369.64</v>
      </c>
      <c r="I449" s="26" t="s">
        <v>5441</v>
      </c>
      <c r="J449" s="26" t="s">
        <v>6152</v>
      </c>
      <c r="K449" s="26" t="str">
        <f t="shared" si="1"/>
        <v>ARB/CCB</v>
      </c>
      <c r="L449" s="26" t="str">
        <f t="shared" si="2"/>
        <v>Olmesartan/amlodipine</v>
      </c>
      <c r="M449" s="26"/>
    </row>
    <row r="450" ht="17.25" customHeight="1">
      <c r="B450" s="25" t="s">
        <v>598</v>
      </c>
      <c r="C450" s="25" t="s">
        <v>5595</v>
      </c>
      <c r="D450" s="25" t="s">
        <v>744</v>
      </c>
      <c r="E450" s="25" t="s">
        <v>6374</v>
      </c>
      <c r="F450" s="25" t="s">
        <v>744</v>
      </c>
      <c r="G450" s="25">
        <v>1.40751231E7</v>
      </c>
      <c r="H450" s="25">
        <v>24008.19</v>
      </c>
      <c r="I450" s="26" t="s">
        <v>5441</v>
      </c>
      <c r="J450" s="26" t="s">
        <v>6152</v>
      </c>
      <c r="K450" s="26" t="str">
        <f t="shared" si="1"/>
        <v>ARB/CCB</v>
      </c>
      <c r="L450" s="26" t="str">
        <f t="shared" si="2"/>
        <v>Olmesartan/amlodipine</v>
      </c>
      <c r="M450" s="26"/>
    </row>
    <row r="451" ht="17.25" customHeight="1">
      <c r="B451" s="25" t="s">
        <v>598</v>
      </c>
      <c r="C451" s="25" t="s">
        <v>5595</v>
      </c>
      <c r="D451" s="25" t="s">
        <v>757</v>
      </c>
      <c r="E451" s="25" t="s">
        <v>6375</v>
      </c>
      <c r="F451" s="25" t="s">
        <v>757</v>
      </c>
      <c r="G451" s="25">
        <v>2.6801795216E8</v>
      </c>
      <c r="H451" s="25">
        <v>392805.97</v>
      </c>
      <c r="I451" s="26" t="s">
        <v>5441</v>
      </c>
      <c r="J451" s="26" t="s">
        <v>6152</v>
      </c>
      <c r="K451" s="26" t="str">
        <f t="shared" si="1"/>
        <v>ARB/CCB</v>
      </c>
      <c r="L451" s="26" t="str">
        <f t="shared" si="2"/>
        <v>Olmesartan/amlodipine</v>
      </c>
      <c r="M451" s="26"/>
    </row>
    <row r="452" ht="17.25" customHeight="1">
      <c r="B452" s="25" t="s">
        <v>598</v>
      </c>
      <c r="C452" s="25" t="s">
        <v>5595</v>
      </c>
      <c r="D452" s="25" t="s">
        <v>1738</v>
      </c>
      <c r="E452" s="25" t="s">
        <v>6376</v>
      </c>
      <c r="F452" s="25" t="s">
        <v>1738</v>
      </c>
      <c r="G452" s="25">
        <v>6.00505679086E9</v>
      </c>
      <c r="H452" s="25">
        <v>8297752.8</v>
      </c>
      <c r="I452" s="26" t="s">
        <v>5441</v>
      </c>
      <c r="J452" s="26" t="s">
        <v>6152</v>
      </c>
      <c r="K452" s="26" t="str">
        <f t="shared" si="1"/>
        <v>ARB/CCB</v>
      </c>
      <c r="L452" s="26" t="str">
        <f t="shared" si="2"/>
        <v>Olmesartan/amlodipine</v>
      </c>
      <c r="M452" s="26"/>
    </row>
    <row r="453" ht="17.25" customHeight="1">
      <c r="B453" s="25" t="s">
        <v>598</v>
      </c>
      <c r="C453" s="25" t="s">
        <v>5595</v>
      </c>
      <c r="D453" s="25" t="s">
        <v>761</v>
      </c>
      <c r="E453" s="25" t="s">
        <v>6377</v>
      </c>
      <c r="F453" s="25" t="s">
        <v>761</v>
      </c>
      <c r="G453" s="25">
        <v>2.600765192E7</v>
      </c>
      <c r="H453" s="25">
        <v>42915.25</v>
      </c>
      <c r="I453" s="26" t="s">
        <v>5441</v>
      </c>
      <c r="J453" s="26" t="s">
        <v>6152</v>
      </c>
      <c r="K453" s="26" t="str">
        <f t="shared" si="1"/>
        <v>ARB/CCB</v>
      </c>
      <c r="L453" s="26" t="str">
        <f t="shared" si="2"/>
        <v>Olmesartan/amlodipine</v>
      </c>
      <c r="M453" s="26"/>
    </row>
    <row r="454" ht="17.25" customHeight="1">
      <c r="B454" s="25" t="s">
        <v>598</v>
      </c>
      <c r="C454" s="25" t="s">
        <v>5595</v>
      </c>
      <c r="D454" s="25" t="s">
        <v>770</v>
      </c>
      <c r="E454" s="25" t="s">
        <v>6378</v>
      </c>
      <c r="F454" s="25" t="s">
        <v>770</v>
      </c>
      <c r="G454" s="25">
        <v>3.56940328E7</v>
      </c>
      <c r="H454" s="25">
        <v>58456.76</v>
      </c>
      <c r="I454" s="26" t="s">
        <v>5441</v>
      </c>
      <c r="J454" s="26" t="s">
        <v>6152</v>
      </c>
      <c r="K454" s="26" t="str">
        <f t="shared" si="1"/>
        <v>ARB/CCB</v>
      </c>
      <c r="L454" s="26" t="str">
        <f t="shared" si="2"/>
        <v>Olmesartan/amlodipine</v>
      </c>
      <c r="M454" s="26"/>
    </row>
    <row r="455" ht="17.25" customHeight="1">
      <c r="B455" s="25" t="s">
        <v>598</v>
      </c>
      <c r="C455" s="25" t="s">
        <v>5595</v>
      </c>
      <c r="D455" s="25" t="s">
        <v>772</v>
      </c>
      <c r="E455" s="25" t="s">
        <v>6379</v>
      </c>
      <c r="F455" s="25" t="s">
        <v>772</v>
      </c>
      <c r="G455" s="25">
        <v>7.851292046E7</v>
      </c>
      <c r="H455" s="25">
        <v>108193.43</v>
      </c>
      <c r="I455" s="26" t="s">
        <v>5441</v>
      </c>
      <c r="J455" s="26" t="s">
        <v>6152</v>
      </c>
      <c r="K455" s="26" t="str">
        <f t="shared" si="1"/>
        <v>ARB/CCB</v>
      </c>
      <c r="L455" s="26" t="str">
        <f t="shared" si="2"/>
        <v>Olmesartan/amlodipine</v>
      </c>
      <c r="M455" s="26"/>
    </row>
    <row r="456" ht="17.25" customHeight="1">
      <c r="B456" s="25" t="s">
        <v>598</v>
      </c>
      <c r="C456" s="25" t="s">
        <v>5595</v>
      </c>
      <c r="D456" s="25" t="s">
        <v>781</v>
      </c>
      <c r="E456" s="25" t="s">
        <v>6380</v>
      </c>
      <c r="F456" s="25" t="s">
        <v>781</v>
      </c>
      <c r="G456" s="25">
        <v>1.49805896E7</v>
      </c>
      <c r="H456" s="25">
        <v>24569.9</v>
      </c>
      <c r="I456" s="26" t="s">
        <v>5441</v>
      </c>
      <c r="J456" s="26" t="s">
        <v>6152</v>
      </c>
      <c r="K456" s="26" t="str">
        <f t="shared" si="1"/>
        <v>ARB/CCB</v>
      </c>
      <c r="L456" s="26" t="str">
        <f t="shared" si="2"/>
        <v>Olmesartan/amlodipine</v>
      </c>
      <c r="M456" s="26"/>
    </row>
    <row r="457" ht="17.25" customHeight="1">
      <c r="B457" s="25" t="s">
        <v>598</v>
      </c>
      <c r="C457" s="25" t="s">
        <v>5595</v>
      </c>
      <c r="D457" s="25" t="s">
        <v>783</v>
      </c>
      <c r="E457" s="25" t="s">
        <v>6381</v>
      </c>
      <c r="F457" s="25" t="s">
        <v>783</v>
      </c>
      <c r="G457" s="25">
        <v>1.0728903976E8</v>
      </c>
      <c r="H457" s="25">
        <v>178230.48</v>
      </c>
      <c r="I457" s="26" t="s">
        <v>5441</v>
      </c>
      <c r="J457" s="26" t="s">
        <v>6152</v>
      </c>
      <c r="K457" s="26" t="str">
        <f t="shared" si="1"/>
        <v>ARB/CCB</v>
      </c>
      <c r="L457" s="26" t="str">
        <f t="shared" si="2"/>
        <v>Olmesartan/amlodipine</v>
      </c>
      <c r="M457" s="26"/>
    </row>
    <row r="458" ht="17.25" customHeight="1">
      <c r="B458" s="25" t="s">
        <v>598</v>
      </c>
      <c r="C458" s="25" t="s">
        <v>5595</v>
      </c>
      <c r="D458" s="25" t="s">
        <v>1554</v>
      </c>
      <c r="E458" s="25" t="s">
        <v>6382</v>
      </c>
      <c r="F458" s="25" t="s">
        <v>1554</v>
      </c>
      <c r="G458" s="25">
        <v>3.80637007E7</v>
      </c>
      <c r="H458" s="25">
        <v>54682.44</v>
      </c>
      <c r="I458" s="26" t="s">
        <v>5441</v>
      </c>
      <c r="J458" s="26" t="s">
        <v>6152</v>
      </c>
      <c r="K458" s="26" t="str">
        <f t="shared" si="1"/>
        <v>ARB/CCB</v>
      </c>
      <c r="L458" s="26" t="str">
        <f t="shared" si="2"/>
        <v>Olmesartan/amlodipine</v>
      </c>
      <c r="M458" s="26"/>
    </row>
    <row r="459" ht="17.25" customHeight="1">
      <c r="B459" s="25" t="s">
        <v>598</v>
      </c>
      <c r="C459" s="25" t="s">
        <v>5595</v>
      </c>
      <c r="D459" s="25" t="s">
        <v>792</v>
      </c>
      <c r="E459" s="25" t="s">
        <v>6383</v>
      </c>
      <c r="F459" s="25" t="s">
        <v>792</v>
      </c>
      <c r="G459" s="25">
        <v>3.7848634814E8</v>
      </c>
      <c r="H459" s="25">
        <v>521594.3</v>
      </c>
      <c r="I459" s="26" t="s">
        <v>5441</v>
      </c>
      <c r="J459" s="26" t="s">
        <v>6152</v>
      </c>
      <c r="K459" s="26" t="str">
        <f t="shared" si="1"/>
        <v>ARB/CCB</v>
      </c>
      <c r="L459" s="26" t="str">
        <f t="shared" si="2"/>
        <v>Olmesartan/amlodipine</v>
      </c>
      <c r="M459" s="26"/>
    </row>
    <row r="460" ht="17.25" customHeight="1">
      <c r="B460" s="25" t="s">
        <v>598</v>
      </c>
      <c r="C460" s="25" t="s">
        <v>5595</v>
      </c>
      <c r="D460" s="25" t="s">
        <v>796</v>
      </c>
      <c r="E460" s="25" t="s">
        <v>6384</v>
      </c>
      <c r="F460" s="25" t="s">
        <v>796</v>
      </c>
      <c r="G460" s="25">
        <v>1.644953644E7</v>
      </c>
      <c r="H460" s="25">
        <v>26277.56</v>
      </c>
      <c r="I460" s="26" t="s">
        <v>5441</v>
      </c>
      <c r="J460" s="26" t="s">
        <v>6152</v>
      </c>
      <c r="K460" s="26" t="str">
        <f t="shared" si="1"/>
        <v>ARB/CCB</v>
      </c>
      <c r="L460" s="26" t="str">
        <f t="shared" si="2"/>
        <v>Olmesartan/amlodipine</v>
      </c>
      <c r="M460" s="26"/>
    </row>
    <row r="461" ht="17.25" customHeight="1">
      <c r="B461" s="25" t="s">
        <v>598</v>
      </c>
      <c r="C461" s="25" t="s">
        <v>5595</v>
      </c>
      <c r="D461" s="25" t="s">
        <v>953</v>
      </c>
      <c r="E461" s="25" t="s">
        <v>6385</v>
      </c>
      <c r="F461" s="25" t="s">
        <v>953</v>
      </c>
      <c r="G461" s="25">
        <v>2.3049132E7</v>
      </c>
      <c r="H461" s="25">
        <v>38094.0</v>
      </c>
      <c r="I461" s="26" t="s">
        <v>5441</v>
      </c>
      <c r="J461" s="26" t="s">
        <v>6152</v>
      </c>
      <c r="K461" s="26" t="str">
        <f t="shared" si="1"/>
        <v>ARB/CCB</v>
      </c>
      <c r="L461" s="26" t="str">
        <f t="shared" si="2"/>
        <v>Olmesartan/amlodipine</v>
      </c>
      <c r="M461" s="26"/>
    </row>
    <row r="462" ht="17.25" customHeight="1">
      <c r="B462" s="25" t="s">
        <v>598</v>
      </c>
      <c r="C462" s="25" t="s">
        <v>5595</v>
      </c>
      <c r="D462" s="25" t="s">
        <v>810</v>
      </c>
      <c r="E462" s="25" t="s">
        <v>6386</v>
      </c>
      <c r="F462" s="25" t="s">
        <v>810</v>
      </c>
      <c r="G462" s="25">
        <v>7.0607743532E8</v>
      </c>
      <c r="H462" s="25">
        <v>1143032.22</v>
      </c>
      <c r="I462" s="26" t="s">
        <v>5441</v>
      </c>
      <c r="J462" s="26" t="s">
        <v>6152</v>
      </c>
      <c r="K462" s="26" t="str">
        <f t="shared" si="1"/>
        <v>ARB/CCB</v>
      </c>
      <c r="L462" s="26" t="str">
        <f t="shared" si="2"/>
        <v>Olmesartan/amlodipine</v>
      </c>
      <c r="M462" s="26"/>
    </row>
    <row r="463" ht="17.25" customHeight="1">
      <c r="B463" s="25" t="s">
        <v>598</v>
      </c>
      <c r="C463" s="25" t="s">
        <v>5595</v>
      </c>
      <c r="D463" s="25" t="s">
        <v>826</v>
      </c>
      <c r="E463" s="25" t="s">
        <v>6387</v>
      </c>
      <c r="F463" s="25" t="s">
        <v>826</v>
      </c>
      <c r="G463" s="25">
        <v>3.267568536E7</v>
      </c>
      <c r="H463" s="25">
        <v>51815.39</v>
      </c>
      <c r="I463" s="26" t="s">
        <v>5441</v>
      </c>
      <c r="J463" s="26" t="s">
        <v>6152</v>
      </c>
      <c r="K463" s="26" t="str">
        <f t="shared" si="1"/>
        <v>ARB/CCB</v>
      </c>
      <c r="L463" s="26" t="str">
        <f t="shared" si="2"/>
        <v>Olmesartan/amlodipine</v>
      </c>
      <c r="M463" s="26"/>
    </row>
    <row r="464" ht="17.25" customHeight="1">
      <c r="B464" s="25" t="s">
        <v>598</v>
      </c>
      <c r="C464" s="25" t="s">
        <v>5595</v>
      </c>
      <c r="D464" s="25" t="s">
        <v>710</v>
      </c>
      <c r="E464" s="25" t="s">
        <v>6388</v>
      </c>
      <c r="F464" s="25" t="s">
        <v>710</v>
      </c>
      <c r="G464" s="25">
        <v>9.72918972E7</v>
      </c>
      <c r="H464" s="25">
        <v>154504.84</v>
      </c>
      <c r="I464" s="26" t="s">
        <v>5441</v>
      </c>
      <c r="J464" s="26" t="s">
        <v>6152</v>
      </c>
      <c r="K464" s="26" t="str">
        <f t="shared" si="1"/>
        <v>ARB/CCB</v>
      </c>
      <c r="L464" s="26" t="str">
        <f t="shared" si="2"/>
        <v>Olmesartan/amlodipine</v>
      </c>
      <c r="M464" s="26"/>
    </row>
    <row r="465" ht="17.25" customHeight="1">
      <c r="B465" s="25" t="s">
        <v>598</v>
      </c>
      <c r="C465" s="25" t="s">
        <v>5595</v>
      </c>
      <c r="D465" s="25" t="s">
        <v>730</v>
      </c>
      <c r="E465" s="25" t="s">
        <v>6389</v>
      </c>
      <c r="F465" s="25" t="s">
        <v>730</v>
      </c>
      <c r="G465" s="25">
        <v>8.6696544E7</v>
      </c>
      <c r="H465" s="25">
        <v>124564.0</v>
      </c>
      <c r="I465" s="26" t="s">
        <v>5441</v>
      </c>
      <c r="J465" s="26" t="s">
        <v>6152</v>
      </c>
      <c r="K465" s="26" t="str">
        <f t="shared" si="1"/>
        <v>ARB/CCB</v>
      </c>
      <c r="L465" s="26" t="str">
        <f t="shared" si="2"/>
        <v>Olmesartan/amlodipine</v>
      </c>
      <c r="M465" s="26"/>
    </row>
    <row r="466" ht="17.25" customHeight="1">
      <c r="B466" s="25" t="s">
        <v>598</v>
      </c>
      <c r="C466" s="25" t="s">
        <v>5595</v>
      </c>
      <c r="D466" s="25" t="s">
        <v>713</v>
      </c>
      <c r="E466" s="25" t="s">
        <v>6390</v>
      </c>
      <c r="F466" s="25" t="s">
        <v>713</v>
      </c>
      <c r="G466" s="25">
        <v>1.027608028E7</v>
      </c>
      <c r="H466" s="25">
        <v>16231.12</v>
      </c>
      <c r="I466" s="26" t="s">
        <v>5441</v>
      </c>
      <c r="J466" s="26" t="s">
        <v>6152</v>
      </c>
      <c r="K466" s="26" t="str">
        <f t="shared" si="1"/>
        <v>ARB/CCB</v>
      </c>
      <c r="L466" s="26" t="str">
        <f t="shared" si="2"/>
        <v>Olmesartan/amlodipine</v>
      </c>
      <c r="M466" s="26"/>
    </row>
    <row r="467" ht="17.25" customHeight="1">
      <c r="B467" s="25" t="s">
        <v>598</v>
      </c>
      <c r="C467" s="25" t="s">
        <v>5595</v>
      </c>
      <c r="D467" s="25" t="s">
        <v>870</v>
      </c>
      <c r="E467" s="25" t="s">
        <v>6391</v>
      </c>
      <c r="F467" s="25" t="s">
        <v>870</v>
      </c>
      <c r="G467" s="25">
        <v>2.518120344E7</v>
      </c>
      <c r="H467" s="25">
        <v>36179.89</v>
      </c>
      <c r="I467" s="26" t="s">
        <v>5441</v>
      </c>
      <c r="J467" s="26" t="s">
        <v>6152</v>
      </c>
      <c r="K467" s="26" t="str">
        <f t="shared" si="1"/>
        <v>ARB/CCB</v>
      </c>
      <c r="L467" s="26" t="str">
        <f t="shared" si="2"/>
        <v>Olmesartan/amlodipine</v>
      </c>
      <c r="M467" s="26"/>
    </row>
    <row r="468" ht="17.25" customHeight="1">
      <c r="B468" s="25" t="s">
        <v>598</v>
      </c>
      <c r="C468" s="25" t="s">
        <v>5595</v>
      </c>
      <c r="D468" s="25" t="s">
        <v>734</v>
      </c>
      <c r="E468" s="25" t="s">
        <v>6392</v>
      </c>
      <c r="F468" s="25" t="s">
        <v>734</v>
      </c>
      <c r="G468" s="25">
        <v>6.818454664E7</v>
      </c>
      <c r="H468" s="25">
        <v>111450.61</v>
      </c>
      <c r="I468" s="26" t="s">
        <v>5441</v>
      </c>
      <c r="J468" s="26" t="s">
        <v>6152</v>
      </c>
      <c r="K468" s="26" t="str">
        <f t="shared" si="1"/>
        <v>ARB/CCB</v>
      </c>
      <c r="L468" s="26" t="str">
        <f t="shared" si="2"/>
        <v>Olmesartan/amlodipine</v>
      </c>
      <c r="M468" s="26"/>
    </row>
    <row r="469" ht="17.25" customHeight="1">
      <c r="B469" s="25" t="s">
        <v>598</v>
      </c>
      <c r="C469" s="25" t="s">
        <v>5595</v>
      </c>
      <c r="D469" s="25" t="s">
        <v>874</v>
      </c>
      <c r="E469" s="25" t="s">
        <v>6393</v>
      </c>
      <c r="F469" s="25" t="s">
        <v>874</v>
      </c>
      <c r="G469" s="25">
        <v>2.2166527682E8</v>
      </c>
      <c r="H469" s="25">
        <v>311786.56</v>
      </c>
      <c r="I469" s="26" t="s">
        <v>5441</v>
      </c>
      <c r="J469" s="26" t="s">
        <v>6152</v>
      </c>
      <c r="K469" s="26" t="str">
        <f t="shared" si="1"/>
        <v>ARB/CCB</v>
      </c>
      <c r="L469" s="26" t="str">
        <f t="shared" si="2"/>
        <v>Olmesartan/amlodipine</v>
      </c>
      <c r="M469" s="26"/>
    </row>
    <row r="470" ht="17.25" customHeight="1">
      <c r="B470" s="25" t="s">
        <v>598</v>
      </c>
      <c r="C470" s="25" t="s">
        <v>5595</v>
      </c>
      <c r="D470" s="25" t="s">
        <v>876</v>
      </c>
      <c r="E470" s="25" t="s">
        <v>6394</v>
      </c>
      <c r="F470" s="25" t="s">
        <v>876</v>
      </c>
      <c r="G470" s="25">
        <v>3.050483841E8</v>
      </c>
      <c r="H470" s="25">
        <v>433040.38</v>
      </c>
      <c r="I470" s="26" t="s">
        <v>5441</v>
      </c>
      <c r="J470" s="26" t="s">
        <v>6152</v>
      </c>
      <c r="K470" s="26" t="str">
        <f t="shared" si="1"/>
        <v>ARB/CCB</v>
      </c>
      <c r="L470" s="26" t="str">
        <f t="shared" si="2"/>
        <v>Olmesartan/amlodipine</v>
      </c>
      <c r="M470" s="26"/>
    </row>
    <row r="471" ht="17.25" customHeight="1">
      <c r="B471" s="25" t="s">
        <v>598</v>
      </c>
      <c r="C471" s="25" t="s">
        <v>5595</v>
      </c>
      <c r="D471" s="25" t="s">
        <v>898</v>
      </c>
      <c r="E471" s="25" t="s">
        <v>6395</v>
      </c>
      <c r="F471" s="25" t="s">
        <v>898</v>
      </c>
      <c r="G471" s="25">
        <v>1.678405204E7</v>
      </c>
      <c r="H471" s="25">
        <v>27135.61</v>
      </c>
      <c r="I471" s="26" t="s">
        <v>5441</v>
      </c>
      <c r="J471" s="26" t="s">
        <v>6152</v>
      </c>
      <c r="K471" s="26" t="str">
        <f t="shared" si="1"/>
        <v>ARB/CCB</v>
      </c>
      <c r="L471" s="26" t="str">
        <f t="shared" si="2"/>
        <v>Olmesartan/amlodipine</v>
      </c>
      <c r="M471" s="26"/>
    </row>
    <row r="472" ht="17.25" customHeight="1">
      <c r="B472" s="25" t="s">
        <v>598</v>
      </c>
      <c r="C472" s="25" t="s">
        <v>5595</v>
      </c>
      <c r="D472" s="25" t="s">
        <v>906</v>
      </c>
      <c r="E472" s="25" t="s">
        <v>6396</v>
      </c>
      <c r="F472" s="25" t="s">
        <v>906</v>
      </c>
      <c r="G472" s="25">
        <v>1.0601280848E8</v>
      </c>
      <c r="H472" s="25">
        <v>179075.69</v>
      </c>
      <c r="I472" s="26" t="s">
        <v>5441</v>
      </c>
      <c r="J472" s="26" t="s">
        <v>6152</v>
      </c>
      <c r="K472" s="26" t="str">
        <f t="shared" si="1"/>
        <v>ARB/CCB</v>
      </c>
      <c r="L472" s="26" t="str">
        <f t="shared" si="2"/>
        <v>Olmesartan/amlodipine</v>
      </c>
      <c r="M472" s="26"/>
    </row>
    <row r="473" ht="17.25" customHeight="1">
      <c r="B473" s="25" t="s">
        <v>598</v>
      </c>
      <c r="C473" s="25" t="s">
        <v>5595</v>
      </c>
      <c r="D473" s="25" t="s">
        <v>717</v>
      </c>
      <c r="E473" s="25" t="s">
        <v>6397</v>
      </c>
      <c r="F473" s="25" t="s">
        <v>717</v>
      </c>
      <c r="G473" s="25">
        <v>4.2664024802E8</v>
      </c>
      <c r="H473" s="25">
        <v>584561.23</v>
      </c>
      <c r="I473" s="26" t="s">
        <v>5441</v>
      </c>
      <c r="J473" s="26" t="s">
        <v>6152</v>
      </c>
      <c r="K473" s="26" t="str">
        <f t="shared" si="1"/>
        <v>ARB/CCB</v>
      </c>
      <c r="L473" s="26" t="str">
        <f t="shared" si="2"/>
        <v>Olmesartan/amlodipine</v>
      </c>
      <c r="M473" s="26"/>
    </row>
    <row r="474" ht="17.25" customHeight="1">
      <c r="B474" s="25" t="s">
        <v>598</v>
      </c>
      <c r="C474" s="25" t="s">
        <v>5595</v>
      </c>
      <c r="D474" s="25" t="s">
        <v>913</v>
      </c>
      <c r="E474" s="25" t="s">
        <v>6398</v>
      </c>
      <c r="F474" s="25" t="s">
        <v>913</v>
      </c>
      <c r="G474" s="25">
        <v>900787.2</v>
      </c>
      <c r="H474" s="25">
        <v>1521.6</v>
      </c>
      <c r="I474" s="26" t="s">
        <v>5441</v>
      </c>
      <c r="J474" s="26" t="s">
        <v>6152</v>
      </c>
      <c r="K474" s="26" t="str">
        <f t="shared" si="1"/>
        <v>ARB/CCB</v>
      </c>
      <c r="L474" s="26" t="str">
        <f t="shared" si="2"/>
        <v>Olmesartan/amlodipine</v>
      </c>
      <c r="M474" s="26"/>
    </row>
    <row r="475" ht="17.25" customHeight="1">
      <c r="B475" s="25" t="s">
        <v>598</v>
      </c>
      <c r="C475" s="25" t="s">
        <v>5595</v>
      </c>
      <c r="D475" s="25" t="s">
        <v>915</v>
      </c>
      <c r="E475" s="25" t="s">
        <v>6399</v>
      </c>
      <c r="F475" s="25" t="s">
        <v>915</v>
      </c>
      <c r="G475" s="25">
        <v>5.251753552E7</v>
      </c>
      <c r="H475" s="25">
        <v>73153.12</v>
      </c>
      <c r="I475" s="26" t="s">
        <v>5441</v>
      </c>
      <c r="J475" s="26" t="s">
        <v>6152</v>
      </c>
      <c r="K475" s="26" t="str">
        <f t="shared" si="1"/>
        <v>ARB/CCB</v>
      </c>
      <c r="L475" s="26" t="str">
        <f t="shared" si="2"/>
        <v>Olmesartan/amlodipine</v>
      </c>
      <c r="M475" s="26"/>
    </row>
    <row r="476" ht="17.25" customHeight="1">
      <c r="B476" s="25" t="s">
        <v>598</v>
      </c>
      <c r="C476" s="25" t="s">
        <v>5595</v>
      </c>
      <c r="D476" s="25" t="s">
        <v>1445</v>
      </c>
      <c r="E476" s="25" t="s">
        <v>6400</v>
      </c>
      <c r="F476" s="25" t="s">
        <v>1445</v>
      </c>
      <c r="G476" s="25">
        <v>4.38901025E7</v>
      </c>
      <c r="H476" s="25">
        <v>81077.66</v>
      </c>
      <c r="I476" s="26" t="s">
        <v>5441</v>
      </c>
      <c r="J476" s="26" t="s">
        <v>6152</v>
      </c>
      <c r="K476" s="26" t="str">
        <f t="shared" si="1"/>
        <v>ARB/CCB</v>
      </c>
      <c r="L476" s="26" t="str">
        <f t="shared" si="2"/>
        <v>Olmesartan/amlodipine</v>
      </c>
      <c r="M476" s="26"/>
    </row>
    <row r="477" ht="17.25" customHeight="1">
      <c r="B477" s="25" t="s">
        <v>598</v>
      </c>
      <c r="C477" s="25" t="s">
        <v>5595</v>
      </c>
      <c r="D477" s="25" t="s">
        <v>927</v>
      </c>
      <c r="E477" s="25" t="s">
        <v>6401</v>
      </c>
      <c r="F477" s="25" t="s">
        <v>927</v>
      </c>
      <c r="G477" s="25">
        <v>1.393253744E7</v>
      </c>
      <c r="H477" s="25">
        <v>23143.07</v>
      </c>
      <c r="I477" s="26" t="s">
        <v>5441</v>
      </c>
      <c r="J477" s="26" t="s">
        <v>6152</v>
      </c>
      <c r="K477" s="26" t="str">
        <f t="shared" si="1"/>
        <v>ARB/CCB</v>
      </c>
      <c r="L477" s="26" t="str">
        <f t="shared" si="2"/>
        <v>Olmesartan/amlodipine</v>
      </c>
      <c r="M477" s="26"/>
    </row>
    <row r="478" ht="17.25" customHeight="1">
      <c r="B478" s="25" t="s">
        <v>598</v>
      </c>
      <c r="C478" s="25" t="s">
        <v>5595</v>
      </c>
      <c r="D478" s="25" t="s">
        <v>935</v>
      </c>
      <c r="E478" s="25" t="s">
        <v>6402</v>
      </c>
      <c r="F478" s="25" t="s">
        <v>935</v>
      </c>
      <c r="G478" s="25">
        <v>4.1960510722E8</v>
      </c>
      <c r="H478" s="25">
        <v>576663.44</v>
      </c>
      <c r="I478" s="26" t="s">
        <v>5441</v>
      </c>
      <c r="J478" s="26" t="s">
        <v>6152</v>
      </c>
      <c r="K478" s="26" t="str">
        <f t="shared" si="1"/>
        <v>ARB/CCB</v>
      </c>
      <c r="L478" s="26" t="str">
        <f t="shared" si="2"/>
        <v>Olmesartan/amlodipine</v>
      </c>
      <c r="M478" s="26"/>
    </row>
    <row r="479" ht="17.25" customHeight="1">
      <c r="B479" s="25" t="s">
        <v>598</v>
      </c>
      <c r="C479" s="25" t="s">
        <v>5595</v>
      </c>
      <c r="D479" s="25" t="s">
        <v>736</v>
      </c>
      <c r="E479" s="25" t="s">
        <v>6403</v>
      </c>
      <c r="F479" s="25" t="s">
        <v>736</v>
      </c>
      <c r="G479" s="25">
        <v>1.9266130535E8</v>
      </c>
      <c r="H479" s="25">
        <v>284341.81</v>
      </c>
      <c r="I479" s="26" t="s">
        <v>5441</v>
      </c>
      <c r="J479" s="26" t="s">
        <v>6152</v>
      </c>
      <c r="K479" s="26" t="str">
        <f t="shared" si="1"/>
        <v>ARB/CCB</v>
      </c>
      <c r="L479" s="26" t="str">
        <f t="shared" si="2"/>
        <v>Olmesartan/amlodipine</v>
      </c>
      <c r="M479" s="26"/>
    </row>
    <row r="480" ht="17.25" customHeight="1">
      <c r="B480" s="25" t="s">
        <v>598</v>
      </c>
      <c r="C480" s="25" t="s">
        <v>5595</v>
      </c>
      <c r="D480" s="25" t="s">
        <v>941</v>
      </c>
      <c r="E480" s="25" t="s">
        <v>205</v>
      </c>
      <c r="F480" s="25" t="s">
        <v>941</v>
      </c>
      <c r="G480" s="25">
        <v>1.0362701318E8</v>
      </c>
      <c r="H480" s="25">
        <v>143412.08</v>
      </c>
      <c r="I480" s="26" t="s">
        <v>5441</v>
      </c>
      <c r="J480" s="26" t="s">
        <v>6152</v>
      </c>
      <c r="K480" s="26" t="str">
        <f t="shared" si="1"/>
        <v>ARB/CCB</v>
      </c>
      <c r="L480" s="26" t="str">
        <f t="shared" si="2"/>
        <v>Olmesartan/amlodipine</v>
      </c>
      <c r="M480" s="26"/>
    </row>
    <row r="481" ht="17.25" customHeight="1">
      <c r="B481" s="25" t="s">
        <v>598</v>
      </c>
      <c r="C481" s="25" t="s">
        <v>5599</v>
      </c>
      <c r="D481" s="25" t="s">
        <v>695</v>
      </c>
      <c r="E481" s="25" t="s">
        <v>6404</v>
      </c>
      <c r="F481" s="25" t="s">
        <v>695</v>
      </c>
      <c r="G481" s="25">
        <v>5543575.75</v>
      </c>
      <c r="H481" s="25">
        <v>8891.22</v>
      </c>
      <c r="I481" s="26" t="s">
        <v>5441</v>
      </c>
      <c r="J481" s="26" t="s">
        <v>6152</v>
      </c>
      <c r="K481" s="26" t="str">
        <f t="shared" si="1"/>
        <v>ARB/CCB</v>
      </c>
      <c r="L481" s="26" t="str">
        <f t="shared" si="2"/>
        <v>Telmisartan/amlodipine</v>
      </c>
      <c r="M481" s="26"/>
    </row>
    <row r="482" ht="17.25" customHeight="1">
      <c r="B482" s="25" t="s">
        <v>598</v>
      </c>
      <c r="C482" s="25" t="s">
        <v>5599</v>
      </c>
      <c r="D482" s="25" t="s">
        <v>742</v>
      </c>
      <c r="E482" s="25" t="s">
        <v>6405</v>
      </c>
      <c r="F482" s="25" t="s">
        <v>742</v>
      </c>
      <c r="G482" s="25">
        <v>1.0776674541E8</v>
      </c>
      <c r="H482" s="25">
        <v>167434.9</v>
      </c>
      <c r="I482" s="26" t="s">
        <v>5441</v>
      </c>
      <c r="J482" s="26" t="s">
        <v>6152</v>
      </c>
      <c r="K482" s="26" t="str">
        <f t="shared" si="1"/>
        <v>ARB/CCB</v>
      </c>
      <c r="L482" s="26" t="str">
        <f t="shared" si="2"/>
        <v>Telmisartan/amlodipine</v>
      </c>
      <c r="M482" s="26"/>
    </row>
    <row r="483" ht="17.25" customHeight="1">
      <c r="B483" s="25" t="s">
        <v>598</v>
      </c>
      <c r="C483" s="25" t="s">
        <v>5599</v>
      </c>
      <c r="D483" s="25" t="s">
        <v>749</v>
      </c>
      <c r="E483" s="25" t="s">
        <v>6406</v>
      </c>
      <c r="F483" s="25" t="s">
        <v>749</v>
      </c>
      <c r="G483" s="25">
        <v>1.1919707008E8</v>
      </c>
      <c r="H483" s="25">
        <v>188806.59</v>
      </c>
      <c r="I483" s="26" t="s">
        <v>5441</v>
      </c>
      <c r="J483" s="26" t="s">
        <v>6152</v>
      </c>
      <c r="K483" s="26" t="str">
        <f t="shared" si="1"/>
        <v>ARB/CCB</v>
      </c>
      <c r="L483" s="26" t="str">
        <f t="shared" si="2"/>
        <v>Telmisartan/amlodipine</v>
      </c>
      <c r="M483" s="26"/>
    </row>
    <row r="484" ht="17.25" customHeight="1">
      <c r="B484" s="25" t="s">
        <v>598</v>
      </c>
      <c r="C484" s="25" t="s">
        <v>5599</v>
      </c>
      <c r="D484" s="25" t="s">
        <v>751</v>
      </c>
      <c r="E484" s="25" t="s">
        <v>6407</v>
      </c>
      <c r="F484" s="25" t="s">
        <v>751</v>
      </c>
      <c r="G484" s="25">
        <v>2.501508505E7</v>
      </c>
      <c r="H484" s="25">
        <v>38347.88</v>
      </c>
      <c r="I484" s="26" t="s">
        <v>5441</v>
      </c>
      <c r="J484" s="26" t="s">
        <v>6152</v>
      </c>
      <c r="K484" s="26" t="str">
        <f t="shared" si="1"/>
        <v>ARB/CCB</v>
      </c>
      <c r="L484" s="26" t="str">
        <f t="shared" si="2"/>
        <v>Telmisartan/amlodipine</v>
      </c>
      <c r="M484" s="26"/>
    </row>
    <row r="485" ht="17.25" customHeight="1">
      <c r="B485" s="25" t="s">
        <v>598</v>
      </c>
      <c r="C485" s="25" t="s">
        <v>5599</v>
      </c>
      <c r="D485" s="25" t="s">
        <v>753</v>
      </c>
      <c r="E485" s="25" t="s">
        <v>6408</v>
      </c>
      <c r="F485" s="25" t="s">
        <v>753</v>
      </c>
      <c r="G485" s="25">
        <v>1551300.0</v>
      </c>
      <c r="H485" s="25">
        <v>2585.5</v>
      </c>
      <c r="I485" s="26" t="s">
        <v>5441</v>
      </c>
      <c r="J485" s="26" t="s">
        <v>6152</v>
      </c>
      <c r="K485" s="26" t="str">
        <f t="shared" si="1"/>
        <v>ARB/CCB</v>
      </c>
      <c r="L485" s="26" t="str">
        <f t="shared" si="2"/>
        <v>Telmisartan/amlodipine</v>
      </c>
      <c r="M485" s="26"/>
    </row>
    <row r="486" ht="17.25" customHeight="1">
      <c r="B486" s="25" t="s">
        <v>598</v>
      </c>
      <c r="C486" s="25" t="s">
        <v>5599</v>
      </c>
      <c r="D486" s="25" t="s">
        <v>757</v>
      </c>
      <c r="E486" s="25" t="s">
        <v>6409</v>
      </c>
      <c r="F486" s="25" t="s">
        <v>757</v>
      </c>
      <c r="G486" s="25">
        <v>3.9918606816E8</v>
      </c>
      <c r="H486" s="25">
        <v>556075.19</v>
      </c>
      <c r="I486" s="26" t="s">
        <v>5441</v>
      </c>
      <c r="J486" s="26" t="s">
        <v>6152</v>
      </c>
      <c r="K486" s="26" t="str">
        <f t="shared" si="1"/>
        <v>ARB/CCB</v>
      </c>
      <c r="L486" s="26" t="str">
        <f t="shared" si="2"/>
        <v>Telmisartan/amlodipine</v>
      </c>
      <c r="M486" s="26"/>
    </row>
    <row r="487" ht="17.25" customHeight="1">
      <c r="B487" s="25" t="s">
        <v>598</v>
      </c>
      <c r="C487" s="25" t="s">
        <v>5599</v>
      </c>
      <c r="D487" s="25" t="s">
        <v>759</v>
      </c>
      <c r="E487" s="25" t="s">
        <v>6410</v>
      </c>
      <c r="F487" s="25" t="s">
        <v>759</v>
      </c>
      <c r="G487" s="25">
        <v>1.1604397308E8</v>
      </c>
      <c r="H487" s="25">
        <v>155701.77</v>
      </c>
      <c r="I487" s="26" t="s">
        <v>5441</v>
      </c>
      <c r="J487" s="26" t="s">
        <v>6152</v>
      </c>
      <c r="K487" s="26" t="str">
        <f t="shared" si="1"/>
        <v>ARB/CCB</v>
      </c>
      <c r="L487" s="26" t="str">
        <f t="shared" si="2"/>
        <v>Telmisartan/amlodipine</v>
      </c>
      <c r="M487" s="26"/>
    </row>
    <row r="488" ht="17.25" customHeight="1">
      <c r="B488" s="25" t="s">
        <v>598</v>
      </c>
      <c r="C488" s="25" t="s">
        <v>5599</v>
      </c>
      <c r="D488" s="25" t="s">
        <v>761</v>
      </c>
      <c r="E488" s="25" t="s">
        <v>6411</v>
      </c>
      <c r="F488" s="25" t="s">
        <v>761</v>
      </c>
      <c r="G488" s="25">
        <v>5.9942666991E8</v>
      </c>
      <c r="H488" s="25">
        <v>903717.63</v>
      </c>
      <c r="I488" s="26" t="s">
        <v>5441</v>
      </c>
      <c r="J488" s="26" t="s">
        <v>6152</v>
      </c>
      <c r="K488" s="26" t="str">
        <f t="shared" si="1"/>
        <v>ARB/CCB</v>
      </c>
      <c r="L488" s="26" t="str">
        <f t="shared" si="2"/>
        <v>Telmisartan/amlodipine</v>
      </c>
      <c r="M488" s="26"/>
    </row>
    <row r="489" ht="17.25" customHeight="1">
      <c r="B489" s="25" t="s">
        <v>598</v>
      </c>
      <c r="C489" s="25" t="s">
        <v>5599</v>
      </c>
      <c r="D489" s="25" t="s">
        <v>765</v>
      </c>
      <c r="E489" s="25" t="s">
        <v>6412</v>
      </c>
      <c r="F489" s="25" t="s">
        <v>765</v>
      </c>
      <c r="G489" s="25">
        <v>7.98905917E7</v>
      </c>
      <c r="H489" s="25">
        <v>124393.08</v>
      </c>
      <c r="I489" s="26" t="s">
        <v>5441</v>
      </c>
      <c r="J489" s="26" t="s">
        <v>6152</v>
      </c>
      <c r="K489" s="26" t="str">
        <f t="shared" si="1"/>
        <v>ARB/CCB</v>
      </c>
      <c r="L489" s="26" t="str">
        <f t="shared" si="2"/>
        <v>Telmisartan/amlodipine</v>
      </c>
      <c r="M489" s="26"/>
    </row>
    <row r="490" ht="17.25" customHeight="1">
      <c r="B490" s="25" t="s">
        <v>598</v>
      </c>
      <c r="C490" s="25" t="s">
        <v>5599</v>
      </c>
      <c r="D490" s="25" t="s">
        <v>768</v>
      </c>
      <c r="E490" s="25" t="s">
        <v>6413</v>
      </c>
      <c r="F490" s="25" t="s">
        <v>768</v>
      </c>
      <c r="G490" s="25">
        <v>8.2832966522E8</v>
      </c>
      <c r="H490" s="25">
        <v>1102424.77</v>
      </c>
      <c r="I490" s="26" t="s">
        <v>5441</v>
      </c>
      <c r="J490" s="26" t="s">
        <v>6152</v>
      </c>
      <c r="K490" s="26" t="str">
        <f t="shared" si="1"/>
        <v>ARB/CCB</v>
      </c>
      <c r="L490" s="26" t="str">
        <f t="shared" si="2"/>
        <v>Telmisartan/amlodipine</v>
      </c>
      <c r="M490" s="26"/>
    </row>
    <row r="491" ht="17.25" customHeight="1">
      <c r="B491" s="25" t="s">
        <v>598</v>
      </c>
      <c r="C491" s="25" t="s">
        <v>5599</v>
      </c>
      <c r="D491" s="25" t="s">
        <v>770</v>
      </c>
      <c r="E491" s="25" t="s">
        <v>6414</v>
      </c>
      <c r="F491" s="25" t="s">
        <v>770</v>
      </c>
      <c r="G491" s="25">
        <v>1.20180305E8</v>
      </c>
      <c r="H491" s="25">
        <v>189590.22</v>
      </c>
      <c r="I491" s="26" t="s">
        <v>5441</v>
      </c>
      <c r="J491" s="26" t="s">
        <v>6152</v>
      </c>
      <c r="K491" s="26" t="str">
        <f t="shared" si="1"/>
        <v>ARB/CCB</v>
      </c>
      <c r="L491" s="26" t="str">
        <f t="shared" si="2"/>
        <v>Telmisartan/amlodipine</v>
      </c>
      <c r="M491" s="26"/>
    </row>
    <row r="492" ht="17.25" customHeight="1">
      <c r="B492" s="25" t="s">
        <v>598</v>
      </c>
      <c r="C492" s="25" t="s">
        <v>5599</v>
      </c>
      <c r="D492" s="25" t="s">
        <v>772</v>
      </c>
      <c r="E492" s="25" t="s">
        <v>6415</v>
      </c>
      <c r="F492" s="25" t="s">
        <v>772</v>
      </c>
      <c r="G492" s="25">
        <v>4.221229075E7</v>
      </c>
      <c r="H492" s="25">
        <v>66316.37</v>
      </c>
      <c r="I492" s="26" t="s">
        <v>5441</v>
      </c>
      <c r="J492" s="26" t="s">
        <v>6152</v>
      </c>
      <c r="K492" s="26" t="str">
        <f t="shared" si="1"/>
        <v>ARB/CCB</v>
      </c>
      <c r="L492" s="26" t="str">
        <f t="shared" si="2"/>
        <v>Telmisartan/amlodipine</v>
      </c>
      <c r="M492" s="26"/>
    </row>
    <row r="493" ht="17.25" customHeight="1">
      <c r="B493" s="25" t="s">
        <v>598</v>
      </c>
      <c r="C493" s="25" t="s">
        <v>5599</v>
      </c>
      <c r="D493" s="25" t="s">
        <v>726</v>
      </c>
      <c r="E493" s="25" t="s">
        <v>6416</v>
      </c>
      <c r="F493" s="25" t="s">
        <v>726</v>
      </c>
      <c r="G493" s="25">
        <v>4.2120148156E8</v>
      </c>
      <c r="H493" s="25">
        <v>560440.89</v>
      </c>
      <c r="I493" s="26" t="s">
        <v>5441</v>
      </c>
      <c r="J493" s="26" t="s">
        <v>6152</v>
      </c>
      <c r="K493" s="26" t="str">
        <f t="shared" si="1"/>
        <v>ARB/CCB</v>
      </c>
      <c r="L493" s="26" t="str">
        <f t="shared" si="2"/>
        <v>Telmisartan/amlodipine</v>
      </c>
      <c r="M493" s="26"/>
    </row>
    <row r="494" ht="17.25" customHeight="1">
      <c r="B494" s="25" t="s">
        <v>598</v>
      </c>
      <c r="C494" s="25" t="s">
        <v>5599</v>
      </c>
      <c r="D494" s="25" t="s">
        <v>774</v>
      </c>
      <c r="E494" s="25" t="s">
        <v>6417</v>
      </c>
      <c r="F494" s="25" t="s">
        <v>774</v>
      </c>
      <c r="G494" s="25">
        <v>1.5833545867E8</v>
      </c>
      <c r="H494" s="25">
        <v>228734.15</v>
      </c>
      <c r="I494" s="26" t="s">
        <v>5441</v>
      </c>
      <c r="J494" s="26" t="s">
        <v>6152</v>
      </c>
      <c r="K494" s="26" t="str">
        <f t="shared" si="1"/>
        <v>ARB/CCB</v>
      </c>
      <c r="L494" s="26" t="str">
        <f t="shared" si="2"/>
        <v>Telmisartan/amlodipine</v>
      </c>
      <c r="M494" s="26"/>
    </row>
    <row r="495" ht="17.25" customHeight="1">
      <c r="B495" s="25" t="s">
        <v>598</v>
      </c>
      <c r="C495" s="25" t="s">
        <v>5599</v>
      </c>
      <c r="D495" s="25" t="s">
        <v>776</v>
      </c>
      <c r="E495" s="25" t="s">
        <v>6418</v>
      </c>
      <c r="F495" s="25" t="s">
        <v>776</v>
      </c>
      <c r="G495" s="25">
        <v>2.8843796012E8</v>
      </c>
      <c r="H495" s="25">
        <v>457753.92</v>
      </c>
      <c r="I495" s="26" t="s">
        <v>5441</v>
      </c>
      <c r="J495" s="26" t="s">
        <v>6152</v>
      </c>
      <c r="K495" s="26" t="str">
        <f t="shared" si="1"/>
        <v>ARB/CCB</v>
      </c>
      <c r="L495" s="26" t="str">
        <f t="shared" si="2"/>
        <v>Telmisartan/amlodipine</v>
      </c>
      <c r="M495" s="26"/>
    </row>
    <row r="496" ht="17.25" customHeight="1">
      <c r="B496" s="25" t="s">
        <v>598</v>
      </c>
      <c r="C496" s="25" t="s">
        <v>5599</v>
      </c>
      <c r="D496" s="25" t="s">
        <v>779</v>
      </c>
      <c r="E496" s="25" t="s">
        <v>6419</v>
      </c>
      <c r="F496" s="25" t="s">
        <v>779</v>
      </c>
      <c r="G496" s="25">
        <v>1.1633218375E8</v>
      </c>
      <c r="H496" s="25">
        <v>185429.32</v>
      </c>
      <c r="I496" s="26" t="s">
        <v>5441</v>
      </c>
      <c r="J496" s="26" t="s">
        <v>6152</v>
      </c>
      <c r="K496" s="26" t="str">
        <f t="shared" si="1"/>
        <v>ARB/CCB</v>
      </c>
      <c r="L496" s="26" t="str">
        <f t="shared" si="2"/>
        <v>Telmisartan/amlodipine</v>
      </c>
      <c r="M496" s="26"/>
    </row>
    <row r="497" ht="17.25" customHeight="1">
      <c r="B497" s="25" t="s">
        <v>598</v>
      </c>
      <c r="C497" s="25" t="s">
        <v>5599</v>
      </c>
      <c r="D497" s="25" t="s">
        <v>781</v>
      </c>
      <c r="E497" s="25" t="s">
        <v>6420</v>
      </c>
      <c r="F497" s="25" t="s">
        <v>781</v>
      </c>
      <c r="G497" s="25">
        <v>7171462.5</v>
      </c>
      <c r="H497" s="25">
        <v>11157.5</v>
      </c>
      <c r="I497" s="26" t="s">
        <v>5441</v>
      </c>
      <c r="J497" s="26" t="s">
        <v>6152</v>
      </c>
      <c r="K497" s="26" t="str">
        <f t="shared" si="1"/>
        <v>ARB/CCB</v>
      </c>
      <c r="L497" s="26" t="str">
        <f t="shared" si="2"/>
        <v>Telmisartan/amlodipine</v>
      </c>
      <c r="M497" s="26"/>
    </row>
    <row r="498" ht="17.25" customHeight="1">
      <c r="B498" s="25" t="s">
        <v>598</v>
      </c>
      <c r="C498" s="25" t="s">
        <v>5599</v>
      </c>
      <c r="D498" s="25" t="s">
        <v>783</v>
      </c>
      <c r="E498" s="25" t="s">
        <v>6421</v>
      </c>
      <c r="F498" s="25" t="s">
        <v>783</v>
      </c>
      <c r="G498" s="25">
        <v>7.745717814E7</v>
      </c>
      <c r="H498" s="25">
        <v>122152.49</v>
      </c>
      <c r="I498" s="26" t="s">
        <v>5441</v>
      </c>
      <c r="J498" s="26" t="s">
        <v>6152</v>
      </c>
      <c r="K498" s="26" t="str">
        <f t="shared" si="1"/>
        <v>ARB/CCB</v>
      </c>
      <c r="L498" s="26" t="str">
        <f t="shared" si="2"/>
        <v>Telmisartan/amlodipine</v>
      </c>
      <c r="M498" s="26"/>
    </row>
    <row r="499" ht="17.25" customHeight="1">
      <c r="B499" s="25" t="s">
        <v>598</v>
      </c>
      <c r="C499" s="25" t="s">
        <v>5599</v>
      </c>
      <c r="D499" s="25" t="s">
        <v>708</v>
      </c>
      <c r="E499" s="25" t="s">
        <v>6422</v>
      </c>
      <c r="F499" s="25" t="s">
        <v>1101</v>
      </c>
      <c r="G499" s="25">
        <v>3.059938975E7</v>
      </c>
      <c r="H499" s="25">
        <v>48744.65</v>
      </c>
      <c r="I499" s="26" t="s">
        <v>5441</v>
      </c>
      <c r="J499" s="26" t="s">
        <v>6152</v>
      </c>
      <c r="K499" s="26" t="str">
        <f t="shared" si="1"/>
        <v>ARB/CCB</v>
      </c>
      <c r="L499" s="26" t="str">
        <f t="shared" si="2"/>
        <v>Telmisartan/amlodipine</v>
      </c>
      <c r="M499" s="26"/>
    </row>
    <row r="500" ht="17.25" customHeight="1">
      <c r="B500" s="25" t="s">
        <v>598</v>
      </c>
      <c r="C500" s="25" t="s">
        <v>5599</v>
      </c>
      <c r="D500" s="25" t="s">
        <v>786</v>
      </c>
      <c r="E500" s="25" t="s">
        <v>6423</v>
      </c>
      <c r="F500" s="25" t="s">
        <v>786</v>
      </c>
      <c r="G500" s="25">
        <v>1.7537494557E8</v>
      </c>
      <c r="H500" s="25">
        <v>278682.38</v>
      </c>
      <c r="I500" s="26" t="s">
        <v>5441</v>
      </c>
      <c r="J500" s="26" t="s">
        <v>6152</v>
      </c>
      <c r="K500" s="26" t="str">
        <f t="shared" si="1"/>
        <v>ARB/CCB</v>
      </c>
      <c r="L500" s="26" t="str">
        <f t="shared" si="2"/>
        <v>Telmisartan/amlodipine</v>
      </c>
      <c r="M500" s="26"/>
    </row>
    <row r="501" ht="17.25" customHeight="1">
      <c r="B501" s="25" t="s">
        <v>598</v>
      </c>
      <c r="C501" s="25" t="s">
        <v>5599</v>
      </c>
      <c r="D501" s="25" t="s">
        <v>5939</v>
      </c>
      <c r="E501" s="25" t="s">
        <v>6424</v>
      </c>
      <c r="F501" s="25" t="s">
        <v>5939</v>
      </c>
      <c r="G501" s="25">
        <v>8.48775141908E9</v>
      </c>
      <c r="H501" s="25">
        <v>1.1511471E7</v>
      </c>
      <c r="I501" s="26" t="s">
        <v>5441</v>
      </c>
      <c r="J501" s="26" t="s">
        <v>6152</v>
      </c>
      <c r="K501" s="26" t="str">
        <f t="shared" si="1"/>
        <v>ARB/CCB</v>
      </c>
      <c r="L501" s="26" t="str">
        <f t="shared" si="2"/>
        <v>Telmisartan/amlodipine</v>
      </c>
      <c r="M501" s="26"/>
    </row>
    <row r="502" ht="17.25" customHeight="1">
      <c r="B502" s="25" t="s">
        <v>598</v>
      </c>
      <c r="C502" s="25" t="s">
        <v>5599</v>
      </c>
      <c r="D502" s="25" t="s">
        <v>790</v>
      </c>
      <c r="E502" s="25" t="s">
        <v>6425</v>
      </c>
      <c r="F502" s="25" t="s">
        <v>790</v>
      </c>
      <c r="G502" s="25">
        <v>1.5839219044E8</v>
      </c>
      <c r="H502" s="25">
        <v>247601.7</v>
      </c>
      <c r="I502" s="26" t="s">
        <v>5441</v>
      </c>
      <c r="J502" s="26" t="s">
        <v>6152</v>
      </c>
      <c r="K502" s="26" t="str">
        <f t="shared" si="1"/>
        <v>ARB/CCB</v>
      </c>
      <c r="L502" s="26" t="str">
        <f t="shared" si="2"/>
        <v>Telmisartan/amlodipine</v>
      </c>
      <c r="M502" s="26"/>
    </row>
    <row r="503" ht="17.25" customHeight="1">
      <c r="B503" s="25" t="s">
        <v>598</v>
      </c>
      <c r="C503" s="25" t="s">
        <v>5599</v>
      </c>
      <c r="D503" s="25" t="s">
        <v>792</v>
      </c>
      <c r="E503" s="25" t="s">
        <v>6426</v>
      </c>
      <c r="F503" s="25" t="s">
        <v>792</v>
      </c>
      <c r="G503" s="25">
        <v>7.138387199E7</v>
      </c>
      <c r="H503" s="25">
        <v>111847.08</v>
      </c>
      <c r="I503" s="26" t="s">
        <v>5441</v>
      </c>
      <c r="J503" s="26" t="s">
        <v>6152</v>
      </c>
      <c r="K503" s="26" t="str">
        <f t="shared" si="1"/>
        <v>ARB/CCB</v>
      </c>
      <c r="L503" s="26" t="str">
        <f t="shared" si="2"/>
        <v>Telmisartan/amlodipine</v>
      </c>
      <c r="M503" s="26"/>
    </row>
    <row r="504" ht="17.25" customHeight="1">
      <c r="B504" s="25" t="s">
        <v>598</v>
      </c>
      <c r="C504" s="25" t="s">
        <v>5599</v>
      </c>
      <c r="D504" s="25" t="s">
        <v>794</v>
      </c>
      <c r="E504" s="25" t="s">
        <v>6427</v>
      </c>
      <c r="F504" s="25" t="s">
        <v>794</v>
      </c>
      <c r="G504" s="25">
        <v>9.37325164E7</v>
      </c>
      <c r="H504" s="25">
        <v>144045.91</v>
      </c>
      <c r="I504" s="26" t="s">
        <v>5441</v>
      </c>
      <c r="J504" s="26" t="s">
        <v>6152</v>
      </c>
      <c r="K504" s="26" t="str">
        <f t="shared" si="1"/>
        <v>ARB/CCB</v>
      </c>
      <c r="L504" s="26" t="str">
        <f t="shared" si="2"/>
        <v>Telmisartan/amlodipine</v>
      </c>
      <c r="M504" s="26"/>
    </row>
    <row r="505" ht="17.25" customHeight="1">
      <c r="B505" s="25" t="s">
        <v>598</v>
      </c>
      <c r="C505" s="25" t="s">
        <v>5599</v>
      </c>
      <c r="D505" s="25" t="s">
        <v>796</v>
      </c>
      <c r="E505" s="25" t="s">
        <v>6428</v>
      </c>
      <c r="F505" s="25" t="s">
        <v>796</v>
      </c>
      <c r="G505" s="25">
        <v>4.007077636E7</v>
      </c>
      <c r="H505" s="25">
        <v>62438.81</v>
      </c>
      <c r="I505" s="26" t="s">
        <v>5441</v>
      </c>
      <c r="J505" s="26" t="s">
        <v>6152</v>
      </c>
      <c r="K505" s="26" t="str">
        <f t="shared" si="1"/>
        <v>ARB/CCB</v>
      </c>
      <c r="L505" s="26" t="str">
        <f t="shared" si="2"/>
        <v>Telmisartan/amlodipine</v>
      </c>
      <c r="M505" s="26"/>
    </row>
    <row r="506" ht="17.25" customHeight="1">
      <c r="B506" s="25" t="s">
        <v>598</v>
      </c>
      <c r="C506" s="25" t="s">
        <v>5599</v>
      </c>
      <c r="D506" s="25" t="s">
        <v>800</v>
      </c>
      <c r="E506" s="25" t="s">
        <v>6429</v>
      </c>
      <c r="F506" s="25" t="s">
        <v>800</v>
      </c>
      <c r="G506" s="25">
        <v>1.3738702037E8</v>
      </c>
      <c r="H506" s="25">
        <v>212850.81</v>
      </c>
      <c r="I506" s="26" t="s">
        <v>5441</v>
      </c>
      <c r="J506" s="26" t="s">
        <v>6152</v>
      </c>
      <c r="K506" s="26" t="str">
        <f t="shared" si="1"/>
        <v>ARB/CCB</v>
      </c>
      <c r="L506" s="26" t="str">
        <f t="shared" si="2"/>
        <v>Telmisartan/amlodipine</v>
      </c>
      <c r="M506" s="26"/>
    </row>
    <row r="507" ht="17.25" customHeight="1">
      <c r="B507" s="25" t="s">
        <v>598</v>
      </c>
      <c r="C507" s="25" t="s">
        <v>5599</v>
      </c>
      <c r="D507" s="25" t="s">
        <v>953</v>
      </c>
      <c r="E507" s="25" t="s">
        <v>6430</v>
      </c>
      <c r="F507" s="25" t="s">
        <v>953</v>
      </c>
      <c r="G507" s="25">
        <v>4.770532695E7</v>
      </c>
      <c r="H507" s="25">
        <v>75934.9</v>
      </c>
      <c r="I507" s="26" t="s">
        <v>5441</v>
      </c>
      <c r="J507" s="26" t="s">
        <v>6152</v>
      </c>
      <c r="K507" s="26" t="str">
        <f t="shared" si="1"/>
        <v>ARB/CCB</v>
      </c>
      <c r="L507" s="26" t="str">
        <f t="shared" si="2"/>
        <v>Telmisartan/amlodipine</v>
      </c>
      <c r="M507" s="26"/>
    </row>
    <row r="508" ht="17.25" customHeight="1">
      <c r="B508" s="25" t="s">
        <v>598</v>
      </c>
      <c r="C508" s="25" t="s">
        <v>5599</v>
      </c>
      <c r="D508" s="25" t="s">
        <v>804</v>
      </c>
      <c r="E508" s="25" t="s">
        <v>6431</v>
      </c>
      <c r="F508" s="25" t="s">
        <v>804</v>
      </c>
      <c r="G508" s="25">
        <v>1.2957810051E8</v>
      </c>
      <c r="H508" s="25">
        <v>175182.45</v>
      </c>
      <c r="I508" s="26" t="s">
        <v>5441</v>
      </c>
      <c r="J508" s="26" t="s">
        <v>6152</v>
      </c>
      <c r="K508" s="26" t="str">
        <f t="shared" si="1"/>
        <v>ARB/CCB</v>
      </c>
      <c r="L508" s="26" t="str">
        <f t="shared" si="2"/>
        <v>Telmisartan/amlodipine</v>
      </c>
      <c r="M508" s="26"/>
    </row>
    <row r="509" ht="17.25" customHeight="1">
      <c r="B509" s="25" t="s">
        <v>598</v>
      </c>
      <c r="C509" s="25" t="s">
        <v>5599</v>
      </c>
      <c r="D509" s="25" t="s">
        <v>810</v>
      </c>
      <c r="E509" s="25" t="s">
        <v>6432</v>
      </c>
      <c r="F509" s="25" t="s">
        <v>810</v>
      </c>
      <c r="G509" s="25">
        <v>1.71155227204E9</v>
      </c>
      <c r="H509" s="25">
        <v>2283413.7</v>
      </c>
      <c r="I509" s="26" t="s">
        <v>5441</v>
      </c>
      <c r="J509" s="26" t="s">
        <v>6152</v>
      </c>
      <c r="K509" s="26" t="str">
        <f t="shared" si="1"/>
        <v>ARB/CCB</v>
      </c>
      <c r="L509" s="26" t="str">
        <f t="shared" si="2"/>
        <v>Telmisartan/amlodipine</v>
      </c>
      <c r="M509" s="26"/>
    </row>
    <row r="510" ht="17.25" customHeight="1">
      <c r="B510" s="25" t="s">
        <v>598</v>
      </c>
      <c r="C510" s="25" t="s">
        <v>5599</v>
      </c>
      <c r="D510" s="25" t="s">
        <v>812</v>
      </c>
      <c r="E510" s="25" t="s">
        <v>6433</v>
      </c>
      <c r="F510" s="25" t="s">
        <v>812</v>
      </c>
      <c r="G510" s="25">
        <v>7.59052125E7</v>
      </c>
      <c r="H510" s="25">
        <v>118333.7</v>
      </c>
      <c r="I510" s="26" t="s">
        <v>5441</v>
      </c>
      <c r="J510" s="26" t="s">
        <v>6152</v>
      </c>
      <c r="K510" s="26" t="str">
        <f t="shared" si="1"/>
        <v>ARB/CCB</v>
      </c>
      <c r="L510" s="26" t="str">
        <f t="shared" si="2"/>
        <v>Telmisartan/amlodipine</v>
      </c>
      <c r="M510" s="26"/>
    </row>
    <row r="511" ht="17.25" customHeight="1">
      <c r="B511" s="25" t="s">
        <v>598</v>
      </c>
      <c r="C511" s="25" t="s">
        <v>5599</v>
      </c>
      <c r="D511" s="25" t="s">
        <v>816</v>
      </c>
      <c r="E511" s="25" t="s">
        <v>6434</v>
      </c>
      <c r="F511" s="25" t="s">
        <v>816</v>
      </c>
      <c r="G511" s="25">
        <v>2.9924743678E8</v>
      </c>
      <c r="H511" s="25">
        <v>470798.74</v>
      </c>
      <c r="I511" s="26" t="s">
        <v>5441</v>
      </c>
      <c r="J511" s="26" t="s">
        <v>6152</v>
      </c>
      <c r="K511" s="26" t="str">
        <f t="shared" si="1"/>
        <v>ARB/CCB</v>
      </c>
      <c r="L511" s="26" t="str">
        <f t="shared" si="2"/>
        <v>Telmisartan/amlodipine</v>
      </c>
      <c r="M511" s="26"/>
    </row>
    <row r="512" ht="17.25" customHeight="1">
      <c r="B512" s="25" t="s">
        <v>598</v>
      </c>
      <c r="C512" s="25" t="s">
        <v>5599</v>
      </c>
      <c r="D512" s="25" t="s">
        <v>818</v>
      </c>
      <c r="E512" s="25" t="s">
        <v>6435</v>
      </c>
      <c r="F512" s="25" t="s">
        <v>818</v>
      </c>
      <c r="G512" s="25">
        <v>2.6884291116E8</v>
      </c>
      <c r="H512" s="25">
        <v>365646.16</v>
      </c>
      <c r="I512" s="26" t="s">
        <v>5441</v>
      </c>
      <c r="J512" s="26" t="s">
        <v>6152</v>
      </c>
      <c r="K512" s="26" t="str">
        <f t="shared" si="1"/>
        <v>ARB/CCB</v>
      </c>
      <c r="L512" s="26" t="str">
        <f t="shared" si="2"/>
        <v>Telmisartan/amlodipine</v>
      </c>
      <c r="M512" s="26"/>
    </row>
    <row r="513" ht="17.25" customHeight="1">
      <c r="B513" s="25" t="s">
        <v>598</v>
      </c>
      <c r="C513" s="25" t="s">
        <v>5599</v>
      </c>
      <c r="D513" s="25" t="s">
        <v>826</v>
      </c>
      <c r="E513" s="25" t="s">
        <v>6436</v>
      </c>
      <c r="F513" s="25" t="s">
        <v>826</v>
      </c>
      <c r="G513" s="25">
        <v>4.5797813007E8</v>
      </c>
      <c r="H513" s="25">
        <v>723231.07</v>
      </c>
      <c r="I513" s="26" t="s">
        <v>5441</v>
      </c>
      <c r="J513" s="26" t="s">
        <v>6152</v>
      </c>
      <c r="K513" s="26" t="str">
        <f t="shared" si="1"/>
        <v>ARB/CCB</v>
      </c>
      <c r="L513" s="26" t="str">
        <f t="shared" si="2"/>
        <v>Telmisartan/amlodipine</v>
      </c>
      <c r="M513" s="26"/>
    </row>
    <row r="514" ht="17.25" customHeight="1">
      <c r="B514" s="25" t="s">
        <v>598</v>
      </c>
      <c r="C514" s="25" t="s">
        <v>5599</v>
      </c>
      <c r="D514" s="25" t="s">
        <v>834</v>
      </c>
      <c r="E514" s="25" t="s">
        <v>6437</v>
      </c>
      <c r="F514" s="25" t="s">
        <v>834</v>
      </c>
      <c r="G514" s="25">
        <v>2.66571655E8</v>
      </c>
      <c r="H514" s="25">
        <v>351770.3</v>
      </c>
      <c r="I514" s="26" t="s">
        <v>5441</v>
      </c>
      <c r="J514" s="26" t="s">
        <v>6152</v>
      </c>
      <c r="K514" s="26" t="str">
        <f t="shared" si="1"/>
        <v>ARB/CCB</v>
      </c>
      <c r="L514" s="26" t="str">
        <f t="shared" si="2"/>
        <v>Telmisartan/amlodipine</v>
      </c>
      <c r="M514" s="26"/>
    </row>
    <row r="515" ht="17.25" customHeight="1">
      <c r="B515" s="25" t="s">
        <v>598</v>
      </c>
      <c r="C515" s="25" t="s">
        <v>5599</v>
      </c>
      <c r="D515" s="25" t="s">
        <v>836</v>
      </c>
      <c r="E515" s="25" t="s">
        <v>6438</v>
      </c>
      <c r="F515" s="25" t="s">
        <v>836</v>
      </c>
      <c r="G515" s="25">
        <v>3.102318394E7</v>
      </c>
      <c r="H515" s="25">
        <v>51994.81</v>
      </c>
      <c r="I515" s="26" t="s">
        <v>5441</v>
      </c>
      <c r="J515" s="26" t="s">
        <v>6152</v>
      </c>
      <c r="K515" s="26" t="str">
        <f t="shared" si="1"/>
        <v>ARB/CCB</v>
      </c>
      <c r="L515" s="26" t="str">
        <f t="shared" si="2"/>
        <v>Telmisartan/amlodipine</v>
      </c>
      <c r="M515" s="26"/>
    </row>
    <row r="516" ht="17.25" customHeight="1">
      <c r="B516" s="25" t="s">
        <v>598</v>
      </c>
      <c r="C516" s="25" t="s">
        <v>5599</v>
      </c>
      <c r="D516" s="25" t="s">
        <v>710</v>
      </c>
      <c r="E516" s="25" t="s">
        <v>6439</v>
      </c>
      <c r="F516" s="25" t="s">
        <v>1028</v>
      </c>
      <c r="G516" s="25">
        <v>6.62623036E7</v>
      </c>
      <c r="H516" s="25">
        <v>102448.26</v>
      </c>
      <c r="I516" s="26" t="s">
        <v>5441</v>
      </c>
      <c r="J516" s="26" t="s">
        <v>6152</v>
      </c>
      <c r="K516" s="26" t="str">
        <f t="shared" si="1"/>
        <v>ARB/CCB</v>
      </c>
      <c r="L516" s="26" t="str">
        <f t="shared" si="2"/>
        <v>Telmisartan/amlodipine</v>
      </c>
      <c r="M516" s="26"/>
    </row>
    <row r="517" ht="17.25" customHeight="1">
      <c r="B517" s="25" t="s">
        <v>598</v>
      </c>
      <c r="C517" s="25" t="s">
        <v>5599</v>
      </c>
      <c r="D517" s="25" t="s">
        <v>842</v>
      </c>
      <c r="E517" s="25" t="s">
        <v>6440</v>
      </c>
      <c r="F517" s="25" t="s">
        <v>842</v>
      </c>
      <c r="G517" s="25">
        <v>7.01684924E7</v>
      </c>
      <c r="H517" s="25">
        <v>108580.95</v>
      </c>
      <c r="I517" s="26" t="s">
        <v>5441</v>
      </c>
      <c r="J517" s="26" t="s">
        <v>6152</v>
      </c>
      <c r="K517" s="26" t="str">
        <f t="shared" si="1"/>
        <v>ARB/CCB</v>
      </c>
      <c r="L517" s="26" t="str">
        <f t="shared" si="2"/>
        <v>Telmisartan/amlodipine</v>
      </c>
      <c r="M517" s="26"/>
    </row>
    <row r="518" ht="17.25" customHeight="1">
      <c r="B518" s="25" t="s">
        <v>598</v>
      </c>
      <c r="C518" s="25" t="s">
        <v>5599</v>
      </c>
      <c r="D518" s="25" t="s">
        <v>846</v>
      </c>
      <c r="E518" s="25" t="s">
        <v>6441</v>
      </c>
      <c r="F518" s="25" t="s">
        <v>846</v>
      </c>
      <c r="G518" s="25">
        <v>5916582.5</v>
      </c>
      <c r="H518" s="25">
        <v>8767.7</v>
      </c>
      <c r="I518" s="26" t="s">
        <v>5441</v>
      </c>
      <c r="J518" s="26" t="s">
        <v>6152</v>
      </c>
      <c r="K518" s="26" t="str">
        <f t="shared" si="1"/>
        <v>ARB/CCB</v>
      </c>
      <c r="L518" s="26" t="str">
        <f t="shared" si="2"/>
        <v>Telmisartan/amlodipine</v>
      </c>
      <c r="M518" s="26"/>
    </row>
    <row r="519" ht="17.25" customHeight="1">
      <c r="B519" s="25" t="s">
        <v>598</v>
      </c>
      <c r="C519" s="25" t="s">
        <v>5599</v>
      </c>
      <c r="D519" s="25" t="s">
        <v>848</v>
      </c>
      <c r="E519" s="25" t="s">
        <v>6442</v>
      </c>
      <c r="F519" s="25" t="s">
        <v>848</v>
      </c>
      <c r="G519" s="25">
        <v>6998060.0</v>
      </c>
      <c r="H519" s="25">
        <v>11188.1</v>
      </c>
      <c r="I519" s="26" t="s">
        <v>5441</v>
      </c>
      <c r="J519" s="26" t="s">
        <v>6152</v>
      </c>
      <c r="K519" s="26" t="str">
        <f t="shared" si="1"/>
        <v>ARB/CCB</v>
      </c>
      <c r="L519" s="26" t="str">
        <f t="shared" si="2"/>
        <v>Telmisartan/amlodipine</v>
      </c>
      <c r="M519" s="26"/>
    </row>
    <row r="520" ht="17.25" customHeight="1">
      <c r="B520" s="25" t="s">
        <v>598</v>
      </c>
      <c r="C520" s="25" t="s">
        <v>5599</v>
      </c>
      <c r="D520" s="25" t="s">
        <v>852</v>
      </c>
      <c r="E520" s="25" t="s">
        <v>6443</v>
      </c>
      <c r="F520" s="25" t="s">
        <v>852</v>
      </c>
      <c r="G520" s="25">
        <v>4.336940725E7</v>
      </c>
      <c r="H520" s="25">
        <v>67269.91</v>
      </c>
      <c r="I520" s="26" t="s">
        <v>5441</v>
      </c>
      <c r="J520" s="26" t="s">
        <v>6152</v>
      </c>
      <c r="K520" s="26" t="str">
        <f t="shared" si="1"/>
        <v>ARB/CCB</v>
      </c>
      <c r="L520" s="26" t="str">
        <f t="shared" si="2"/>
        <v>Telmisartan/amlodipine</v>
      </c>
      <c r="M520" s="26"/>
    </row>
    <row r="521" ht="17.25" customHeight="1">
      <c r="B521" s="25" t="s">
        <v>598</v>
      </c>
      <c r="C521" s="25" t="s">
        <v>5599</v>
      </c>
      <c r="D521" s="25" t="s">
        <v>728</v>
      </c>
      <c r="E521" s="25" t="s">
        <v>6444</v>
      </c>
      <c r="F521" s="25" t="s">
        <v>728</v>
      </c>
      <c r="G521" s="25">
        <v>2044080.0</v>
      </c>
      <c r="H521" s="25">
        <v>3406.8</v>
      </c>
      <c r="I521" s="26" t="s">
        <v>5441</v>
      </c>
      <c r="J521" s="26" t="s">
        <v>6152</v>
      </c>
      <c r="K521" s="26" t="str">
        <f t="shared" si="1"/>
        <v>ARB/CCB</v>
      </c>
      <c r="L521" s="26" t="str">
        <f t="shared" si="2"/>
        <v>Telmisartan/amlodipine</v>
      </c>
      <c r="M521" s="26"/>
    </row>
    <row r="522" ht="17.25" customHeight="1">
      <c r="B522" s="25" t="s">
        <v>598</v>
      </c>
      <c r="C522" s="25" t="s">
        <v>5599</v>
      </c>
      <c r="D522" s="25" t="s">
        <v>856</v>
      </c>
      <c r="E522" s="25" t="s">
        <v>6445</v>
      </c>
      <c r="F522" s="25" t="s">
        <v>856</v>
      </c>
      <c r="G522" s="25">
        <v>6.008670125E7</v>
      </c>
      <c r="H522" s="25">
        <v>92973.7</v>
      </c>
      <c r="I522" s="26" t="s">
        <v>5441</v>
      </c>
      <c r="J522" s="26" t="s">
        <v>6152</v>
      </c>
      <c r="K522" s="26" t="str">
        <f t="shared" si="1"/>
        <v>ARB/CCB</v>
      </c>
      <c r="L522" s="26" t="str">
        <f t="shared" si="2"/>
        <v>Telmisartan/amlodipine</v>
      </c>
      <c r="M522" s="26"/>
    </row>
    <row r="523" ht="17.25" customHeight="1">
      <c r="B523" s="25" t="s">
        <v>598</v>
      </c>
      <c r="C523" s="25" t="s">
        <v>5599</v>
      </c>
      <c r="D523" s="25" t="s">
        <v>862</v>
      </c>
      <c r="E523" s="25" t="s">
        <v>6446</v>
      </c>
      <c r="F523" s="25" t="s">
        <v>862</v>
      </c>
      <c r="G523" s="25">
        <v>5.244695681E8</v>
      </c>
      <c r="H523" s="25">
        <v>758406.36</v>
      </c>
      <c r="I523" s="26" t="s">
        <v>5441</v>
      </c>
      <c r="J523" s="26" t="s">
        <v>6152</v>
      </c>
      <c r="K523" s="26" t="str">
        <f t="shared" si="1"/>
        <v>ARB/CCB</v>
      </c>
      <c r="L523" s="26" t="str">
        <f t="shared" si="2"/>
        <v>Telmisartan/amlodipine</v>
      </c>
      <c r="M523" s="26"/>
    </row>
    <row r="524" ht="17.25" customHeight="1">
      <c r="B524" s="25" t="s">
        <v>598</v>
      </c>
      <c r="C524" s="25" t="s">
        <v>5599</v>
      </c>
      <c r="D524" s="25" t="s">
        <v>730</v>
      </c>
      <c r="E524" s="25" t="s">
        <v>6447</v>
      </c>
      <c r="F524" s="25" t="s">
        <v>730</v>
      </c>
      <c r="G524" s="25">
        <v>6.625076216E7</v>
      </c>
      <c r="H524" s="25">
        <v>86737.67</v>
      </c>
      <c r="I524" s="26" t="s">
        <v>5441</v>
      </c>
      <c r="J524" s="26" t="s">
        <v>6152</v>
      </c>
      <c r="K524" s="26" t="str">
        <f t="shared" si="1"/>
        <v>ARB/CCB</v>
      </c>
      <c r="L524" s="26" t="str">
        <f t="shared" si="2"/>
        <v>Telmisartan/amlodipine</v>
      </c>
      <c r="M524" s="26"/>
    </row>
    <row r="525" ht="17.25" customHeight="1">
      <c r="B525" s="25" t="s">
        <v>598</v>
      </c>
      <c r="C525" s="25" t="s">
        <v>5599</v>
      </c>
      <c r="D525" s="25" t="s">
        <v>713</v>
      </c>
      <c r="E525" s="25" t="s">
        <v>6448</v>
      </c>
      <c r="F525" s="25" t="s">
        <v>713</v>
      </c>
      <c r="G525" s="25">
        <v>1.01522966E8</v>
      </c>
      <c r="H525" s="25">
        <v>157108.61</v>
      </c>
      <c r="I525" s="26" t="s">
        <v>5441</v>
      </c>
      <c r="J525" s="26" t="s">
        <v>6152</v>
      </c>
      <c r="K525" s="26" t="str">
        <f t="shared" si="1"/>
        <v>ARB/CCB</v>
      </c>
      <c r="L525" s="26" t="str">
        <f t="shared" si="2"/>
        <v>Telmisartan/amlodipine</v>
      </c>
      <c r="M525" s="26"/>
    </row>
    <row r="526" ht="17.25" customHeight="1">
      <c r="B526" s="25" t="s">
        <v>598</v>
      </c>
      <c r="C526" s="25" t="s">
        <v>5599</v>
      </c>
      <c r="D526" s="25" t="s">
        <v>868</v>
      </c>
      <c r="E526" s="25" t="s">
        <v>6449</v>
      </c>
      <c r="F526" s="25" t="s">
        <v>868</v>
      </c>
      <c r="G526" s="25">
        <v>1.8275058719E8</v>
      </c>
      <c r="H526" s="25">
        <v>290655.87</v>
      </c>
      <c r="I526" s="26" t="s">
        <v>5441</v>
      </c>
      <c r="J526" s="26" t="s">
        <v>6152</v>
      </c>
      <c r="K526" s="26" t="str">
        <f t="shared" si="1"/>
        <v>ARB/CCB</v>
      </c>
      <c r="L526" s="26" t="str">
        <f t="shared" si="2"/>
        <v>Telmisartan/amlodipine</v>
      </c>
      <c r="M526" s="26"/>
    </row>
    <row r="527" ht="17.25" customHeight="1">
      <c r="B527" s="25" t="s">
        <v>598</v>
      </c>
      <c r="C527" s="25" t="s">
        <v>5599</v>
      </c>
      <c r="D527" s="25" t="s">
        <v>870</v>
      </c>
      <c r="E527" s="25" t="s">
        <v>6450</v>
      </c>
      <c r="F527" s="25" t="s">
        <v>870</v>
      </c>
      <c r="G527" s="25">
        <v>6.538425176E7</v>
      </c>
      <c r="H527" s="25">
        <v>102772.16</v>
      </c>
      <c r="I527" s="26" t="s">
        <v>5441</v>
      </c>
      <c r="J527" s="26" t="s">
        <v>6152</v>
      </c>
      <c r="K527" s="26" t="str">
        <f t="shared" si="1"/>
        <v>ARB/CCB</v>
      </c>
      <c r="L527" s="26" t="str">
        <f t="shared" si="2"/>
        <v>Telmisartan/amlodipine</v>
      </c>
      <c r="M527" s="26"/>
    </row>
    <row r="528" ht="17.25" customHeight="1">
      <c r="B528" s="25" t="s">
        <v>598</v>
      </c>
      <c r="C528" s="25" t="s">
        <v>5599</v>
      </c>
      <c r="D528" s="25" t="s">
        <v>1040</v>
      </c>
      <c r="E528" s="25" t="s">
        <v>6451</v>
      </c>
      <c r="F528" s="25" t="s">
        <v>1040</v>
      </c>
      <c r="G528" s="25">
        <v>1.02820051406E9</v>
      </c>
      <c r="H528" s="25">
        <v>1345961.74</v>
      </c>
      <c r="I528" s="26" t="s">
        <v>5441</v>
      </c>
      <c r="J528" s="26" t="s">
        <v>6152</v>
      </c>
      <c r="K528" s="26" t="str">
        <f t="shared" si="1"/>
        <v>ARB/CCB</v>
      </c>
      <c r="L528" s="26" t="str">
        <f t="shared" si="2"/>
        <v>Telmisartan/amlodipine</v>
      </c>
      <c r="M528" s="26"/>
    </row>
    <row r="529" ht="17.25" customHeight="1">
      <c r="B529" s="25" t="s">
        <v>598</v>
      </c>
      <c r="C529" s="25" t="s">
        <v>5599</v>
      </c>
      <c r="D529" s="25" t="s">
        <v>983</v>
      </c>
      <c r="E529" s="25" t="s">
        <v>6452</v>
      </c>
      <c r="F529" s="25" t="s">
        <v>983</v>
      </c>
      <c r="G529" s="25">
        <v>6.623165989E7</v>
      </c>
      <c r="H529" s="25">
        <v>111012.88</v>
      </c>
      <c r="I529" s="26" t="s">
        <v>5441</v>
      </c>
      <c r="J529" s="26" t="s">
        <v>6152</v>
      </c>
      <c r="K529" s="26" t="str">
        <f t="shared" si="1"/>
        <v>ARB/CCB</v>
      </c>
      <c r="L529" s="26" t="str">
        <f t="shared" si="2"/>
        <v>Telmisartan/amlodipine</v>
      </c>
      <c r="M529" s="26"/>
    </row>
    <row r="530" ht="17.25" customHeight="1">
      <c r="B530" s="25" t="s">
        <v>598</v>
      </c>
      <c r="C530" s="25" t="s">
        <v>5599</v>
      </c>
      <c r="D530" s="25" t="s">
        <v>734</v>
      </c>
      <c r="E530" s="25" t="s">
        <v>6453</v>
      </c>
      <c r="F530" s="25" t="s">
        <v>734</v>
      </c>
      <c r="G530" s="25">
        <v>3.9590818E7</v>
      </c>
      <c r="H530" s="25">
        <v>62757.92</v>
      </c>
      <c r="I530" s="26" t="s">
        <v>5441</v>
      </c>
      <c r="J530" s="26" t="s">
        <v>6152</v>
      </c>
      <c r="K530" s="26" t="str">
        <f t="shared" si="1"/>
        <v>ARB/CCB</v>
      </c>
      <c r="L530" s="26" t="str">
        <f t="shared" si="2"/>
        <v>Telmisartan/amlodipine</v>
      </c>
      <c r="M530" s="26"/>
    </row>
    <row r="531" ht="17.25" customHeight="1">
      <c r="B531" s="25" t="s">
        <v>598</v>
      </c>
      <c r="C531" s="25" t="s">
        <v>5599</v>
      </c>
      <c r="D531" s="25" t="s">
        <v>6454</v>
      </c>
      <c r="E531" s="25" t="s">
        <v>6455</v>
      </c>
      <c r="F531" s="25" t="s">
        <v>6454</v>
      </c>
      <c r="G531" s="25">
        <v>1.6323852E7</v>
      </c>
      <c r="H531" s="25">
        <v>25482.02</v>
      </c>
      <c r="I531" s="26" t="s">
        <v>5441</v>
      </c>
      <c r="J531" s="26" t="s">
        <v>6152</v>
      </c>
      <c r="K531" s="26" t="str">
        <f t="shared" si="1"/>
        <v>ARB/CCB</v>
      </c>
      <c r="L531" s="26" t="str">
        <f t="shared" si="2"/>
        <v>Telmisartan/amlodipine</v>
      </c>
      <c r="M531" s="26"/>
    </row>
    <row r="532" ht="17.25" customHeight="1">
      <c r="B532" s="25" t="s">
        <v>598</v>
      </c>
      <c r="C532" s="25" t="s">
        <v>5599</v>
      </c>
      <c r="D532" s="25" t="s">
        <v>874</v>
      </c>
      <c r="E532" s="25" t="s">
        <v>6456</v>
      </c>
      <c r="F532" s="25" t="s">
        <v>874</v>
      </c>
      <c r="G532" s="25">
        <v>2.6824034854E8</v>
      </c>
      <c r="H532" s="25">
        <v>387659.34</v>
      </c>
      <c r="I532" s="26" t="s">
        <v>5441</v>
      </c>
      <c r="J532" s="26" t="s">
        <v>6152</v>
      </c>
      <c r="K532" s="26" t="str">
        <f t="shared" si="1"/>
        <v>ARB/CCB</v>
      </c>
      <c r="L532" s="26" t="str">
        <f t="shared" si="2"/>
        <v>Telmisartan/amlodipine</v>
      </c>
      <c r="M532" s="26"/>
    </row>
    <row r="533" ht="17.25" customHeight="1">
      <c r="B533" s="25" t="s">
        <v>598</v>
      </c>
      <c r="C533" s="25" t="s">
        <v>5599</v>
      </c>
      <c r="D533" s="25" t="s">
        <v>876</v>
      </c>
      <c r="E533" s="25" t="s">
        <v>6457</v>
      </c>
      <c r="F533" s="25" t="s">
        <v>1220</v>
      </c>
      <c r="G533" s="25">
        <v>1.1558850418E8</v>
      </c>
      <c r="H533" s="25">
        <v>181696.7</v>
      </c>
      <c r="I533" s="26" t="s">
        <v>5441</v>
      </c>
      <c r="J533" s="26" t="s">
        <v>6152</v>
      </c>
      <c r="K533" s="26" t="str">
        <f t="shared" si="1"/>
        <v>ARB/CCB</v>
      </c>
      <c r="L533" s="26" t="str">
        <f t="shared" si="2"/>
        <v>Telmisartan/amlodipine</v>
      </c>
      <c r="M533" s="26"/>
    </row>
    <row r="534" ht="17.25" customHeight="1">
      <c r="B534" s="25" t="s">
        <v>598</v>
      </c>
      <c r="C534" s="25" t="s">
        <v>5599</v>
      </c>
      <c r="D534" s="25" t="s">
        <v>884</v>
      </c>
      <c r="E534" s="25" t="s">
        <v>6458</v>
      </c>
      <c r="F534" s="25" t="s">
        <v>884</v>
      </c>
      <c r="G534" s="25">
        <v>2.7245539E7</v>
      </c>
      <c r="H534" s="25">
        <v>43329.69</v>
      </c>
      <c r="I534" s="26" t="s">
        <v>5441</v>
      </c>
      <c r="J534" s="26" t="s">
        <v>6152</v>
      </c>
      <c r="K534" s="26" t="str">
        <f t="shared" si="1"/>
        <v>ARB/CCB</v>
      </c>
      <c r="L534" s="26" t="str">
        <f t="shared" si="2"/>
        <v>Telmisartan/amlodipine</v>
      </c>
      <c r="M534" s="26"/>
    </row>
    <row r="535" ht="17.25" customHeight="1">
      <c r="B535" s="25" t="s">
        <v>598</v>
      </c>
      <c r="C535" s="25" t="s">
        <v>5599</v>
      </c>
      <c r="D535" s="25" t="s">
        <v>886</v>
      </c>
      <c r="E535" s="25" t="s">
        <v>6459</v>
      </c>
      <c r="F535" s="25" t="s">
        <v>886</v>
      </c>
      <c r="G535" s="25">
        <v>2.2825486314E8</v>
      </c>
      <c r="H535" s="25">
        <v>307286.97</v>
      </c>
      <c r="I535" s="26" t="s">
        <v>5441</v>
      </c>
      <c r="J535" s="26" t="s">
        <v>6152</v>
      </c>
      <c r="K535" s="26" t="str">
        <f t="shared" si="1"/>
        <v>ARB/CCB</v>
      </c>
      <c r="L535" s="26" t="str">
        <f t="shared" si="2"/>
        <v>Telmisartan/amlodipine</v>
      </c>
      <c r="M535" s="26"/>
    </row>
    <row r="536" ht="17.25" customHeight="1">
      <c r="B536" s="25" t="s">
        <v>598</v>
      </c>
      <c r="C536" s="25" t="s">
        <v>5599</v>
      </c>
      <c r="D536" s="25" t="s">
        <v>888</v>
      </c>
      <c r="E536" s="25" t="s">
        <v>6460</v>
      </c>
      <c r="F536" s="25" t="s">
        <v>888</v>
      </c>
      <c r="G536" s="25">
        <v>6.826635748E7</v>
      </c>
      <c r="H536" s="25">
        <v>90811.54</v>
      </c>
      <c r="I536" s="26" t="s">
        <v>5441</v>
      </c>
      <c r="J536" s="26" t="s">
        <v>6152</v>
      </c>
      <c r="K536" s="26" t="str">
        <f t="shared" si="1"/>
        <v>ARB/CCB</v>
      </c>
      <c r="L536" s="26" t="str">
        <f t="shared" si="2"/>
        <v>Telmisartan/amlodipine</v>
      </c>
      <c r="M536" s="26"/>
    </row>
    <row r="537" ht="17.25" customHeight="1">
      <c r="B537" s="25" t="s">
        <v>598</v>
      </c>
      <c r="C537" s="25" t="s">
        <v>5599</v>
      </c>
      <c r="D537" s="25" t="s">
        <v>838</v>
      </c>
      <c r="E537" s="25" t="s">
        <v>6461</v>
      </c>
      <c r="F537" s="25" t="s">
        <v>838</v>
      </c>
      <c r="G537" s="25">
        <v>1.894307E7</v>
      </c>
      <c r="H537" s="25">
        <v>30519.2</v>
      </c>
      <c r="I537" s="26" t="s">
        <v>5441</v>
      </c>
      <c r="J537" s="26" t="s">
        <v>6152</v>
      </c>
      <c r="K537" s="26" t="str">
        <f t="shared" si="1"/>
        <v>ARB/CCB</v>
      </c>
      <c r="L537" s="26" t="str">
        <f t="shared" si="2"/>
        <v>Telmisartan/amlodipine</v>
      </c>
      <c r="M537" s="26"/>
    </row>
    <row r="538" ht="17.25" customHeight="1">
      <c r="B538" s="25" t="s">
        <v>598</v>
      </c>
      <c r="C538" s="25" t="s">
        <v>5599</v>
      </c>
      <c r="D538" s="25" t="s">
        <v>894</v>
      </c>
      <c r="E538" s="25" t="s">
        <v>6462</v>
      </c>
      <c r="F538" s="25" t="s">
        <v>894</v>
      </c>
      <c r="G538" s="25">
        <v>2.27032786E7</v>
      </c>
      <c r="H538" s="25">
        <v>35281.24</v>
      </c>
      <c r="I538" s="26" t="s">
        <v>5441</v>
      </c>
      <c r="J538" s="26" t="s">
        <v>6152</v>
      </c>
      <c r="K538" s="26" t="str">
        <f t="shared" si="1"/>
        <v>ARB/CCB</v>
      </c>
      <c r="L538" s="26" t="str">
        <f t="shared" si="2"/>
        <v>Telmisartan/amlodipine</v>
      </c>
      <c r="M538" s="26"/>
    </row>
    <row r="539" ht="17.25" customHeight="1">
      <c r="B539" s="25" t="s">
        <v>598</v>
      </c>
      <c r="C539" s="25" t="s">
        <v>5599</v>
      </c>
      <c r="D539" s="25" t="s">
        <v>898</v>
      </c>
      <c r="E539" s="25" t="s">
        <v>6463</v>
      </c>
      <c r="F539" s="25" t="s">
        <v>898</v>
      </c>
      <c r="G539" s="25">
        <v>7.17708457E7</v>
      </c>
      <c r="H539" s="25">
        <v>111795.26</v>
      </c>
      <c r="I539" s="26" t="s">
        <v>5441</v>
      </c>
      <c r="J539" s="26" t="s">
        <v>6152</v>
      </c>
      <c r="K539" s="26" t="str">
        <f t="shared" si="1"/>
        <v>ARB/CCB</v>
      </c>
      <c r="L539" s="26" t="str">
        <f t="shared" si="2"/>
        <v>Telmisartan/amlodipine</v>
      </c>
      <c r="M539" s="26"/>
    </row>
    <row r="540" ht="17.25" customHeight="1">
      <c r="B540" s="25" t="s">
        <v>598</v>
      </c>
      <c r="C540" s="25" t="s">
        <v>5599</v>
      </c>
      <c r="D540" s="25" t="s">
        <v>900</v>
      </c>
      <c r="E540" s="25" t="s">
        <v>6464</v>
      </c>
      <c r="F540" s="25" t="s">
        <v>900</v>
      </c>
      <c r="G540" s="25">
        <v>1.0957137375E8</v>
      </c>
      <c r="H540" s="25">
        <v>171584.25</v>
      </c>
      <c r="I540" s="26" t="s">
        <v>5441</v>
      </c>
      <c r="J540" s="26" t="s">
        <v>6152</v>
      </c>
      <c r="K540" s="26" t="str">
        <f t="shared" si="1"/>
        <v>ARB/CCB</v>
      </c>
      <c r="L540" s="26" t="str">
        <f t="shared" si="2"/>
        <v>Telmisartan/amlodipine</v>
      </c>
      <c r="M540" s="26"/>
    </row>
    <row r="541" ht="17.25" customHeight="1">
      <c r="B541" s="25" t="s">
        <v>598</v>
      </c>
      <c r="C541" s="25" t="s">
        <v>5599</v>
      </c>
      <c r="D541" s="25" t="s">
        <v>1681</v>
      </c>
      <c r="E541" s="25" t="s">
        <v>6465</v>
      </c>
      <c r="F541" s="25" t="s">
        <v>1681</v>
      </c>
      <c r="G541" s="25">
        <v>3.7231518E7</v>
      </c>
      <c r="H541" s="25">
        <v>62052.53</v>
      </c>
      <c r="I541" s="26" t="s">
        <v>5441</v>
      </c>
      <c r="J541" s="26" t="s">
        <v>6152</v>
      </c>
      <c r="K541" s="26" t="str">
        <f t="shared" si="1"/>
        <v>ARB/CCB</v>
      </c>
      <c r="L541" s="26" t="str">
        <f t="shared" si="2"/>
        <v>Telmisartan/amlodipine</v>
      </c>
      <c r="M541" s="26"/>
    </row>
    <row r="542" ht="17.25" customHeight="1">
      <c r="B542" s="25" t="s">
        <v>598</v>
      </c>
      <c r="C542" s="25" t="s">
        <v>5599</v>
      </c>
      <c r="D542" s="25" t="s">
        <v>1167</v>
      </c>
      <c r="E542" s="25" t="s">
        <v>6466</v>
      </c>
      <c r="F542" s="25" t="s">
        <v>1167</v>
      </c>
      <c r="G542" s="25">
        <v>2.199022575E7</v>
      </c>
      <c r="H542" s="25">
        <v>35651.97</v>
      </c>
      <c r="I542" s="26" t="s">
        <v>5441</v>
      </c>
      <c r="J542" s="26" t="s">
        <v>6152</v>
      </c>
      <c r="K542" s="26" t="str">
        <f t="shared" si="1"/>
        <v>ARB/CCB</v>
      </c>
      <c r="L542" s="26" t="str">
        <f t="shared" si="2"/>
        <v>Telmisartan/amlodipine</v>
      </c>
      <c r="M542" s="26"/>
    </row>
    <row r="543" ht="17.25" customHeight="1">
      <c r="B543" s="25" t="s">
        <v>598</v>
      </c>
      <c r="C543" s="25" t="s">
        <v>5599</v>
      </c>
      <c r="D543" s="25" t="s">
        <v>906</v>
      </c>
      <c r="E543" s="25" t="s">
        <v>6467</v>
      </c>
      <c r="F543" s="25" t="s">
        <v>906</v>
      </c>
      <c r="G543" s="25">
        <v>6.8443902897E8</v>
      </c>
      <c r="H543" s="25">
        <v>900353.8</v>
      </c>
      <c r="I543" s="26" t="s">
        <v>5441</v>
      </c>
      <c r="J543" s="26" t="s">
        <v>6152</v>
      </c>
      <c r="K543" s="26" t="str">
        <f t="shared" si="1"/>
        <v>ARB/CCB</v>
      </c>
      <c r="L543" s="26" t="str">
        <f t="shared" si="2"/>
        <v>Telmisartan/amlodipine</v>
      </c>
      <c r="M543" s="26"/>
    </row>
    <row r="544" ht="17.25" customHeight="1">
      <c r="B544" s="25" t="s">
        <v>598</v>
      </c>
      <c r="C544" s="25" t="s">
        <v>5599</v>
      </c>
      <c r="D544" s="25" t="s">
        <v>717</v>
      </c>
      <c r="E544" s="25" t="s">
        <v>6468</v>
      </c>
      <c r="F544" s="25" t="s">
        <v>717</v>
      </c>
      <c r="G544" s="25">
        <v>3.8840531154E8</v>
      </c>
      <c r="H544" s="25">
        <v>517722.82</v>
      </c>
      <c r="I544" s="26" t="s">
        <v>5441</v>
      </c>
      <c r="J544" s="26" t="s">
        <v>6152</v>
      </c>
      <c r="K544" s="26" t="str">
        <f t="shared" si="1"/>
        <v>ARB/CCB</v>
      </c>
      <c r="L544" s="26" t="str">
        <f t="shared" si="2"/>
        <v>Telmisartan/amlodipine</v>
      </c>
      <c r="M544" s="26"/>
    </row>
    <row r="545" ht="17.25" customHeight="1">
      <c r="B545" s="25" t="s">
        <v>598</v>
      </c>
      <c r="C545" s="25" t="s">
        <v>5599</v>
      </c>
      <c r="D545" s="25" t="s">
        <v>915</v>
      </c>
      <c r="E545" s="25" t="s">
        <v>6469</v>
      </c>
      <c r="F545" s="25" t="s">
        <v>915</v>
      </c>
      <c r="G545" s="25">
        <v>2.1148372526E8</v>
      </c>
      <c r="H545" s="25">
        <v>335749.08</v>
      </c>
      <c r="I545" s="26" t="s">
        <v>5441</v>
      </c>
      <c r="J545" s="26" t="s">
        <v>6152</v>
      </c>
      <c r="K545" s="26" t="str">
        <f t="shared" si="1"/>
        <v>ARB/CCB</v>
      </c>
      <c r="L545" s="26" t="str">
        <f t="shared" si="2"/>
        <v>Telmisartan/amlodipine</v>
      </c>
      <c r="M545" s="26"/>
    </row>
    <row r="546" ht="17.25" customHeight="1">
      <c r="B546" s="25" t="s">
        <v>598</v>
      </c>
      <c r="C546" s="25" t="s">
        <v>5599</v>
      </c>
      <c r="D546" s="25" t="s">
        <v>1445</v>
      </c>
      <c r="E546" s="25" t="s">
        <v>6470</v>
      </c>
      <c r="F546" s="25" t="s">
        <v>1445</v>
      </c>
      <c r="G546" s="25">
        <v>3.372116115E7</v>
      </c>
      <c r="H546" s="25">
        <v>47700.62</v>
      </c>
      <c r="I546" s="26" t="s">
        <v>5441</v>
      </c>
      <c r="J546" s="26" t="s">
        <v>6152</v>
      </c>
      <c r="K546" s="26" t="str">
        <f t="shared" si="1"/>
        <v>ARB/CCB</v>
      </c>
      <c r="L546" s="26" t="str">
        <f t="shared" si="2"/>
        <v>Telmisartan/amlodipine</v>
      </c>
      <c r="M546" s="26"/>
    </row>
    <row r="547" ht="17.25" customHeight="1">
      <c r="B547" s="25" t="s">
        <v>598</v>
      </c>
      <c r="C547" s="25" t="s">
        <v>5599</v>
      </c>
      <c r="D547" s="25" t="s">
        <v>921</v>
      </c>
      <c r="E547" s="25" t="s">
        <v>6471</v>
      </c>
      <c r="F547" s="25" t="s">
        <v>921</v>
      </c>
      <c r="G547" s="25">
        <v>1.4519315525E8</v>
      </c>
      <c r="H547" s="25">
        <v>229528.12</v>
      </c>
      <c r="I547" s="26" t="s">
        <v>5441</v>
      </c>
      <c r="J547" s="26" t="s">
        <v>6152</v>
      </c>
      <c r="K547" s="26" t="str">
        <f t="shared" si="1"/>
        <v>ARB/CCB</v>
      </c>
      <c r="L547" s="26" t="str">
        <f t="shared" si="2"/>
        <v>Telmisartan/amlodipine</v>
      </c>
      <c r="M547" s="26"/>
    </row>
    <row r="548" ht="17.25" customHeight="1">
      <c r="B548" s="25" t="s">
        <v>598</v>
      </c>
      <c r="C548" s="25" t="s">
        <v>5599</v>
      </c>
      <c r="D548" s="25" t="s">
        <v>923</v>
      </c>
      <c r="E548" s="25" t="s">
        <v>6472</v>
      </c>
      <c r="F548" s="25" t="s">
        <v>923</v>
      </c>
      <c r="G548" s="25">
        <v>1.4151017379E8</v>
      </c>
      <c r="H548" s="25">
        <v>208920.51</v>
      </c>
      <c r="I548" s="26" t="s">
        <v>5441</v>
      </c>
      <c r="J548" s="26" t="s">
        <v>6152</v>
      </c>
      <c r="K548" s="26" t="str">
        <f t="shared" si="1"/>
        <v>ARB/CCB</v>
      </c>
      <c r="L548" s="26" t="str">
        <f t="shared" si="2"/>
        <v>Telmisartan/amlodipine</v>
      </c>
      <c r="M548" s="26"/>
    </row>
    <row r="549" ht="17.25" customHeight="1">
      <c r="B549" s="25" t="s">
        <v>598</v>
      </c>
      <c r="C549" s="25" t="s">
        <v>5599</v>
      </c>
      <c r="D549" s="25" t="s">
        <v>925</v>
      </c>
      <c r="E549" s="25" t="s">
        <v>6473</v>
      </c>
      <c r="F549" s="25" t="s">
        <v>925</v>
      </c>
      <c r="G549" s="25">
        <v>1.091570772E7</v>
      </c>
      <c r="H549" s="25">
        <v>17747.16</v>
      </c>
      <c r="I549" s="26" t="s">
        <v>5441</v>
      </c>
      <c r="J549" s="26" t="s">
        <v>6152</v>
      </c>
      <c r="K549" s="26" t="str">
        <f t="shared" si="1"/>
        <v>ARB/CCB</v>
      </c>
      <c r="L549" s="26" t="str">
        <f t="shared" si="2"/>
        <v>Telmisartan/amlodipine</v>
      </c>
      <c r="M549" s="26"/>
    </row>
    <row r="550" ht="17.25" customHeight="1">
      <c r="B550" s="25" t="s">
        <v>598</v>
      </c>
      <c r="C550" s="25" t="s">
        <v>5599</v>
      </c>
      <c r="D550" s="25" t="s">
        <v>927</v>
      </c>
      <c r="E550" s="25" t="s">
        <v>6474</v>
      </c>
      <c r="F550" s="25" t="s">
        <v>927</v>
      </c>
      <c r="G550" s="25">
        <v>6.2719337E7</v>
      </c>
      <c r="H550" s="25">
        <v>96085.12</v>
      </c>
      <c r="I550" s="26" t="s">
        <v>5441</v>
      </c>
      <c r="J550" s="26" t="s">
        <v>6152</v>
      </c>
      <c r="K550" s="26" t="str">
        <f t="shared" si="1"/>
        <v>ARB/CCB</v>
      </c>
      <c r="L550" s="26" t="str">
        <f t="shared" si="2"/>
        <v>Telmisartan/amlodipine</v>
      </c>
      <c r="M550" s="26"/>
    </row>
    <row r="551" ht="17.25" customHeight="1">
      <c r="B551" s="25" t="s">
        <v>598</v>
      </c>
      <c r="C551" s="25" t="s">
        <v>5599</v>
      </c>
      <c r="D551" s="25" t="s">
        <v>929</v>
      </c>
      <c r="E551" s="25" t="s">
        <v>6475</v>
      </c>
      <c r="F551" s="25" t="s">
        <v>929</v>
      </c>
      <c r="G551" s="25">
        <v>8437833.0</v>
      </c>
      <c r="H551" s="25">
        <v>13776.93</v>
      </c>
      <c r="I551" s="26" t="s">
        <v>5441</v>
      </c>
      <c r="J551" s="26" t="s">
        <v>6152</v>
      </c>
      <c r="K551" s="26" t="str">
        <f t="shared" si="1"/>
        <v>ARB/CCB</v>
      </c>
      <c r="L551" s="26" t="str">
        <f t="shared" si="2"/>
        <v>Telmisartan/amlodipine</v>
      </c>
      <c r="M551" s="26"/>
    </row>
    <row r="552" ht="17.25" customHeight="1">
      <c r="B552" s="25" t="s">
        <v>598</v>
      </c>
      <c r="C552" s="25" t="s">
        <v>5599</v>
      </c>
      <c r="D552" s="25" t="s">
        <v>931</v>
      </c>
      <c r="E552" s="25" t="s">
        <v>6476</v>
      </c>
      <c r="F552" s="25" t="s">
        <v>931</v>
      </c>
      <c r="G552" s="25">
        <v>9.284700754E7</v>
      </c>
      <c r="H552" s="25">
        <v>147220.96</v>
      </c>
      <c r="I552" s="26" t="s">
        <v>5441</v>
      </c>
      <c r="J552" s="26" t="s">
        <v>6152</v>
      </c>
      <c r="K552" s="26" t="str">
        <f t="shared" si="1"/>
        <v>ARB/CCB</v>
      </c>
      <c r="L552" s="26" t="str">
        <f t="shared" si="2"/>
        <v>Telmisartan/amlodipine</v>
      </c>
      <c r="M552" s="26"/>
    </row>
    <row r="553" ht="17.25" customHeight="1">
      <c r="B553" s="25" t="s">
        <v>598</v>
      </c>
      <c r="C553" s="25" t="s">
        <v>5599</v>
      </c>
      <c r="D553" s="25" t="s">
        <v>933</v>
      </c>
      <c r="E553" s="25" t="s">
        <v>6477</v>
      </c>
      <c r="F553" s="25" t="s">
        <v>933</v>
      </c>
      <c r="G553" s="25">
        <v>2.7201217E7</v>
      </c>
      <c r="H553" s="25">
        <v>42850.97</v>
      </c>
      <c r="I553" s="26" t="s">
        <v>5441</v>
      </c>
      <c r="J553" s="26" t="s">
        <v>6152</v>
      </c>
      <c r="K553" s="26" t="str">
        <f t="shared" si="1"/>
        <v>ARB/CCB</v>
      </c>
      <c r="L553" s="26" t="str">
        <f t="shared" si="2"/>
        <v>Telmisartan/amlodipine</v>
      </c>
      <c r="M553" s="26"/>
    </row>
    <row r="554" ht="17.25" customHeight="1">
      <c r="B554" s="25" t="s">
        <v>598</v>
      </c>
      <c r="C554" s="25" t="s">
        <v>5599</v>
      </c>
      <c r="D554" s="25" t="s">
        <v>935</v>
      </c>
      <c r="E554" s="25" t="s">
        <v>6478</v>
      </c>
      <c r="F554" s="25" t="s">
        <v>935</v>
      </c>
      <c r="G554" s="25">
        <v>1.5162395303E8</v>
      </c>
      <c r="H554" s="25">
        <v>204683.72</v>
      </c>
      <c r="I554" s="26" t="s">
        <v>5441</v>
      </c>
      <c r="J554" s="26" t="s">
        <v>6152</v>
      </c>
      <c r="K554" s="26" t="str">
        <f t="shared" si="1"/>
        <v>ARB/CCB</v>
      </c>
      <c r="L554" s="26" t="str">
        <f t="shared" si="2"/>
        <v>Telmisartan/amlodipine</v>
      </c>
      <c r="M554" s="26"/>
    </row>
    <row r="555" ht="17.25" customHeight="1">
      <c r="B555" s="25" t="s">
        <v>598</v>
      </c>
      <c r="C555" s="25" t="s">
        <v>5599</v>
      </c>
      <c r="D555" s="25" t="s">
        <v>1188</v>
      </c>
      <c r="E555" s="25" t="s">
        <v>6479</v>
      </c>
      <c r="F555" s="25" t="s">
        <v>1188</v>
      </c>
      <c r="G555" s="25">
        <v>2.35591994E7</v>
      </c>
      <c r="H555" s="25">
        <v>36798.68</v>
      </c>
      <c r="I555" s="26" t="s">
        <v>5441</v>
      </c>
      <c r="J555" s="26" t="s">
        <v>6152</v>
      </c>
      <c r="K555" s="26" t="str">
        <f t="shared" si="1"/>
        <v>ARB/CCB</v>
      </c>
      <c r="L555" s="26" t="str">
        <f t="shared" si="2"/>
        <v>Telmisartan/amlodipine</v>
      </c>
      <c r="M555" s="26"/>
    </row>
    <row r="556" ht="17.25" customHeight="1">
      <c r="B556" s="25" t="s">
        <v>598</v>
      </c>
      <c r="C556" s="25" t="s">
        <v>5599</v>
      </c>
      <c r="D556" s="25" t="s">
        <v>736</v>
      </c>
      <c r="E556" s="25" t="s">
        <v>6480</v>
      </c>
      <c r="F556" s="25" t="s">
        <v>736</v>
      </c>
      <c r="G556" s="25">
        <v>5.084606474E7</v>
      </c>
      <c r="H556" s="25">
        <v>82635.88</v>
      </c>
      <c r="I556" s="26" t="s">
        <v>5441</v>
      </c>
      <c r="J556" s="26" t="s">
        <v>6152</v>
      </c>
      <c r="K556" s="26" t="str">
        <f t="shared" si="1"/>
        <v>ARB/CCB</v>
      </c>
      <c r="L556" s="26" t="str">
        <f t="shared" si="2"/>
        <v>Telmisartan/amlodipine</v>
      </c>
      <c r="M556" s="26"/>
    </row>
    <row r="557" ht="17.25" customHeight="1">
      <c r="B557" s="25" t="s">
        <v>598</v>
      </c>
      <c r="C557" s="25" t="s">
        <v>5599</v>
      </c>
      <c r="D557" s="25" t="s">
        <v>939</v>
      </c>
      <c r="E557" s="25" t="s">
        <v>6481</v>
      </c>
      <c r="F557" s="25" t="s">
        <v>939</v>
      </c>
      <c r="G557" s="25">
        <v>6865020.0</v>
      </c>
      <c r="H557" s="25">
        <v>11441.7</v>
      </c>
      <c r="I557" s="26" t="s">
        <v>5441</v>
      </c>
      <c r="J557" s="26" t="s">
        <v>6152</v>
      </c>
      <c r="K557" s="26" t="str">
        <f t="shared" si="1"/>
        <v>ARB/CCB</v>
      </c>
      <c r="L557" s="26" t="str">
        <f t="shared" si="2"/>
        <v>Telmisartan/amlodipine</v>
      </c>
      <c r="M557" s="26"/>
    </row>
    <row r="558" ht="17.25" customHeight="1">
      <c r="B558" s="25" t="s">
        <v>598</v>
      </c>
      <c r="C558" s="25" t="s">
        <v>5603</v>
      </c>
      <c r="D558" s="25" t="s">
        <v>739</v>
      </c>
      <c r="E558" s="25" t="s">
        <v>6482</v>
      </c>
      <c r="F558" s="25" t="s">
        <v>739</v>
      </c>
      <c r="G558" s="25">
        <v>1.60840731E7</v>
      </c>
      <c r="H558" s="25">
        <v>20220.7</v>
      </c>
      <c r="I558" s="26" t="s">
        <v>5441</v>
      </c>
      <c r="J558" s="26" t="s">
        <v>6152</v>
      </c>
      <c r="K558" s="26" t="str">
        <f t="shared" si="1"/>
        <v>ARB/CCB</v>
      </c>
      <c r="L558" s="26" t="str">
        <f t="shared" si="2"/>
        <v>Valsartan/amlodipine</v>
      </c>
      <c r="M558" s="26"/>
    </row>
    <row r="559" ht="17.25" customHeight="1">
      <c r="B559" s="25" t="s">
        <v>598</v>
      </c>
      <c r="C559" s="25" t="s">
        <v>5603</v>
      </c>
      <c r="D559" s="25" t="s">
        <v>695</v>
      </c>
      <c r="E559" s="25" t="s">
        <v>6483</v>
      </c>
      <c r="F559" s="25" t="s">
        <v>695</v>
      </c>
      <c r="G559" s="25">
        <v>8.6263108278E8</v>
      </c>
      <c r="H559" s="25">
        <v>956401.96</v>
      </c>
      <c r="I559" s="26" t="s">
        <v>5441</v>
      </c>
      <c r="J559" s="26" t="s">
        <v>6152</v>
      </c>
      <c r="K559" s="26" t="str">
        <f t="shared" si="1"/>
        <v>ARB/CCB</v>
      </c>
      <c r="L559" s="26" t="str">
        <f t="shared" si="2"/>
        <v>Valsartan/amlodipine</v>
      </c>
      <c r="M559" s="26"/>
    </row>
    <row r="560" ht="17.25" customHeight="1">
      <c r="B560" s="25" t="s">
        <v>598</v>
      </c>
      <c r="C560" s="25" t="s">
        <v>5603</v>
      </c>
      <c r="D560" s="25" t="s">
        <v>742</v>
      </c>
      <c r="E560" s="25" t="s">
        <v>6484</v>
      </c>
      <c r="F560" s="25" t="s">
        <v>742</v>
      </c>
      <c r="G560" s="25">
        <v>2.1091907239E8</v>
      </c>
      <c r="H560" s="25">
        <v>234358.27</v>
      </c>
      <c r="I560" s="26" t="s">
        <v>5441</v>
      </c>
      <c r="J560" s="26" t="s">
        <v>6152</v>
      </c>
      <c r="K560" s="26" t="str">
        <f t="shared" si="1"/>
        <v>ARB/CCB</v>
      </c>
      <c r="L560" s="26" t="str">
        <f t="shared" si="2"/>
        <v>Valsartan/amlodipine</v>
      </c>
      <c r="M560" s="26"/>
    </row>
    <row r="561" ht="17.25" customHeight="1">
      <c r="B561" s="25" t="s">
        <v>598</v>
      </c>
      <c r="C561" s="25" t="s">
        <v>5603</v>
      </c>
      <c r="D561" s="25" t="s">
        <v>746</v>
      </c>
      <c r="E561" s="25" t="s">
        <v>6485</v>
      </c>
      <c r="F561" s="25" t="s">
        <v>746</v>
      </c>
      <c r="G561" s="25">
        <v>1.288711235E8</v>
      </c>
      <c r="H561" s="25">
        <v>164656.27</v>
      </c>
      <c r="I561" s="26" t="s">
        <v>5441</v>
      </c>
      <c r="J561" s="26" t="s">
        <v>6152</v>
      </c>
      <c r="K561" s="26" t="str">
        <f t="shared" si="1"/>
        <v>ARB/CCB</v>
      </c>
      <c r="L561" s="26" t="str">
        <f t="shared" si="2"/>
        <v>Valsartan/amlodipine</v>
      </c>
      <c r="M561" s="26"/>
    </row>
    <row r="562" ht="17.25" customHeight="1">
      <c r="B562" s="25" t="s">
        <v>598</v>
      </c>
      <c r="C562" s="25" t="s">
        <v>5603</v>
      </c>
      <c r="D562" s="25" t="s">
        <v>705</v>
      </c>
      <c r="E562" s="25" t="s">
        <v>6486</v>
      </c>
      <c r="F562" s="25" t="s">
        <v>705</v>
      </c>
      <c r="G562" s="25">
        <v>4.632575583E7</v>
      </c>
      <c r="H562" s="25">
        <v>53943.24</v>
      </c>
      <c r="I562" s="26" t="s">
        <v>5441</v>
      </c>
      <c r="J562" s="26" t="s">
        <v>6152</v>
      </c>
      <c r="K562" s="26" t="str">
        <f t="shared" si="1"/>
        <v>ARB/CCB</v>
      </c>
      <c r="L562" s="26" t="str">
        <f t="shared" si="2"/>
        <v>Valsartan/amlodipine</v>
      </c>
      <c r="M562" s="26"/>
    </row>
    <row r="563" ht="17.25" customHeight="1">
      <c r="B563" s="25" t="s">
        <v>598</v>
      </c>
      <c r="C563" s="25" t="s">
        <v>5603</v>
      </c>
      <c r="D563" s="25" t="s">
        <v>749</v>
      </c>
      <c r="E563" s="25" t="s">
        <v>6487</v>
      </c>
      <c r="F563" s="25" t="s">
        <v>749</v>
      </c>
      <c r="G563" s="25">
        <v>6.2720900538E8</v>
      </c>
      <c r="H563" s="25">
        <v>708934.79</v>
      </c>
      <c r="I563" s="26" t="s">
        <v>5441</v>
      </c>
      <c r="J563" s="26" t="s">
        <v>6152</v>
      </c>
      <c r="K563" s="26" t="str">
        <f t="shared" si="1"/>
        <v>ARB/CCB</v>
      </c>
      <c r="L563" s="26" t="str">
        <f t="shared" si="2"/>
        <v>Valsartan/amlodipine</v>
      </c>
      <c r="M563" s="26"/>
    </row>
    <row r="564" ht="17.25" customHeight="1">
      <c r="B564" s="25" t="s">
        <v>598</v>
      </c>
      <c r="C564" s="25" t="s">
        <v>5603</v>
      </c>
      <c r="D564" s="25" t="s">
        <v>751</v>
      </c>
      <c r="E564" s="25" t="s">
        <v>6488</v>
      </c>
      <c r="F564" s="25" t="s">
        <v>751</v>
      </c>
      <c r="G564" s="25">
        <v>1.07028747E7</v>
      </c>
      <c r="H564" s="25">
        <v>11613.3</v>
      </c>
      <c r="I564" s="26" t="s">
        <v>5441</v>
      </c>
      <c r="J564" s="26" t="s">
        <v>6152</v>
      </c>
      <c r="K564" s="26" t="str">
        <f t="shared" si="1"/>
        <v>ARB/CCB</v>
      </c>
      <c r="L564" s="26" t="str">
        <f t="shared" si="2"/>
        <v>Valsartan/amlodipine</v>
      </c>
      <c r="M564" s="26"/>
    </row>
    <row r="565" ht="17.25" customHeight="1">
      <c r="B565" s="25" t="s">
        <v>598</v>
      </c>
      <c r="C565" s="25" t="s">
        <v>5603</v>
      </c>
      <c r="D565" s="25" t="s">
        <v>6073</v>
      </c>
      <c r="E565" s="25" t="s">
        <v>6489</v>
      </c>
      <c r="F565" s="25" t="s">
        <v>6073</v>
      </c>
      <c r="G565" s="25">
        <v>6.53947814808E9</v>
      </c>
      <c r="H565" s="25">
        <v>7257498.23</v>
      </c>
      <c r="I565" s="26" t="s">
        <v>5441</v>
      </c>
      <c r="J565" s="26" t="s">
        <v>6152</v>
      </c>
      <c r="K565" s="26" t="str">
        <f t="shared" si="1"/>
        <v>ARB/CCB</v>
      </c>
      <c r="L565" s="26" t="str">
        <f t="shared" si="2"/>
        <v>Valsartan/amlodipine</v>
      </c>
      <c r="M565" s="26"/>
    </row>
    <row r="566" ht="17.25" customHeight="1">
      <c r="B566" s="25" t="s">
        <v>598</v>
      </c>
      <c r="C566" s="25" t="s">
        <v>5603</v>
      </c>
      <c r="D566" s="25" t="s">
        <v>757</v>
      </c>
      <c r="E566" s="25" t="s">
        <v>6490</v>
      </c>
      <c r="F566" s="25" t="s">
        <v>757</v>
      </c>
      <c r="G566" s="25">
        <v>4.3731530078E8</v>
      </c>
      <c r="H566" s="25">
        <v>495416.22</v>
      </c>
      <c r="I566" s="26" t="s">
        <v>5441</v>
      </c>
      <c r="J566" s="26" t="s">
        <v>6152</v>
      </c>
      <c r="K566" s="26" t="str">
        <f t="shared" si="1"/>
        <v>ARB/CCB</v>
      </c>
      <c r="L566" s="26" t="str">
        <f t="shared" si="2"/>
        <v>Valsartan/amlodipine</v>
      </c>
      <c r="M566" s="26"/>
    </row>
    <row r="567" ht="17.25" customHeight="1">
      <c r="B567" s="25" t="s">
        <v>598</v>
      </c>
      <c r="C567" s="25" t="s">
        <v>5603</v>
      </c>
      <c r="D567" s="25" t="s">
        <v>761</v>
      </c>
      <c r="E567" s="25" t="s">
        <v>6491</v>
      </c>
      <c r="F567" s="25" t="s">
        <v>761</v>
      </c>
      <c r="G567" s="25">
        <v>7.3012568095E8</v>
      </c>
      <c r="H567" s="25">
        <v>839672.33</v>
      </c>
      <c r="I567" s="26" t="s">
        <v>5441</v>
      </c>
      <c r="J567" s="26" t="s">
        <v>6152</v>
      </c>
      <c r="K567" s="26" t="str">
        <f t="shared" si="1"/>
        <v>ARB/CCB</v>
      </c>
      <c r="L567" s="26" t="str">
        <f t="shared" si="2"/>
        <v>Valsartan/amlodipine</v>
      </c>
      <c r="M567" s="26"/>
    </row>
    <row r="568" ht="17.25" customHeight="1">
      <c r="B568" s="25" t="s">
        <v>598</v>
      </c>
      <c r="C568" s="25" t="s">
        <v>5603</v>
      </c>
      <c r="D568" s="25" t="s">
        <v>765</v>
      </c>
      <c r="E568" s="25" t="s">
        <v>6492</v>
      </c>
      <c r="F568" s="25" t="s">
        <v>765</v>
      </c>
      <c r="G568" s="25">
        <v>9.995301904E7</v>
      </c>
      <c r="H568" s="25">
        <v>129241.68</v>
      </c>
      <c r="I568" s="26" t="s">
        <v>5441</v>
      </c>
      <c r="J568" s="26" t="s">
        <v>6152</v>
      </c>
      <c r="K568" s="26" t="str">
        <f t="shared" si="1"/>
        <v>ARB/CCB</v>
      </c>
      <c r="L568" s="26" t="str">
        <f t="shared" si="2"/>
        <v>Valsartan/amlodipine</v>
      </c>
      <c r="M568" s="26"/>
    </row>
    <row r="569" ht="17.25" customHeight="1">
      <c r="B569" s="25" t="s">
        <v>598</v>
      </c>
      <c r="C569" s="25" t="s">
        <v>5603</v>
      </c>
      <c r="D569" s="25" t="s">
        <v>768</v>
      </c>
      <c r="E569" s="25" t="s">
        <v>6493</v>
      </c>
      <c r="F569" s="25" t="s">
        <v>768</v>
      </c>
      <c r="G569" s="25">
        <v>1.1437596243E8</v>
      </c>
      <c r="H569" s="25">
        <v>129656.19</v>
      </c>
      <c r="I569" s="26" t="s">
        <v>5441</v>
      </c>
      <c r="J569" s="26" t="s">
        <v>6152</v>
      </c>
      <c r="K569" s="26" t="str">
        <f t="shared" si="1"/>
        <v>ARB/CCB</v>
      </c>
      <c r="L569" s="26" t="str">
        <f t="shared" si="2"/>
        <v>Valsartan/amlodipine</v>
      </c>
      <c r="M569" s="26"/>
    </row>
    <row r="570" ht="17.25" customHeight="1">
      <c r="B570" s="25" t="s">
        <v>598</v>
      </c>
      <c r="C570" s="25" t="s">
        <v>5603</v>
      </c>
      <c r="D570" s="25" t="s">
        <v>770</v>
      </c>
      <c r="E570" s="25" t="s">
        <v>6494</v>
      </c>
      <c r="F570" s="25" t="s">
        <v>770</v>
      </c>
      <c r="G570" s="25">
        <v>1.6287626115E8</v>
      </c>
      <c r="H570" s="25">
        <v>174434.96</v>
      </c>
      <c r="I570" s="26" t="s">
        <v>5441</v>
      </c>
      <c r="J570" s="26" t="s">
        <v>6152</v>
      </c>
      <c r="K570" s="26" t="str">
        <f t="shared" si="1"/>
        <v>ARB/CCB</v>
      </c>
      <c r="L570" s="26" t="str">
        <f t="shared" si="2"/>
        <v>Valsartan/amlodipine</v>
      </c>
      <c r="M570" s="26"/>
    </row>
    <row r="571" ht="17.25" customHeight="1">
      <c r="B571" s="25" t="s">
        <v>598</v>
      </c>
      <c r="C571" s="25" t="s">
        <v>5603</v>
      </c>
      <c r="D571" s="25" t="s">
        <v>772</v>
      </c>
      <c r="E571" s="25" t="s">
        <v>6495</v>
      </c>
      <c r="F571" s="25" t="s">
        <v>772</v>
      </c>
      <c r="G571" s="25">
        <v>2.270409879E7</v>
      </c>
      <c r="H571" s="25">
        <v>30979.15</v>
      </c>
      <c r="I571" s="26" t="s">
        <v>5441</v>
      </c>
      <c r="J571" s="26" t="s">
        <v>6152</v>
      </c>
      <c r="K571" s="26" t="str">
        <f t="shared" si="1"/>
        <v>ARB/CCB</v>
      </c>
      <c r="L571" s="26" t="str">
        <f t="shared" si="2"/>
        <v>Valsartan/amlodipine</v>
      </c>
      <c r="M571" s="26"/>
    </row>
    <row r="572" ht="17.25" customHeight="1">
      <c r="B572" s="25" t="s">
        <v>598</v>
      </c>
      <c r="C572" s="25" t="s">
        <v>5603</v>
      </c>
      <c r="D572" s="25" t="s">
        <v>726</v>
      </c>
      <c r="E572" s="25" t="s">
        <v>6496</v>
      </c>
      <c r="F572" s="25" t="s">
        <v>726</v>
      </c>
      <c r="G572" s="25">
        <v>2.6187511767E8</v>
      </c>
      <c r="H572" s="25">
        <v>288837.35</v>
      </c>
      <c r="I572" s="26" t="s">
        <v>5441</v>
      </c>
      <c r="J572" s="26" t="s">
        <v>6152</v>
      </c>
      <c r="K572" s="26" t="str">
        <f t="shared" si="1"/>
        <v>ARB/CCB</v>
      </c>
      <c r="L572" s="26" t="str">
        <f t="shared" si="2"/>
        <v>Valsartan/amlodipine</v>
      </c>
      <c r="M572" s="26"/>
    </row>
    <row r="573" ht="17.25" customHeight="1">
      <c r="B573" s="25" t="s">
        <v>598</v>
      </c>
      <c r="C573" s="25" t="s">
        <v>5603</v>
      </c>
      <c r="D573" s="25" t="s">
        <v>774</v>
      </c>
      <c r="E573" s="25" t="s">
        <v>6497</v>
      </c>
      <c r="F573" s="25" t="s">
        <v>774</v>
      </c>
      <c r="G573" s="25">
        <v>3.6623347867E8</v>
      </c>
      <c r="H573" s="25">
        <v>400461.71</v>
      </c>
      <c r="I573" s="26" t="s">
        <v>5441</v>
      </c>
      <c r="J573" s="26" t="s">
        <v>6152</v>
      </c>
      <c r="K573" s="26" t="str">
        <f t="shared" si="1"/>
        <v>ARB/CCB</v>
      </c>
      <c r="L573" s="26" t="str">
        <f t="shared" si="2"/>
        <v>Valsartan/amlodipine</v>
      </c>
      <c r="M573" s="26"/>
    </row>
    <row r="574" ht="17.25" customHeight="1">
      <c r="B574" s="25" t="s">
        <v>598</v>
      </c>
      <c r="C574" s="25" t="s">
        <v>5603</v>
      </c>
      <c r="D574" s="25" t="s">
        <v>776</v>
      </c>
      <c r="E574" s="25" t="s">
        <v>6498</v>
      </c>
      <c r="F574" s="25" t="s">
        <v>776</v>
      </c>
      <c r="G574" s="25">
        <v>9.333742172E7</v>
      </c>
      <c r="H574" s="25">
        <v>119904.21</v>
      </c>
      <c r="I574" s="26" t="s">
        <v>5441</v>
      </c>
      <c r="J574" s="26" t="s">
        <v>6152</v>
      </c>
      <c r="K574" s="26" t="str">
        <f t="shared" si="1"/>
        <v>ARB/CCB</v>
      </c>
      <c r="L574" s="26" t="str">
        <f t="shared" si="2"/>
        <v>Valsartan/amlodipine</v>
      </c>
      <c r="M574" s="26"/>
    </row>
    <row r="575" ht="17.25" customHeight="1">
      <c r="B575" s="25" t="s">
        <v>598</v>
      </c>
      <c r="C575" s="25" t="s">
        <v>5603</v>
      </c>
      <c r="D575" s="25" t="s">
        <v>779</v>
      </c>
      <c r="E575" s="25" t="s">
        <v>6499</v>
      </c>
      <c r="F575" s="25" t="s">
        <v>779</v>
      </c>
      <c r="G575" s="25">
        <v>8.581830035E7</v>
      </c>
      <c r="H575" s="25">
        <v>112389.88</v>
      </c>
      <c r="I575" s="26" t="s">
        <v>5441</v>
      </c>
      <c r="J575" s="26" t="s">
        <v>6152</v>
      </c>
      <c r="K575" s="26" t="str">
        <f t="shared" si="1"/>
        <v>ARB/CCB</v>
      </c>
      <c r="L575" s="26" t="str">
        <f t="shared" si="2"/>
        <v>Valsartan/amlodipine</v>
      </c>
      <c r="M575" s="26"/>
    </row>
    <row r="576" ht="17.25" customHeight="1">
      <c r="B576" s="25" t="s">
        <v>598</v>
      </c>
      <c r="C576" s="25" t="s">
        <v>5603</v>
      </c>
      <c r="D576" s="25" t="s">
        <v>783</v>
      </c>
      <c r="E576" s="25" t="s">
        <v>6500</v>
      </c>
      <c r="F576" s="25" t="s">
        <v>783</v>
      </c>
      <c r="G576" s="25">
        <v>2.091671625E8</v>
      </c>
      <c r="H576" s="25">
        <v>234180.16</v>
      </c>
      <c r="I576" s="26" t="s">
        <v>5441</v>
      </c>
      <c r="J576" s="26" t="s">
        <v>6152</v>
      </c>
      <c r="K576" s="26" t="str">
        <f t="shared" si="1"/>
        <v>ARB/CCB</v>
      </c>
      <c r="L576" s="26" t="str">
        <f t="shared" si="2"/>
        <v>Valsartan/amlodipine</v>
      </c>
      <c r="M576" s="26"/>
    </row>
    <row r="577" ht="17.25" customHeight="1">
      <c r="B577" s="25" t="s">
        <v>598</v>
      </c>
      <c r="C577" s="25" t="s">
        <v>5603</v>
      </c>
      <c r="D577" s="25" t="s">
        <v>708</v>
      </c>
      <c r="E577" s="25" t="s">
        <v>6501</v>
      </c>
      <c r="F577" s="25" t="s">
        <v>708</v>
      </c>
      <c r="G577" s="25">
        <v>6.210061804E7</v>
      </c>
      <c r="H577" s="25">
        <v>68345.32</v>
      </c>
      <c r="I577" s="26" t="s">
        <v>5441</v>
      </c>
      <c r="J577" s="26" t="s">
        <v>6152</v>
      </c>
      <c r="K577" s="26" t="str">
        <f t="shared" si="1"/>
        <v>ARB/CCB</v>
      </c>
      <c r="L577" s="26" t="str">
        <f t="shared" si="2"/>
        <v>Valsartan/amlodipine</v>
      </c>
      <c r="M577" s="26"/>
    </row>
    <row r="578" ht="17.25" customHeight="1">
      <c r="B578" s="25" t="s">
        <v>598</v>
      </c>
      <c r="C578" s="25" t="s">
        <v>5603</v>
      </c>
      <c r="D578" s="25" t="s">
        <v>790</v>
      </c>
      <c r="E578" s="25" t="s">
        <v>6502</v>
      </c>
      <c r="F578" s="25" t="s">
        <v>790</v>
      </c>
      <c r="G578" s="25">
        <v>2.0464602391E8</v>
      </c>
      <c r="H578" s="25">
        <v>268136.47</v>
      </c>
      <c r="I578" s="26" t="s">
        <v>5441</v>
      </c>
      <c r="J578" s="26" t="s">
        <v>6152</v>
      </c>
      <c r="K578" s="26" t="str">
        <f t="shared" si="1"/>
        <v>ARB/CCB</v>
      </c>
      <c r="L578" s="26" t="str">
        <f t="shared" si="2"/>
        <v>Valsartan/amlodipine</v>
      </c>
      <c r="M578" s="26"/>
    </row>
    <row r="579" ht="17.25" customHeight="1">
      <c r="B579" s="25" t="s">
        <v>598</v>
      </c>
      <c r="C579" s="25" t="s">
        <v>5603</v>
      </c>
      <c r="D579" s="25" t="s">
        <v>1116</v>
      </c>
      <c r="E579" s="25" t="s">
        <v>6503</v>
      </c>
      <c r="F579" s="25" t="s">
        <v>1116</v>
      </c>
      <c r="G579" s="25">
        <v>2508863.0</v>
      </c>
      <c r="H579" s="25">
        <v>3116.6</v>
      </c>
      <c r="I579" s="26" t="s">
        <v>5441</v>
      </c>
      <c r="J579" s="26" t="s">
        <v>6152</v>
      </c>
      <c r="K579" s="26" t="str">
        <f t="shared" si="1"/>
        <v>ARB/CCB</v>
      </c>
      <c r="L579" s="26" t="str">
        <f t="shared" si="2"/>
        <v>Valsartan/amlodipine</v>
      </c>
      <c r="M579" s="26"/>
    </row>
    <row r="580" ht="17.25" customHeight="1">
      <c r="B580" s="25" t="s">
        <v>598</v>
      </c>
      <c r="C580" s="25" t="s">
        <v>5603</v>
      </c>
      <c r="D580" s="25" t="s">
        <v>796</v>
      </c>
      <c r="E580" s="25" t="s">
        <v>6504</v>
      </c>
      <c r="F580" s="25" t="s">
        <v>796</v>
      </c>
      <c r="G580" s="25">
        <v>3.1585051723E8</v>
      </c>
      <c r="H580" s="25">
        <v>348442.29</v>
      </c>
      <c r="I580" s="26" t="s">
        <v>5441</v>
      </c>
      <c r="J580" s="26" t="s">
        <v>6152</v>
      </c>
      <c r="K580" s="26" t="str">
        <f t="shared" si="1"/>
        <v>ARB/CCB</v>
      </c>
      <c r="L580" s="26" t="str">
        <f t="shared" si="2"/>
        <v>Valsartan/amlodipine</v>
      </c>
      <c r="M580" s="26"/>
    </row>
    <row r="581" ht="17.25" customHeight="1">
      <c r="B581" s="25" t="s">
        <v>598</v>
      </c>
      <c r="C581" s="25" t="s">
        <v>5603</v>
      </c>
      <c r="D581" s="25" t="s">
        <v>800</v>
      </c>
      <c r="E581" s="25" t="s">
        <v>6505</v>
      </c>
      <c r="F581" s="25" t="s">
        <v>800</v>
      </c>
      <c r="G581" s="25">
        <v>2.6859949141E8</v>
      </c>
      <c r="H581" s="25">
        <v>293277.29</v>
      </c>
      <c r="I581" s="26" t="s">
        <v>5441</v>
      </c>
      <c r="J581" s="26" t="s">
        <v>6152</v>
      </c>
      <c r="K581" s="26" t="str">
        <f t="shared" si="1"/>
        <v>ARB/CCB</v>
      </c>
      <c r="L581" s="26" t="str">
        <f t="shared" si="2"/>
        <v>Valsartan/amlodipine</v>
      </c>
      <c r="M581" s="26"/>
    </row>
    <row r="582" ht="17.25" customHeight="1">
      <c r="B582" s="25" t="s">
        <v>598</v>
      </c>
      <c r="C582" s="25" t="s">
        <v>5603</v>
      </c>
      <c r="D582" s="25" t="s">
        <v>953</v>
      </c>
      <c r="E582" s="25" t="s">
        <v>6506</v>
      </c>
      <c r="F582" s="25" t="s">
        <v>953</v>
      </c>
      <c r="G582" s="25">
        <v>1.5092742297E8</v>
      </c>
      <c r="H582" s="25">
        <v>170889.1</v>
      </c>
      <c r="I582" s="26" t="s">
        <v>5441</v>
      </c>
      <c r="J582" s="26" t="s">
        <v>6152</v>
      </c>
      <c r="K582" s="26" t="str">
        <f t="shared" si="1"/>
        <v>ARB/CCB</v>
      </c>
      <c r="L582" s="26" t="str">
        <f t="shared" si="2"/>
        <v>Valsartan/amlodipine</v>
      </c>
      <c r="M582" s="26"/>
    </row>
    <row r="583" ht="17.25" customHeight="1">
      <c r="B583" s="25" t="s">
        <v>598</v>
      </c>
      <c r="C583" s="25" t="s">
        <v>5603</v>
      </c>
      <c r="D583" s="25" t="s">
        <v>1024</v>
      </c>
      <c r="E583" s="25" t="s">
        <v>6507</v>
      </c>
      <c r="F583" s="25" t="s">
        <v>1024</v>
      </c>
      <c r="G583" s="25">
        <v>679212.0</v>
      </c>
      <c r="H583" s="25">
        <v>993.0</v>
      </c>
      <c r="I583" s="26" t="s">
        <v>5441</v>
      </c>
      <c r="J583" s="26" t="s">
        <v>6152</v>
      </c>
      <c r="K583" s="26" t="str">
        <f t="shared" si="1"/>
        <v>ARB/CCB</v>
      </c>
      <c r="L583" s="26" t="str">
        <f t="shared" si="2"/>
        <v>Valsartan/amlodipine</v>
      </c>
      <c r="M583" s="26"/>
    </row>
    <row r="584" ht="17.25" customHeight="1">
      <c r="B584" s="25" t="s">
        <v>598</v>
      </c>
      <c r="C584" s="25" t="s">
        <v>5603</v>
      </c>
      <c r="D584" s="25" t="s">
        <v>806</v>
      </c>
      <c r="E584" s="25" t="s">
        <v>6508</v>
      </c>
      <c r="F584" s="25" t="s">
        <v>806</v>
      </c>
      <c r="G584" s="25">
        <v>2.16466764E7</v>
      </c>
      <c r="H584" s="25">
        <v>29947.44</v>
      </c>
      <c r="I584" s="26" t="s">
        <v>5441</v>
      </c>
      <c r="J584" s="26" t="s">
        <v>6152</v>
      </c>
      <c r="K584" s="26" t="str">
        <f t="shared" si="1"/>
        <v>ARB/CCB</v>
      </c>
      <c r="L584" s="26" t="str">
        <f t="shared" si="2"/>
        <v>Valsartan/amlodipine</v>
      </c>
      <c r="M584" s="26"/>
    </row>
    <row r="585" ht="17.25" customHeight="1">
      <c r="B585" s="25" t="s">
        <v>598</v>
      </c>
      <c r="C585" s="25" t="s">
        <v>5603</v>
      </c>
      <c r="D585" s="25" t="s">
        <v>810</v>
      </c>
      <c r="E585" s="25" t="s">
        <v>6509</v>
      </c>
      <c r="F585" s="25" t="s">
        <v>810</v>
      </c>
      <c r="G585" s="25">
        <v>6.2464250617E8</v>
      </c>
      <c r="H585" s="25">
        <v>820480.7</v>
      </c>
      <c r="I585" s="26" t="s">
        <v>5441</v>
      </c>
      <c r="J585" s="26" t="s">
        <v>6152</v>
      </c>
      <c r="K585" s="26" t="str">
        <f t="shared" si="1"/>
        <v>ARB/CCB</v>
      </c>
      <c r="L585" s="26" t="str">
        <f t="shared" si="2"/>
        <v>Valsartan/amlodipine</v>
      </c>
      <c r="M585" s="26"/>
    </row>
    <row r="586" ht="17.25" customHeight="1">
      <c r="B586" s="25" t="s">
        <v>598</v>
      </c>
      <c r="C586" s="25" t="s">
        <v>5603</v>
      </c>
      <c r="D586" s="25" t="s">
        <v>1028</v>
      </c>
      <c r="E586" s="25" t="s">
        <v>6510</v>
      </c>
      <c r="F586" s="25" t="s">
        <v>1028</v>
      </c>
      <c r="G586" s="25">
        <v>2.373205128E7</v>
      </c>
      <c r="H586" s="25">
        <v>34130.86</v>
      </c>
      <c r="I586" s="26" t="s">
        <v>5441</v>
      </c>
      <c r="J586" s="26" t="s">
        <v>6152</v>
      </c>
      <c r="K586" s="26" t="str">
        <f t="shared" si="1"/>
        <v>ARB/CCB</v>
      </c>
      <c r="L586" s="26" t="str">
        <f t="shared" si="2"/>
        <v>Valsartan/amlodipine</v>
      </c>
      <c r="M586" s="26"/>
    </row>
    <row r="587" ht="17.25" customHeight="1">
      <c r="B587" s="25" t="s">
        <v>598</v>
      </c>
      <c r="C587" s="25" t="s">
        <v>5603</v>
      </c>
      <c r="D587" s="25" t="s">
        <v>812</v>
      </c>
      <c r="E587" s="25" t="s">
        <v>6511</v>
      </c>
      <c r="F587" s="25" t="s">
        <v>812</v>
      </c>
      <c r="G587" s="25">
        <v>5077113.12</v>
      </c>
      <c r="H587" s="25">
        <v>7422.68</v>
      </c>
      <c r="I587" s="26" t="s">
        <v>5441</v>
      </c>
      <c r="J587" s="26" t="s">
        <v>6152</v>
      </c>
      <c r="K587" s="26" t="str">
        <f t="shared" si="1"/>
        <v>ARB/CCB</v>
      </c>
      <c r="L587" s="26" t="str">
        <f t="shared" si="2"/>
        <v>Valsartan/amlodipine</v>
      </c>
      <c r="M587" s="26"/>
    </row>
    <row r="588" ht="17.25" customHeight="1">
      <c r="B588" s="25" t="s">
        <v>598</v>
      </c>
      <c r="C588" s="25" t="s">
        <v>5603</v>
      </c>
      <c r="D588" s="25" t="s">
        <v>814</v>
      </c>
      <c r="E588" s="25" t="s">
        <v>6512</v>
      </c>
      <c r="F588" s="25" t="s">
        <v>814</v>
      </c>
      <c r="G588" s="25">
        <v>1.5042379737E8</v>
      </c>
      <c r="H588" s="25">
        <v>163195.79</v>
      </c>
      <c r="I588" s="26" t="s">
        <v>5441</v>
      </c>
      <c r="J588" s="26" t="s">
        <v>6152</v>
      </c>
      <c r="K588" s="26" t="str">
        <f t="shared" si="1"/>
        <v>ARB/CCB</v>
      </c>
      <c r="L588" s="26" t="str">
        <f t="shared" si="2"/>
        <v>Valsartan/amlodipine</v>
      </c>
      <c r="M588" s="26"/>
    </row>
    <row r="589" ht="17.25" customHeight="1">
      <c r="B589" s="25" t="s">
        <v>598</v>
      </c>
      <c r="C589" s="25" t="s">
        <v>5603</v>
      </c>
      <c r="D589" s="25" t="s">
        <v>816</v>
      </c>
      <c r="E589" s="25" t="s">
        <v>6513</v>
      </c>
      <c r="F589" s="25" t="s">
        <v>816</v>
      </c>
      <c r="G589" s="25">
        <v>1.5283488901E8</v>
      </c>
      <c r="H589" s="25">
        <v>163140.83</v>
      </c>
      <c r="I589" s="26" t="s">
        <v>5441</v>
      </c>
      <c r="J589" s="26" t="s">
        <v>6152</v>
      </c>
      <c r="K589" s="26" t="str">
        <f t="shared" si="1"/>
        <v>ARB/CCB</v>
      </c>
      <c r="L589" s="26" t="str">
        <f t="shared" si="2"/>
        <v>Valsartan/amlodipine</v>
      </c>
      <c r="M589" s="26"/>
    </row>
    <row r="590" ht="17.25" customHeight="1">
      <c r="B590" s="25" t="s">
        <v>598</v>
      </c>
      <c r="C590" s="25" t="s">
        <v>5603</v>
      </c>
      <c r="D590" s="25" t="s">
        <v>824</v>
      </c>
      <c r="E590" s="25" t="s">
        <v>6514</v>
      </c>
      <c r="F590" s="25" t="s">
        <v>824</v>
      </c>
      <c r="G590" s="25">
        <v>2.91686448E7</v>
      </c>
      <c r="H590" s="25">
        <v>39044.7</v>
      </c>
      <c r="I590" s="26" t="s">
        <v>5441</v>
      </c>
      <c r="J590" s="26" t="s">
        <v>6152</v>
      </c>
      <c r="K590" s="26" t="str">
        <f t="shared" si="1"/>
        <v>ARB/CCB</v>
      </c>
      <c r="L590" s="26" t="str">
        <f t="shared" si="2"/>
        <v>Valsartan/amlodipine</v>
      </c>
      <c r="M590" s="26"/>
    </row>
    <row r="591" ht="17.25" customHeight="1">
      <c r="B591" s="25" t="s">
        <v>598</v>
      </c>
      <c r="C591" s="25" t="s">
        <v>5603</v>
      </c>
      <c r="D591" s="25" t="s">
        <v>826</v>
      </c>
      <c r="E591" s="25" t="s">
        <v>6515</v>
      </c>
      <c r="F591" s="25" t="s">
        <v>826</v>
      </c>
      <c r="G591" s="25">
        <v>1.2506445274E8</v>
      </c>
      <c r="H591" s="25">
        <v>161412.13</v>
      </c>
      <c r="I591" s="26" t="s">
        <v>5441</v>
      </c>
      <c r="J591" s="26" t="s">
        <v>6152</v>
      </c>
      <c r="K591" s="26" t="str">
        <f t="shared" si="1"/>
        <v>ARB/CCB</v>
      </c>
      <c r="L591" s="26" t="str">
        <f t="shared" si="2"/>
        <v>Valsartan/amlodipine</v>
      </c>
      <c r="M591" s="26"/>
    </row>
    <row r="592" ht="17.25" customHeight="1">
      <c r="B592" s="25" t="s">
        <v>598</v>
      </c>
      <c r="C592" s="25" t="s">
        <v>5603</v>
      </c>
      <c r="D592" s="25" t="s">
        <v>834</v>
      </c>
      <c r="E592" s="25" t="s">
        <v>6516</v>
      </c>
      <c r="F592" s="25" t="s">
        <v>834</v>
      </c>
      <c r="G592" s="25">
        <v>1.7465330813E8</v>
      </c>
      <c r="H592" s="25">
        <v>210681.04</v>
      </c>
      <c r="I592" s="26" t="s">
        <v>5441</v>
      </c>
      <c r="J592" s="26" t="s">
        <v>6152</v>
      </c>
      <c r="K592" s="26" t="str">
        <f t="shared" si="1"/>
        <v>ARB/CCB</v>
      </c>
      <c r="L592" s="26" t="str">
        <f t="shared" si="2"/>
        <v>Valsartan/amlodipine</v>
      </c>
      <c r="M592" s="26"/>
    </row>
    <row r="593" ht="17.25" customHeight="1">
      <c r="B593" s="25" t="s">
        <v>598</v>
      </c>
      <c r="C593" s="25" t="s">
        <v>5603</v>
      </c>
      <c r="D593" s="25" t="s">
        <v>710</v>
      </c>
      <c r="E593" s="25" t="s">
        <v>6517</v>
      </c>
      <c r="F593" s="25" t="s">
        <v>710</v>
      </c>
      <c r="G593" s="25">
        <v>4.7269794258E8</v>
      </c>
      <c r="H593" s="25">
        <v>520977.17</v>
      </c>
      <c r="I593" s="26" t="s">
        <v>5441</v>
      </c>
      <c r="J593" s="26" t="s">
        <v>6152</v>
      </c>
      <c r="K593" s="26" t="str">
        <f t="shared" si="1"/>
        <v>ARB/CCB</v>
      </c>
      <c r="L593" s="26" t="str">
        <f t="shared" si="2"/>
        <v>Valsartan/amlodipine</v>
      </c>
      <c r="M593" s="26"/>
    </row>
    <row r="594" ht="17.25" customHeight="1">
      <c r="B594" s="25" t="s">
        <v>598</v>
      </c>
      <c r="C594" s="25" t="s">
        <v>5603</v>
      </c>
      <c r="D594" s="25" t="s">
        <v>842</v>
      </c>
      <c r="E594" s="25" t="s">
        <v>6518</v>
      </c>
      <c r="F594" s="25" t="s">
        <v>842</v>
      </c>
      <c r="G594" s="25">
        <v>1.2426503946E8</v>
      </c>
      <c r="H594" s="25">
        <v>141352.38</v>
      </c>
      <c r="I594" s="26" t="s">
        <v>5441</v>
      </c>
      <c r="J594" s="26" t="s">
        <v>6152</v>
      </c>
      <c r="K594" s="26" t="str">
        <f t="shared" si="1"/>
        <v>ARB/CCB</v>
      </c>
      <c r="L594" s="26" t="str">
        <f t="shared" si="2"/>
        <v>Valsartan/amlodipine</v>
      </c>
      <c r="M594" s="26"/>
    </row>
    <row r="595" ht="17.25" customHeight="1">
      <c r="B595" s="25" t="s">
        <v>598</v>
      </c>
      <c r="C595" s="25" t="s">
        <v>5603</v>
      </c>
      <c r="D595" s="25" t="s">
        <v>848</v>
      </c>
      <c r="E595" s="25" t="s">
        <v>6519</v>
      </c>
      <c r="F595" s="25" t="s">
        <v>848</v>
      </c>
      <c r="G595" s="25">
        <v>1.3824609488E8</v>
      </c>
      <c r="H595" s="25">
        <v>154715.84</v>
      </c>
      <c r="I595" s="26" t="s">
        <v>5441</v>
      </c>
      <c r="J595" s="26" t="s">
        <v>6152</v>
      </c>
      <c r="K595" s="26" t="str">
        <f t="shared" si="1"/>
        <v>ARB/CCB</v>
      </c>
      <c r="L595" s="26" t="str">
        <f t="shared" si="2"/>
        <v>Valsartan/amlodipine</v>
      </c>
      <c r="M595" s="26"/>
    </row>
    <row r="596" ht="17.25" customHeight="1">
      <c r="B596" s="25" t="s">
        <v>598</v>
      </c>
      <c r="C596" s="25" t="s">
        <v>5603</v>
      </c>
      <c r="D596" s="25" t="s">
        <v>850</v>
      </c>
      <c r="E596" s="25" t="s">
        <v>6520</v>
      </c>
      <c r="F596" s="25" t="s">
        <v>850</v>
      </c>
      <c r="G596" s="25">
        <v>4.595728488E7</v>
      </c>
      <c r="H596" s="25">
        <v>76748.53</v>
      </c>
      <c r="I596" s="26" t="s">
        <v>5441</v>
      </c>
      <c r="J596" s="26" t="s">
        <v>6152</v>
      </c>
      <c r="K596" s="26" t="str">
        <f t="shared" si="1"/>
        <v>ARB/CCB</v>
      </c>
      <c r="L596" s="26" t="str">
        <f t="shared" si="2"/>
        <v>Valsartan/amlodipine</v>
      </c>
      <c r="M596" s="26"/>
    </row>
    <row r="597" ht="17.25" customHeight="1">
      <c r="B597" s="25" t="s">
        <v>598</v>
      </c>
      <c r="C597" s="25" t="s">
        <v>5603</v>
      </c>
      <c r="D597" s="25" t="s">
        <v>852</v>
      </c>
      <c r="E597" s="25" t="s">
        <v>6521</v>
      </c>
      <c r="F597" s="25" t="s">
        <v>852</v>
      </c>
      <c r="G597" s="25">
        <v>1.1234905344E8</v>
      </c>
      <c r="H597" s="25">
        <v>141881.22</v>
      </c>
      <c r="I597" s="26" t="s">
        <v>5441</v>
      </c>
      <c r="J597" s="26" t="s">
        <v>6152</v>
      </c>
      <c r="K597" s="26" t="str">
        <f t="shared" si="1"/>
        <v>ARB/CCB</v>
      </c>
      <c r="L597" s="26" t="str">
        <f t="shared" si="2"/>
        <v>Valsartan/amlodipine</v>
      </c>
      <c r="M597" s="26"/>
    </row>
    <row r="598" ht="17.25" customHeight="1">
      <c r="B598" s="25" t="s">
        <v>598</v>
      </c>
      <c r="C598" s="25" t="s">
        <v>5603</v>
      </c>
      <c r="D598" s="25" t="s">
        <v>856</v>
      </c>
      <c r="E598" s="25" t="s">
        <v>6522</v>
      </c>
      <c r="F598" s="25" t="s">
        <v>856</v>
      </c>
      <c r="G598" s="25">
        <v>2.95266846E7</v>
      </c>
      <c r="H598" s="25">
        <v>39655.9</v>
      </c>
      <c r="I598" s="26" t="s">
        <v>5441</v>
      </c>
      <c r="J598" s="26" t="s">
        <v>6152</v>
      </c>
      <c r="K598" s="26" t="str">
        <f t="shared" si="1"/>
        <v>ARB/CCB</v>
      </c>
      <c r="L598" s="26" t="str">
        <f t="shared" si="2"/>
        <v>Valsartan/amlodipine</v>
      </c>
      <c r="M598" s="26"/>
    </row>
    <row r="599" ht="17.25" customHeight="1">
      <c r="B599" s="25" t="s">
        <v>598</v>
      </c>
      <c r="C599" s="25" t="s">
        <v>5603</v>
      </c>
      <c r="D599" s="25" t="s">
        <v>862</v>
      </c>
      <c r="E599" s="25" t="s">
        <v>6523</v>
      </c>
      <c r="F599" s="25" t="s">
        <v>862</v>
      </c>
      <c r="G599" s="25">
        <v>3.9868454946E8</v>
      </c>
      <c r="H599" s="25">
        <v>448455.9</v>
      </c>
      <c r="I599" s="26" t="s">
        <v>5441</v>
      </c>
      <c r="J599" s="26" t="s">
        <v>6152</v>
      </c>
      <c r="K599" s="26" t="str">
        <f t="shared" si="1"/>
        <v>ARB/CCB</v>
      </c>
      <c r="L599" s="26" t="str">
        <f t="shared" si="2"/>
        <v>Valsartan/amlodipine</v>
      </c>
      <c r="M599" s="26"/>
    </row>
    <row r="600" ht="17.25" customHeight="1">
      <c r="B600" s="25" t="s">
        <v>598</v>
      </c>
      <c r="C600" s="25" t="s">
        <v>5603</v>
      </c>
      <c r="D600" s="25" t="s">
        <v>730</v>
      </c>
      <c r="E600" s="25" t="s">
        <v>6524</v>
      </c>
      <c r="F600" s="25" t="s">
        <v>730</v>
      </c>
      <c r="G600" s="25">
        <v>3.5970983934E8</v>
      </c>
      <c r="H600" s="25">
        <v>419114.49</v>
      </c>
      <c r="I600" s="26" t="s">
        <v>5441</v>
      </c>
      <c r="J600" s="26" t="s">
        <v>6152</v>
      </c>
      <c r="K600" s="26" t="str">
        <f t="shared" si="1"/>
        <v>ARB/CCB</v>
      </c>
      <c r="L600" s="26" t="str">
        <f t="shared" si="2"/>
        <v>Valsartan/amlodipine</v>
      </c>
      <c r="M600" s="26"/>
    </row>
    <row r="601" ht="17.25" customHeight="1">
      <c r="B601" s="25" t="s">
        <v>598</v>
      </c>
      <c r="C601" s="25" t="s">
        <v>5603</v>
      </c>
      <c r="D601" s="25" t="s">
        <v>715</v>
      </c>
      <c r="E601" s="25" t="s">
        <v>6525</v>
      </c>
      <c r="F601" s="25" t="s">
        <v>715</v>
      </c>
      <c r="G601" s="25">
        <v>2118006.0</v>
      </c>
      <c r="H601" s="25">
        <v>3096.5</v>
      </c>
      <c r="I601" s="26" t="s">
        <v>5441</v>
      </c>
      <c r="J601" s="26" t="s">
        <v>6152</v>
      </c>
      <c r="K601" s="26" t="str">
        <f t="shared" si="1"/>
        <v>ARB/CCB</v>
      </c>
      <c r="L601" s="26" t="str">
        <f t="shared" si="2"/>
        <v>Valsartan/amlodipine</v>
      </c>
      <c r="M601" s="26"/>
    </row>
    <row r="602" ht="17.25" customHeight="1">
      <c r="B602" s="25" t="s">
        <v>598</v>
      </c>
      <c r="C602" s="25" t="s">
        <v>5603</v>
      </c>
      <c r="D602" s="25" t="s">
        <v>833</v>
      </c>
      <c r="E602" s="25" t="s">
        <v>6526</v>
      </c>
      <c r="F602" s="25" t="s">
        <v>833</v>
      </c>
      <c r="G602" s="25">
        <v>1.5737086453E8</v>
      </c>
      <c r="H602" s="25">
        <v>169014.44</v>
      </c>
      <c r="I602" s="26" t="s">
        <v>5441</v>
      </c>
      <c r="J602" s="26" t="s">
        <v>6152</v>
      </c>
      <c r="K602" s="26" t="str">
        <f t="shared" si="1"/>
        <v>ARB/CCB</v>
      </c>
      <c r="L602" s="26" t="str">
        <f t="shared" si="2"/>
        <v>Valsartan/amlodipine</v>
      </c>
      <c r="M602" s="26"/>
    </row>
    <row r="603" ht="17.25" customHeight="1">
      <c r="B603" s="25" t="s">
        <v>598</v>
      </c>
      <c r="C603" s="25" t="s">
        <v>5603</v>
      </c>
      <c r="D603" s="25" t="s">
        <v>868</v>
      </c>
      <c r="E603" s="25" t="s">
        <v>6527</v>
      </c>
      <c r="F603" s="25" t="s">
        <v>868</v>
      </c>
      <c r="G603" s="25">
        <v>1.0011332376E8</v>
      </c>
      <c r="H603" s="25">
        <v>136068.44</v>
      </c>
      <c r="I603" s="26" t="s">
        <v>5441</v>
      </c>
      <c r="J603" s="26" t="s">
        <v>6152</v>
      </c>
      <c r="K603" s="26" t="str">
        <f t="shared" si="1"/>
        <v>ARB/CCB</v>
      </c>
      <c r="L603" s="26" t="str">
        <f t="shared" si="2"/>
        <v>Valsartan/amlodipine</v>
      </c>
      <c r="M603" s="26"/>
    </row>
    <row r="604" ht="17.25" customHeight="1">
      <c r="B604" s="25" t="s">
        <v>598</v>
      </c>
      <c r="C604" s="25" t="s">
        <v>5603</v>
      </c>
      <c r="D604" s="25" t="s">
        <v>870</v>
      </c>
      <c r="E604" s="25" t="s">
        <v>6528</v>
      </c>
      <c r="F604" s="25" t="s">
        <v>870</v>
      </c>
      <c r="G604" s="25">
        <v>1.9578797196E8</v>
      </c>
      <c r="H604" s="25">
        <v>260741.11</v>
      </c>
      <c r="I604" s="26" t="s">
        <v>5441</v>
      </c>
      <c r="J604" s="26" t="s">
        <v>6152</v>
      </c>
      <c r="K604" s="26" t="str">
        <f t="shared" si="1"/>
        <v>ARB/CCB</v>
      </c>
      <c r="L604" s="26" t="str">
        <f t="shared" si="2"/>
        <v>Valsartan/amlodipine</v>
      </c>
      <c r="M604" s="26"/>
    </row>
    <row r="605" ht="17.25" customHeight="1">
      <c r="B605" s="25" t="s">
        <v>598</v>
      </c>
      <c r="C605" s="25" t="s">
        <v>5603</v>
      </c>
      <c r="D605" s="25" t="s">
        <v>1038</v>
      </c>
      <c r="E605" s="25" t="s">
        <v>6529</v>
      </c>
      <c r="F605" s="25" t="s">
        <v>1038</v>
      </c>
      <c r="G605" s="25">
        <v>7.53587022E7</v>
      </c>
      <c r="H605" s="25">
        <v>103702.44</v>
      </c>
      <c r="I605" s="26" t="s">
        <v>5441</v>
      </c>
      <c r="J605" s="26" t="s">
        <v>6152</v>
      </c>
      <c r="K605" s="26" t="str">
        <f t="shared" si="1"/>
        <v>ARB/CCB</v>
      </c>
      <c r="L605" s="26" t="str">
        <f t="shared" si="2"/>
        <v>Valsartan/amlodipine</v>
      </c>
      <c r="M605" s="26"/>
    </row>
    <row r="606" ht="17.25" customHeight="1">
      <c r="B606" s="25" t="s">
        <v>598</v>
      </c>
      <c r="C606" s="25" t="s">
        <v>5603</v>
      </c>
      <c r="D606" s="25" t="s">
        <v>1040</v>
      </c>
      <c r="E606" s="25" t="s">
        <v>6530</v>
      </c>
      <c r="F606" s="25" t="s">
        <v>1040</v>
      </c>
      <c r="G606" s="25">
        <v>1.8378114766E8</v>
      </c>
      <c r="H606" s="25">
        <v>218783.96</v>
      </c>
      <c r="I606" s="26" t="s">
        <v>5441</v>
      </c>
      <c r="J606" s="26" t="s">
        <v>6152</v>
      </c>
      <c r="K606" s="26" t="str">
        <f t="shared" si="1"/>
        <v>ARB/CCB</v>
      </c>
      <c r="L606" s="26" t="str">
        <f t="shared" si="2"/>
        <v>Valsartan/amlodipine</v>
      </c>
      <c r="M606" s="26"/>
    </row>
    <row r="607" ht="17.25" customHeight="1">
      <c r="B607" s="25" t="s">
        <v>598</v>
      </c>
      <c r="C607" s="25" t="s">
        <v>5603</v>
      </c>
      <c r="D607" s="25" t="s">
        <v>872</v>
      </c>
      <c r="E607" s="25" t="s">
        <v>6531</v>
      </c>
      <c r="F607" s="25" t="s">
        <v>872</v>
      </c>
      <c r="G607" s="25">
        <v>2754358.56</v>
      </c>
      <c r="H607" s="25">
        <v>4026.84</v>
      </c>
      <c r="I607" s="26" t="s">
        <v>5441</v>
      </c>
      <c r="J607" s="26" t="s">
        <v>6152</v>
      </c>
      <c r="K607" s="26" t="str">
        <f t="shared" si="1"/>
        <v>ARB/CCB</v>
      </c>
      <c r="L607" s="26" t="str">
        <f t="shared" si="2"/>
        <v>Valsartan/amlodipine</v>
      </c>
      <c r="M607" s="26"/>
    </row>
    <row r="608" ht="17.25" customHeight="1">
      <c r="B608" s="25" t="s">
        <v>598</v>
      </c>
      <c r="C608" s="25" t="s">
        <v>5603</v>
      </c>
      <c r="D608" s="25" t="s">
        <v>983</v>
      </c>
      <c r="E608" s="25" t="s">
        <v>6532</v>
      </c>
      <c r="F608" s="25" t="s">
        <v>983</v>
      </c>
      <c r="G608" s="25">
        <v>5.704869E7</v>
      </c>
      <c r="H608" s="25">
        <v>75932.56</v>
      </c>
      <c r="I608" s="26" t="s">
        <v>5441</v>
      </c>
      <c r="J608" s="26" t="s">
        <v>6152</v>
      </c>
      <c r="K608" s="26" t="str">
        <f t="shared" si="1"/>
        <v>ARB/CCB</v>
      </c>
      <c r="L608" s="26" t="str">
        <f t="shared" si="2"/>
        <v>Valsartan/amlodipine</v>
      </c>
      <c r="M608" s="26"/>
    </row>
    <row r="609" ht="17.25" customHeight="1">
      <c r="B609" s="25" t="s">
        <v>598</v>
      </c>
      <c r="C609" s="25" t="s">
        <v>5603</v>
      </c>
      <c r="D609" s="25" t="s">
        <v>734</v>
      </c>
      <c r="E609" s="25" t="s">
        <v>6533</v>
      </c>
      <c r="F609" s="25" t="s">
        <v>734</v>
      </c>
      <c r="G609" s="25">
        <v>2.934742044E7</v>
      </c>
      <c r="H609" s="25">
        <v>38203.74</v>
      </c>
      <c r="I609" s="26" t="s">
        <v>5441</v>
      </c>
      <c r="J609" s="26" t="s">
        <v>6152</v>
      </c>
      <c r="K609" s="26" t="str">
        <f t="shared" si="1"/>
        <v>ARB/CCB</v>
      </c>
      <c r="L609" s="26" t="str">
        <f t="shared" si="2"/>
        <v>Valsartan/amlodipine</v>
      </c>
      <c r="M609" s="26"/>
    </row>
    <row r="610" ht="17.25" customHeight="1">
      <c r="B610" s="25" t="s">
        <v>598</v>
      </c>
      <c r="C610" s="25" t="s">
        <v>5603</v>
      </c>
      <c r="D610" s="25" t="s">
        <v>874</v>
      </c>
      <c r="E610" s="25" t="s">
        <v>6534</v>
      </c>
      <c r="F610" s="25" t="s">
        <v>874</v>
      </c>
      <c r="G610" s="25">
        <v>1.6194682365E8</v>
      </c>
      <c r="H610" s="25">
        <v>182426.7</v>
      </c>
      <c r="I610" s="26" t="s">
        <v>5441</v>
      </c>
      <c r="J610" s="26" t="s">
        <v>6152</v>
      </c>
      <c r="K610" s="26" t="str">
        <f t="shared" si="1"/>
        <v>ARB/CCB</v>
      </c>
      <c r="L610" s="26" t="str">
        <f t="shared" si="2"/>
        <v>Valsartan/amlodipine</v>
      </c>
      <c r="M610" s="26"/>
    </row>
    <row r="611" ht="17.25" customHeight="1">
      <c r="B611" s="25" t="s">
        <v>598</v>
      </c>
      <c r="C611" s="25" t="s">
        <v>5603</v>
      </c>
      <c r="D611" s="25" t="s">
        <v>876</v>
      </c>
      <c r="E611" s="25" t="s">
        <v>6535</v>
      </c>
      <c r="F611" s="25" t="s">
        <v>876</v>
      </c>
      <c r="G611" s="25">
        <v>4.1466020358E8</v>
      </c>
      <c r="H611" s="25">
        <v>502215.25</v>
      </c>
      <c r="I611" s="26" t="s">
        <v>5441</v>
      </c>
      <c r="J611" s="26" t="s">
        <v>6152</v>
      </c>
      <c r="K611" s="26" t="str">
        <f t="shared" si="1"/>
        <v>ARB/CCB</v>
      </c>
      <c r="L611" s="26" t="str">
        <f t="shared" si="2"/>
        <v>Valsartan/amlodipine</v>
      </c>
      <c r="M611" s="26"/>
    </row>
    <row r="612" ht="17.25" customHeight="1">
      <c r="B612" s="25" t="s">
        <v>598</v>
      </c>
      <c r="C612" s="25" t="s">
        <v>5603</v>
      </c>
      <c r="D612" s="25" t="s">
        <v>878</v>
      </c>
      <c r="E612" s="25" t="s">
        <v>6536</v>
      </c>
      <c r="F612" s="25" t="s">
        <v>878</v>
      </c>
      <c r="G612" s="25">
        <v>6.250312098E7</v>
      </c>
      <c r="H612" s="25">
        <v>81452.82</v>
      </c>
      <c r="I612" s="26" t="s">
        <v>5441</v>
      </c>
      <c r="J612" s="26" t="s">
        <v>6152</v>
      </c>
      <c r="K612" s="26" t="str">
        <f t="shared" si="1"/>
        <v>ARB/CCB</v>
      </c>
      <c r="L612" s="26" t="str">
        <f t="shared" si="2"/>
        <v>Valsartan/amlodipine</v>
      </c>
      <c r="M612" s="26"/>
    </row>
    <row r="613" ht="17.25" customHeight="1">
      <c r="B613" s="25" t="s">
        <v>598</v>
      </c>
      <c r="C613" s="25" t="s">
        <v>5603</v>
      </c>
      <c r="D613" s="25" t="s">
        <v>886</v>
      </c>
      <c r="E613" s="25" t="s">
        <v>6537</v>
      </c>
      <c r="F613" s="25" t="s">
        <v>886</v>
      </c>
      <c r="G613" s="25">
        <v>4.0883964284E8</v>
      </c>
      <c r="H613" s="25">
        <v>456648.31</v>
      </c>
      <c r="I613" s="26" t="s">
        <v>5441</v>
      </c>
      <c r="J613" s="26" t="s">
        <v>6152</v>
      </c>
      <c r="K613" s="26" t="str">
        <f t="shared" si="1"/>
        <v>ARB/CCB</v>
      </c>
      <c r="L613" s="26" t="str">
        <f t="shared" si="2"/>
        <v>Valsartan/amlodipine</v>
      </c>
      <c r="M613" s="26"/>
    </row>
    <row r="614" ht="17.25" customHeight="1">
      <c r="B614" s="25" t="s">
        <v>598</v>
      </c>
      <c r="C614" s="25" t="s">
        <v>5603</v>
      </c>
      <c r="D614" s="25" t="s">
        <v>888</v>
      </c>
      <c r="E614" s="25" t="s">
        <v>6538</v>
      </c>
      <c r="F614" s="25" t="s">
        <v>888</v>
      </c>
      <c r="G614" s="25">
        <v>1.4166817496E8</v>
      </c>
      <c r="H614" s="25">
        <v>153860.6</v>
      </c>
      <c r="I614" s="26" t="s">
        <v>5441</v>
      </c>
      <c r="J614" s="26" t="s">
        <v>6152</v>
      </c>
      <c r="K614" s="26" t="str">
        <f t="shared" si="1"/>
        <v>ARB/CCB</v>
      </c>
      <c r="L614" s="26" t="str">
        <f t="shared" si="2"/>
        <v>Valsartan/amlodipine</v>
      </c>
      <c r="M614" s="26"/>
    </row>
    <row r="615" ht="17.25" customHeight="1">
      <c r="B615" s="25" t="s">
        <v>598</v>
      </c>
      <c r="C615" s="25" t="s">
        <v>5603</v>
      </c>
      <c r="D615" s="25" t="s">
        <v>838</v>
      </c>
      <c r="E615" s="25" t="s">
        <v>6539</v>
      </c>
      <c r="F615" s="25" t="s">
        <v>838</v>
      </c>
      <c r="G615" s="25">
        <v>1461229.2</v>
      </c>
      <c r="H615" s="25">
        <v>2136.3</v>
      </c>
      <c r="I615" s="26" t="s">
        <v>5441</v>
      </c>
      <c r="J615" s="26" t="s">
        <v>6152</v>
      </c>
      <c r="K615" s="26" t="str">
        <f t="shared" si="1"/>
        <v>ARB/CCB</v>
      </c>
      <c r="L615" s="26" t="str">
        <f t="shared" si="2"/>
        <v>Valsartan/amlodipine</v>
      </c>
      <c r="M615" s="26"/>
    </row>
    <row r="616" ht="17.25" customHeight="1">
      <c r="B616" s="25" t="s">
        <v>598</v>
      </c>
      <c r="C616" s="25" t="s">
        <v>5603</v>
      </c>
      <c r="D616" s="25" t="s">
        <v>890</v>
      </c>
      <c r="E616" s="25" t="s">
        <v>6540</v>
      </c>
      <c r="F616" s="25" t="s">
        <v>890</v>
      </c>
      <c r="G616" s="25">
        <v>1.796245402E7</v>
      </c>
      <c r="H616" s="25">
        <v>21342.78</v>
      </c>
      <c r="I616" s="26" t="s">
        <v>5441</v>
      </c>
      <c r="J616" s="26" t="s">
        <v>6152</v>
      </c>
      <c r="K616" s="26" t="str">
        <f t="shared" si="1"/>
        <v>ARB/CCB</v>
      </c>
      <c r="L616" s="26" t="str">
        <f t="shared" si="2"/>
        <v>Valsartan/amlodipine</v>
      </c>
      <c r="M616" s="26"/>
    </row>
    <row r="617" ht="17.25" customHeight="1">
      <c r="B617" s="25" t="s">
        <v>598</v>
      </c>
      <c r="C617" s="25" t="s">
        <v>5603</v>
      </c>
      <c r="D617" s="25" t="s">
        <v>894</v>
      </c>
      <c r="E617" s="25" t="s">
        <v>6541</v>
      </c>
      <c r="F617" s="25" t="s">
        <v>894</v>
      </c>
      <c r="G617" s="25">
        <v>2.364672252E7</v>
      </c>
      <c r="H617" s="25">
        <v>30253.43</v>
      </c>
      <c r="I617" s="26" t="s">
        <v>5441</v>
      </c>
      <c r="J617" s="26" t="s">
        <v>6152</v>
      </c>
      <c r="K617" s="26" t="str">
        <f t="shared" si="1"/>
        <v>ARB/CCB</v>
      </c>
      <c r="L617" s="26" t="str">
        <f t="shared" si="2"/>
        <v>Valsartan/amlodipine</v>
      </c>
      <c r="M617" s="26"/>
    </row>
    <row r="618" ht="17.25" customHeight="1">
      <c r="B618" s="25" t="s">
        <v>598</v>
      </c>
      <c r="C618" s="25" t="s">
        <v>5603</v>
      </c>
      <c r="D618" s="25" t="s">
        <v>898</v>
      </c>
      <c r="E618" s="25" t="s">
        <v>6542</v>
      </c>
      <c r="F618" s="25" t="s">
        <v>898</v>
      </c>
      <c r="G618" s="25">
        <v>8.116802166E7</v>
      </c>
      <c r="H618" s="25">
        <v>109585.04</v>
      </c>
      <c r="I618" s="26" t="s">
        <v>5441</v>
      </c>
      <c r="J618" s="26" t="s">
        <v>6152</v>
      </c>
      <c r="K618" s="26" t="str">
        <f t="shared" si="1"/>
        <v>ARB/CCB</v>
      </c>
      <c r="L618" s="26" t="str">
        <f t="shared" si="2"/>
        <v>Valsartan/amlodipine</v>
      </c>
      <c r="M618" s="26"/>
    </row>
    <row r="619" ht="17.25" customHeight="1">
      <c r="B619" s="25" t="s">
        <v>598</v>
      </c>
      <c r="C619" s="25" t="s">
        <v>5603</v>
      </c>
      <c r="D619" s="25" t="s">
        <v>900</v>
      </c>
      <c r="E619" s="25" t="s">
        <v>6543</v>
      </c>
      <c r="F619" s="25" t="s">
        <v>900</v>
      </c>
      <c r="G619" s="25">
        <v>8.3238686332E8</v>
      </c>
      <c r="H619" s="25">
        <v>1061422.98</v>
      </c>
      <c r="I619" s="26" t="s">
        <v>5441</v>
      </c>
      <c r="J619" s="26" t="s">
        <v>6152</v>
      </c>
      <c r="K619" s="26" t="str">
        <f t="shared" si="1"/>
        <v>ARB/CCB</v>
      </c>
      <c r="L619" s="26" t="str">
        <f t="shared" si="2"/>
        <v>Valsartan/amlodipine</v>
      </c>
      <c r="M619" s="26"/>
    </row>
    <row r="620" ht="17.25" customHeight="1">
      <c r="B620" s="25" t="s">
        <v>598</v>
      </c>
      <c r="C620" s="25" t="s">
        <v>5603</v>
      </c>
      <c r="D620" s="25" t="s">
        <v>902</v>
      </c>
      <c r="E620" s="25" t="s">
        <v>6544</v>
      </c>
      <c r="F620" s="25" t="s">
        <v>902</v>
      </c>
      <c r="G620" s="25">
        <v>1.0642419609E8</v>
      </c>
      <c r="H620" s="25">
        <v>119716.95</v>
      </c>
      <c r="I620" s="26" t="s">
        <v>5441</v>
      </c>
      <c r="J620" s="26" t="s">
        <v>6152</v>
      </c>
      <c r="K620" s="26" t="str">
        <f t="shared" si="1"/>
        <v>ARB/CCB</v>
      </c>
      <c r="L620" s="26" t="str">
        <f t="shared" si="2"/>
        <v>Valsartan/amlodipine</v>
      </c>
      <c r="M620" s="26"/>
    </row>
    <row r="621" ht="17.25" customHeight="1">
      <c r="B621" s="25" t="s">
        <v>598</v>
      </c>
      <c r="C621" s="25" t="s">
        <v>5603</v>
      </c>
      <c r="D621" s="25" t="s">
        <v>906</v>
      </c>
      <c r="E621" s="25" t="s">
        <v>6545</v>
      </c>
      <c r="F621" s="25" t="s">
        <v>906</v>
      </c>
      <c r="G621" s="25">
        <v>8.6464659544E8</v>
      </c>
      <c r="H621" s="25">
        <v>954646.39</v>
      </c>
      <c r="I621" s="26" t="s">
        <v>5441</v>
      </c>
      <c r="J621" s="26" t="s">
        <v>6152</v>
      </c>
      <c r="K621" s="26" t="str">
        <f t="shared" si="1"/>
        <v>ARB/CCB</v>
      </c>
      <c r="L621" s="26" t="str">
        <f t="shared" si="2"/>
        <v>Valsartan/amlodipine</v>
      </c>
      <c r="M621" s="26"/>
    </row>
    <row r="622" ht="17.25" customHeight="1">
      <c r="B622" s="25" t="s">
        <v>598</v>
      </c>
      <c r="C622" s="25" t="s">
        <v>5603</v>
      </c>
      <c r="D622" s="25" t="s">
        <v>717</v>
      </c>
      <c r="E622" s="25" t="s">
        <v>6546</v>
      </c>
      <c r="F622" s="25" t="s">
        <v>717</v>
      </c>
      <c r="G622" s="25">
        <v>2.4439489579E8</v>
      </c>
      <c r="H622" s="25">
        <v>268744.62</v>
      </c>
      <c r="I622" s="26" t="s">
        <v>5441</v>
      </c>
      <c r="J622" s="26" t="s">
        <v>6152</v>
      </c>
      <c r="K622" s="26" t="str">
        <f t="shared" si="1"/>
        <v>ARB/CCB</v>
      </c>
      <c r="L622" s="26" t="str">
        <f t="shared" si="2"/>
        <v>Valsartan/amlodipine</v>
      </c>
      <c r="M622" s="26"/>
    </row>
    <row r="623" ht="17.25" customHeight="1">
      <c r="B623" s="25" t="s">
        <v>598</v>
      </c>
      <c r="C623" s="25" t="s">
        <v>5603</v>
      </c>
      <c r="D623" s="25" t="s">
        <v>915</v>
      </c>
      <c r="E623" s="25" t="s">
        <v>6547</v>
      </c>
      <c r="F623" s="25" t="s">
        <v>915</v>
      </c>
      <c r="G623" s="25">
        <v>2.189357618E8</v>
      </c>
      <c r="H623" s="25">
        <v>237836.77</v>
      </c>
      <c r="I623" s="26" t="s">
        <v>5441</v>
      </c>
      <c r="J623" s="26" t="s">
        <v>6152</v>
      </c>
      <c r="K623" s="26" t="str">
        <f t="shared" si="1"/>
        <v>ARB/CCB</v>
      </c>
      <c r="L623" s="26" t="str">
        <f t="shared" si="2"/>
        <v>Valsartan/amlodipine</v>
      </c>
      <c r="M623" s="26"/>
    </row>
    <row r="624" ht="17.25" customHeight="1">
      <c r="B624" s="25" t="s">
        <v>598</v>
      </c>
      <c r="C624" s="25" t="s">
        <v>5603</v>
      </c>
      <c r="D624" s="25" t="s">
        <v>919</v>
      </c>
      <c r="E624" s="25" t="s">
        <v>6548</v>
      </c>
      <c r="F624" s="25" t="s">
        <v>919</v>
      </c>
      <c r="G624" s="25">
        <v>1.157285196E7</v>
      </c>
      <c r="H624" s="25">
        <v>16351.89</v>
      </c>
      <c r="I624" s="26" t="s">
        <v>5441</v>
      </c>
      <c r="J624" s="26" t="s">
        <v>6152</v>
      </c>
      <c r="K624" s="26" t="str">
        <f t="shared" si="1"/>
        <v>ARB/CCB</v>
      </c>
      <c r="L624" s="26" t="str">
        <f t="shared" si="2"/>
        <v>Valsartan/amlodipine</v>
      </c>
      <c r="M624" s="26"/>
    </row>
    <row r="625" ht="17.25" customHeight="1">
      <c r="B625" s="25" t="s">
        <v>598</v>
      </c>
      <c r="C625" s="25" t="s">
        <v>5603</v>
      </c>
      <c r="D625" s="25" t="s">
        <v>925</v>
      </c>
      <c r="E625" s="25" t="s">
        <v>6549</v>
      </c>
      <c r="F625" s="25" t="s">
        <v>925</v>
      </c>
      <c r="G625" s="25">
        <v>2.794075782E7</v>
      </c>
      <c r="H625" s="25">
        <v>36573.01</v>
      </c>
      <c r="I625" s="26" t="s">
        <v>5441</v>
      </c>
      <c r="J625" s="26" t="s">
        <v>6152</v>
      </c>
      <c r="K625" s="26" t="str">
        <f t="shared" si="1"/>
        <v>ARB/CCB</v>
      </c>
      <c r="L625" s="26" t="str">
        <f t="shared" si="2"/>
        <v>Valsartan/amlodipine</v>
      </c>
      <c r="M625" s="26"/>
    </row>
    <row r="626" ht="17.25" customHeight="1">
      <c r="B626" s="25" t="s">
        <v>598</v>
      </c>
      <c r="C626" s="25" t="s">
        <v>5603</v>
      </c>
      <c r="D626" s="25" t="s">
        <v>927</v>
      </c>
      <c r="E626" s="25" t="s">
        <v>6550</v>
      </c>
      <c r="F626" s="25" t="s">
        <v>927</v>
      </c>
      <c r="G626" s="25">
        <v>1.3656932672E8</v>
      </c>
      <c r="H626" s="25">
        <v>179394.14</v>
      </c>
      <c r="I626" s="26" t="s">
        <v>5441</v>
      </c>
      <c r="J626" s="26" t="s">
        <v>6152</v>
      </c>
      <c r="K626" s="26" t="str">
        <f t="shared" si="1"/>
        <v>ARB/CCB</v>
      </c>
      <c r="L626" s="26" t="str">
        <f t="shared" si="2"/>
        <v>Valsartan/amlodipine</v>
      </c>
      <c r="M626" s="26"/>
    </row>
    <row r="627" ht="17.25" customHeight="1">
      <c r="B627" s="25" t="s">
        <v>598</v>
      </c>
      <c r="C627" s="25" t="s">
        <v>5603</v>
      </c>
      <c r="D627" s="25" t="s">
        <v>931</v>
      </c>
      <c r="E627" s="25" t="s">
        <v>6551</v>
      </c>
      <c r="F627" s="25" t="s">
        <v>931</v>
      </c>
      <c r="G627" s="25">
        <v>5.856721182E7</v>
      </c>
      <c r="H627" s="25">
        <v>74309.88</v>
      </c>
      <c r="I627" s="26" t="s">
        <v>5441</v>
      </c>
      <c r="J627" s="26" t="s">
        <v>6152</v>
      </c>
      <c r="K627" s="26" t="str">
        <f t="shared" si="1"/>
        <v>ARB/CCB</v>
      </c>
      <c r="L627" s="26" t="str">
        <f t="shared" si="2"/>
        <v>Valsartan/amlodipine</v>
      </c>
      <c r="M627" s="26"/>
    </row>
    <row r="628" ht="17.25" customHeight="1">
      <c r="B628" s="25" t="s">
        <v>598</v>
      </c>
      <c r="C628" s="25" t="s">
        <v>5603</v>
      </c>
      <c r="D628" s="25" t="s">
        <v>933</v>
      </c>
      <c r="E628" s="25" t="s">
        <v>6552</v>
      </c>
      <c r="F628" s="25" t="s">
        <v>933</v>
      </c>
      <c r="G628" s="25">
        <v>1.1809422912E8</v>
      </c>
      <c r="H628" s="25">
        <v>153945.66</v>
      </c>
      <c r="I628" s="26" t="s">
        <v>5441</v>
      </c>
      <c r="J628" s="26" t="s">
        <v>6152</v>
      </c>
      <c r="K628" s="26" t="str">
        <f t="shared" si="1"/>
        <v>ARB/CCB</v>
      </c>
      <c r="L628" s="26" t="str">
        <f t="shared" si="2"/>
        <v>Valsartan/amlodipine</v>
      </c>
      <c r="M628" s="26"/>
    </row>
    <row r="629" ht="17.25" customHeight="1">
      <c r="B629" s="25" t="s">
        <v>598</v>
      </c>
      <c r="C629" s="25" t="s">
        <v>5603</v>
      </c>
      <c r="D629" s="25" t="s">
        <v>935</v>
      </c>
      <c r="E629" s="25" t="s">
        <v>6553</v>
      </c>
      <c r="F629" s="25" t="s">
        <v>935</v>
      </c>
      <c r="G629" s="25">
        <v>4.8171325753E8</v>
      </c>
      <c r="H629" s="25">
        <v>540158.11</v>
      </c>
      <c r="I629" s="26" t="s">
        <v>5441</v>
      </c>
      <c r="J629" s="26" t="s">
        <v>6152</v>
      </c>
      <c r="K629" s="26" t="str">
        <f t="shared" si="1"/>
        <v>ARB/CCB</v>
      </c>
      <c r="L629" s="26" t="str">
        <f t="shared" si="2"/>
        <v>Valsartan/amlodipine</v>
      </c>
      <c r="M629" s="26"/>
    </row>
    <row r="630" ht="17.25" customHeight="1">
      <c r="B630" s="25" t="s">
        <v>598</v>
      </c>
      <c r="C630" s="25" t="s">
        <v>5603</v>
      </c>
      <c r="D630" s="25" t="s">
        <v>937</v>
      </c>
      <c r="E630" s="25" t="s">
        <v>6554</v>
      </c>
      <c r="F630" s="25" t="s">
        <v>937</v>
      </c>
      <c r="G630" s="25">
        <v>3.34230865E7</v>
      </c>
      <c r="H630" s="25">
        <v>45245.64</v>
      </c>
      <c r="I630" s="26" t="s">
        <v>5441</v>
      </c>
      <c r="J630" s="26" t="s">
        <v>6152</v>
      </c>
      <c r="K630" s="26" t="str">
        <f t="shared" si="1"/>
        <v>ARB/CCB</v>
      </c>
      <c r="L630" s="26" t="str">
        <f t="shared" si="2"/>
        <v>Valsartan/amlodipine</v>
      </c>
      <c r="M630" s="26"/>
    </row>
    <row r="631" ht="17.25" customHeight="1">
      <c r="B631" s="25" t="s">
        <v>598</v>
      </c>
      <c r="C631" s="25" t="s">
        <v>5603</v>
      </c>
      <c r="D631" s="25" t="s">
        <v>1188</v>
      </c>
      <c r="E631" s="25" t="s">
        <v>6555</v>
      </c>
      <c r="F631" s="25" t="s">
        <v>1188</v>
      </c>
      <c r="G631" s="25">
        <v>6399612.9</v>
      </c>
      <c r="H631" s="25">
        <v>7757.1</v>
      </c>
      <c r="I631" s="26" t="s">
        <v>5441</v>
      </c>
      <c r="J631" s="26" t="s">
        <v>6152</v>
      </c>
      <c r="K631" s="26" t="str">
        <f t="shared" si="1"/>
        <v>ARB/CCB</v>
      </c>
      <c r="L631" s="26" t="str">
        <f t="shared" si="2"/>
        <v>Valsartan/amlodipine</v>
      </c>
      <c r="M631" s="26"/>
    </row>
    <row r="632" ht="17.25" customHeight="1">
      <c r="B632" s="25" t="s">
        <v>598</v>
      </c>
      <c r="C632" s="25" t="s">
        <v>5603</v>
      </c>
      <c r="D632" s="25" t="s">
        <v>736</v>
      </c>
      <c r="E632" s="25" t="s">
        <v>6556</v>
      </c>
      <c r="F632" s="25" t="s">
        <v>736</v>
      </c>
      <c r="G632" s="25">
        <v>2.0986317972E8</v>
      </c>
      <c r="H632" s="25">
        <v>258178.58</v>
      </c>
      <c r="I632" s="26" t="s">
        <v>5441</v>
      </c>
      <c r="J632" s="26" t="s">
        <v>6152</v>
      </c>
      <c r="K632" s="26" t="str">
        <f t="shared" si="1"/>
        <v>ARB/CCB</v>
      </c>
      <c r="L632" s="26" t="str">
        <f t="shared" si="2"/>
        <v>Valsartan/amlodipine</v>
      </c>
      <c r="M632" s="26"/>
    </row>
    <row r="633" ht="17.25" customHeight="1">
      <c r="B633" s="25" t="s">
        <v>598</v>
      </c>
      <c r="C633" s="25" t="s">
        <v>5603</v>
      </c>
      <c r="D633" s="25" t="s">
        <v>941</v>
      </c>
      <c r="E633" s="25" t="s">
        <v>206</v>
      </c>
      <c r="F633" s="25" t="s">
        <v>941</v>
      </c>
      <c r="G633" s="25">
        <v>3.363457994E7</v>
      </c>
      <c r="H633" s="25">
        <v>45203.34</v>
      </c>
      <c r="I633" s="26" t="s">
        <v>5441</v>
      </c>
      <c r="J633" s="26" t="s">
        <v>6152</v>
      </c>
      <c r="K633" s="26" t="str">
        <f t="shared" si="1"/>
        <v>ARB/CCB</v>
      </c>
      <c r="L633" s="26" t="str">
        <f t="shared" si="2"/>
        <v>Valsartan/amlodipine</v>
      </c>
      <c r="M633" s="26"/>
    </row>
    <row r="634" ht="17.25" customHeight="1">
      <c r="B634" s="25" t="s">
        <v>598</v>
      </c>
      <c r="C634" s="25" t="s">
        <v>5606</v>
      </c>
      <c r="D634" s="25" t="s">
        <v>917</v>
      </c>
      <c r="E634" s="25" t="s">
        <v>6557</v>
      </c>
      <c r="F634" s="25" t="s">
        <v>917</v>
      </c>
      <c r="G634" s="25">
        <v>2.69631028384E9</v>
      </c>
      <c r="H634" s="25">
        <v>3006139.97</v>
      </c>
      <c r="I634" s="26" t="s">
        <v>5441</v>
      </c>
      <c r="J634" s="26" t="s">
        <v>6152</v>
      </c>
      <c r="K634" s="26" t="str">
        <f t="shared" si="1"/>
        <v>ARB/CCB</v>
      </c>
      <c r="L634" s="26" t="str">
        <f t="shared" si="2"/>
        <v>Losartan/amlodipine/Chlorthalidone</v>
      </c>
      <c r="M634" s="26"/>
    </row>
    <row r="635" ht="17.25" customHeight="1">
      <c r="B635" s="25" t="s">
        <v>598</v>
      </c>
      <c r="C635" s="25" t="s">
        <v>5610</v>
      </c>
      <c r="D635" s="25" t="s">
        <v>1979</v>
      </c>
      <c r="E635" s="25" t="s">
        <v>6558</v>
      </c>
      <c r="F635" s="25" t="s">
        <v>1979</v>
      </c>
      <c r="G635" s="25">
        <v>2.2494803915E8</v>
      </c>
      <c r="H635" s="25">
        <v>273242.28</v>
      </c>
      <c r="I635" s="26" t="s">
        <v>5441</v>
      </c>
      <c r="J635" s="26" t="s">
        <v>6152</v>
      </c>
      <c r="K635" s="26" t="str">
        <f t="shared" si="1"/>
        <v>ARB/CCB</v>
      </c>
      <c r="L635" s="26" t="str">
        <f t="shared" si="2"/>
        <v>Losartan/amlodipine</v>
      </c>
      <c r="M635" s="26"/>
    </row>
    <row r="636" ht="17.25" customHeight="1">
      <c r="B636" s="25" t="s">
        <v>598</v>
      </c>
      <c r="C636" s="25" t="s">
        <v>5610</v>
      </c>
      <c r="D636" s="25" t="s">
        <v>917</v>
      </c>
      <c r="E636" s="25" t="s">
        <v>6559</v>
      </c>
      <c r="F636" s="25" t="s">
        <v>917</v>
      </c>
      <c r="G636" s="25">
        <v>7.80164714661E9</v>
      </c>
      <c r="H636" s="25">
        <v>9504003.11</v>
      </c>
      <c r="I636" s="26" t="s">
        <v>5441</v>
      </c>
      <c r="J636" s="26" t="s">
        <v>6152</v>
      </c>
      <c r="K636" s="26" t="str">
        <f t="shared" si="1"/>
        <v>ARB/CCB</v>
      </c>
      <c r="L636" s="26" t="str">
        <f t="shared" si="2"/>
        <v>Losartan/amlodipine</v>
      </c>
      <c r="M636" s="26"/>
    </row>
    <row r="637" ht="17.25" customHeight="1">
      <c r="B637" s="25" t="s">
        <v>598</v>
      </c>
      <c r="C637" s="25" t="s">
        <v>5618</v>
      </c>
      <c r="D637" s="25" t="s">
        <v>1061</v>
      </c>
      <c r="E637" s="25" t="s">
        <v>6560</v>
      </c>
      <c r="F637" s="25" t="s">
        <v>1061</v>
      </c>
      <c r="G637" s="25">
        <v>2.7093737651E8</v>
      </c>
      <c r="H637" s="25">
        <v>418271.11</v>
      </c>
      <c r="I637" s="26" t="s">
        <v>5441</v>
      </c>
      <c r="J637" s="26" t="s">
        <v>6152</v>
      </c>
      <c r="K637" s="26" t="str">
        <f t="shared" si="1"/>
        <v>ARB/CCB</v>
      </c>
      <c r="L637" s="26" t="str">
        <f t="shared" si="2"/>
        <v>Valsartan/amlodipine</v>
      </c>
      <c r="M637" s="26"/>
    </row>
    <row r="638" ht="17.25" customHeight="1">
      <c r="B638" s="25" t="s">
        <v>598</v>
      </c>
      <c r="C638" s="25" t="s">
        <v>5621</v>
      </c>
      <c r="D638" s="25" t="s">
        <v>1061</v>
      </c>
      <c r="E638" s="25" t="s">
        <v>6561</v>
      </c>
      <c r="F638" s="25" t="s">
        <v>1061</v>
      </c>
      <c r="G638" s="25">
        <v>1.022934708E7</v>
      </c>
      <c r="H638" s="25">
        <v>16427.24</v>
      </c>
      <c r="I638" s="26" t="s">
        <v>5441</v>
      </c>
      <c r="J638" s="26" t="s">
        <v>6152</v>
      </c>
      <c r="K638" s="26" t="str">
        <f t="shared" si="1"/>
        <v>ARB/CCB</v>
      </c>
      <c r="L638" s="26" t="str">
        <f t="shared" si="2"/>
        <v>Olmesartan/amlodipine</v>
      </c>
      <c r="M638" s="26"/>
    </row>
    <row r="639" ht="17.25" customHeight="1">
      <c r="B639" s="25" t="s">
        <v>598</v>
      </c>
      <c r="C639" s="25" t="s">
        <v>6082</v>
      </c>
      <c r="D639" s="25" t="s">
        <v>708</v>
      </c>
      <c r="E639" s="25" t="s">
        <v>6562</v>
      </c>
      <c r="F639" s="25" t="s">
        <v>708</v>
      </c>
      <c r="G639" s="25">
        <v>1.504824237E8</v>
      </c>
      <c r="H639" s="25">
        <v>194629.99</v>
      </c>
      <c r="I639" s="26" t="s">
        <v>5441</v>
      </c>
      <c r="J639" s="26" t="s">
        <v>6152</v>
      </c>
      <c r="K639" s="26" t="str">
        <f t="shared" si="1"/>
        <v>ARB/CCB</v>
      </c>
      <c r="L639" s="26" t="str">
        <f t="shared" si="2"/>
        <v>Telmisartan/s-amlodipine</v>
      </c>
      <c r="M639" s="26"/>
    </row>
    <row r="640" ht="17.25" customHeight="1">
      <c r="B640" s="25" t="s">
        <v>598</v>
      </c>
      <c r="C640" s="25" t="s">
        <v>6082</v>
      </c>
      <c r="D640" s="25" t="s">
        <v>925</v>
      </c>
      <c r="E640" s="25" t="s">
        <v>6563</v>
      </c>
      <c r="F640" s="25" t="s">
        <v>925</v>
      </c>
      <c r="G640" s="25">
        <v>1.705368018E7</v>
      </c>
      <c r="H640" s="25">
        <v>22014.24</v>
      </c>
      <c r="I640" s="26" t="s">
        <v>5441</v>
      </c>
      <c r="J640" s="26" t="s">
        <v>6152</v>
      </c>
      <c r="K640" s="26" t="str">
        <f t="shared" si="1"/>
        <v>ARB/CCB</v>
      </c>
      <c r="L640" s="26" t="str">
        <f t="shared" si="2"/>
        <v>Telmisartan/s-amlodipine</v>
      </c>
      <c r="M640" s="26"/>
    </row>
    <row r="641" ht="17.25" customHeight="1">
      <c r="B641" s="25" t="s">
        <v>598</v>
      </c>
      <c r="C641" s="25" t="s">
        <v>6086</v>
      </c>
      <c r="D641" s="25" t="s">
        <v>968</v>
      </c>
      <c r="E641" s="25" t="s">
        <v>6564</v>
      </c>
      <c r="F641" s="25" t="s">
        <v>968</v>
      </c>
      <c r="G641" s="25">
        <v>2.194849678E7</v>
      </c>
      <c r="H641" s="25">
        <v>27940.96</v>
      </c>
      <c r="I641" s="26" t="s">
        <v>5441</v>
      </c>
      <c r="J641" s="26" t="s">
        <v>6152</v>
      </c>
      <c r="K641" s="26" t="str">
        <f t="shared" si="1"/>
        <v>ARB/CCB/DU </v>
      </c>
      <c r="L641" s="26" t="str">
        <f t="shared" si="2"/>
        <v>Telmisartan/s-amlodipine/Chlorthalidone</v>
      </c>
      <c r="M641" s="26"/>
    </row>
    <row r="642" ht="17.25" customHeight="1">
      <c r="B642" s="25" t="s">
        <v>598</v>
      </c>
      <c r="C642" s="25" t="s">
        <v>6090</v>
      </c>
      <c r="D642" s="25" t="s">
        <v>761</v>
      </c>
      <c r="E642" s="25" t="s">
        <v>6565</v>
      </c>
      <c r="F642" s="25" t="s">
        <v>761</v>
      </c>
      <c r="G642" s="25">
        <v>1.11559716E7</v>
      </c>
      <c r="H642" s="25">
        <v>21620.1</v>
      </c>
      <c r="I642" s="26" t="s">
        <v>5441</v>
      </c>
      <c r="J642" s="26" t="s">
        <v>6152</v>
      </c>
      <c r="K642" s="26" t="str">
        <f t="shared" si="1"/>
        <v>ARB/CCB</v>
      </c>
      <c r="L642" s="26" t="str">
        <f t="shared" si="2"/>
        <v>Fimasartan/s-amlodipine</v>
      </c>
      <c r="M642" s="26"/>
    </row>
    <row r="643" ht="17.25" customHeight="1">
      <c r="B643" s="25" t="s">
        <v>598</v>
      </c>
      <c r="C643" s="25" t="s">
        <v>6090</v>
      </c>
      <c r="D643" s="25" t="s">
        <v>774</v>
      </c>
      <c r="E643" s="25" t="s">
        <v>6566</v>
      </c>
      <c r="F643" s="25" t="s">
        <v>774</v>
      </c>
      <c r="G643" s="25">
        <v>4843614.6</v>
      </c>
      <c r="H643" s="25">
        <v>9386.85</v>
      </c>
      <c r="I643" s="26" t="s">
        <v>5441</v>
      </c>
      <c r="J643" s="26" t="s">
        <v>6152</v>
      </c>
      <c r="K643" s="26" t="str">
        <f t="shared" si="1"/>
        <v>ARB/CCB</v>
      </c>
      <c r="L643" s="26" t="str">
        <f t="shared" si="2"/>
        <v>Fimasartan/s-amlodipine</v>
      </c>
      <c r="M643" s="26"/>
    </row>
    <row r="644" ht="17.25" customHeight="1">
      <c r="B644" s="25" t="s">
        <v>598</v>
      </c>
      <c r="C644" s="25" t="s">
        <v>6090</v>
      </c>
      <c r="D644" s="25" t="s">
        <v>779</v>
      </c>
      <c r="E644" s="25" t="s">
        <v>6567</v>
      </c>
      <c r="F644" s="25" t="s">
        <v>779</v>
      </c>
      <c r="G644" s="25">
        <v>3586236.12</v>
      </c>
      <c r="H644" s="25">
        <v>6950.07</v>
      </c>
      <c r="I644" s="26" t="s">
        <v>5441</v>
      </c>
      <c r="J644" s="26" t="s">
        <v>6152</v>
      </c>
      <c r="K644" s="26" t="str">
        <f t="shared" si="1"/>
        <v>ARB/CCB</v>
      </c>
      <c r="L644" s="26" t="str">
        <f t="shared" si="2"/>
        <v>Fimasartan/s-amlodipine</v>
      </c>
      <c r="M644" s="26"/>
    </row>
    <row r="645" ht="17.25" customHeight="1">
      <c r="B645" s="25" t="s">
        <v>598</v>
      </c>
      <c r="C645" s="25" t="s">
        <v>6090</v>
      </c>
      <c r="D645" s="25" t="s">
        <v>834</v>
      </c>
      <c r="E645" s="25" t="s">
        <v>6568</v>
      </c>
      <c r="F645" s="25" t="s">
        <v>834</v>
      </c>
      <c r="G645" s="25">
        <v>3433851.0</v>
      </c>
      <c r="H645" s="25">
        <v>6654.75</v>
      </c>
      <c r="I645" s="26" t="s">
        <v>5441</v>
      </c>
      <c r="J645" s="26" t="s">
        <v>6152</v>
      </c>
      <c r="K645" s="26" t="str">
        <f t="shared" si="1"/>
        <v>ARB/CCB</v>
      </c>
      <c r="L645" s="26" t="str">
        <f t="shared" si="2"/>
        <v>Fimasartan/s-amlodipine</v>
      </c>
      <c r="M645" s="26"/>
    </row>
    <row r="646" ht="17.25" customHeight="1">
      <c r="B646" s="25" t="s">
        <v>598</v>
      </c>
      <c r="C646" s="25" t="s">
        <v>6090</v>
      </c>
      <c r="D646" s="25" t="s">
        <v>852</v>
      </c>
      <c r="E646" s="25" t="s">
        <v>6569</v>
      </c>
      <c r="F646" s="25" t="s">
        <v>852</v>
      </c>
      <c r="G646" s="25">
        <v>1185458.4</v>
      </c>
      <c r="H646" s="25">
        <v>2297.4</v>
      </c>
      <c r="I646" s="26" t="s">
        <v>5441</v>
      </c>
      <c r="J646" s="26" t="s">
        <v>6152</v>
      </c>
      <c r="K646" s="26" t="str">
        <f t="shared" si="1"/>
        <v>ARB/CCB</v>
      </c>
      <c r="L646" s="26" t="str">
        <f t="shared" si="2"/>
        <v>Fimasartan/s-amlodipine</v>
      </c>
      <c r="M646" s="26"/>
    </row>
    <row r="647" ht="17.25" customHeight="1">
      <c r="B647" s="25" t="s">
        <v>598</v>
      </c>
      <c r="C647" s="25" t="s">
        <v>6090</v>
      </c>
      <c r="D647" s="25" t="s">
        <v>868</v>
      </c>
      <c r="E647" s="25" t="s">
        <v>6570</v>
      </c>
      <c r="F647" s="25" t="s">
        <v>868</v>
      </c>
      <c r="G647" s="25">
        <v>3987544.8</v>
      </c>
      <c r="H647" s="25">
        <v>7727.8</v>
      </c>
      <c r="I647" s="26" t="s">
        <v>5441</v>
      </c>
      <c r="J647" s="26" t="s">
        <v>6152</v>
      </c>
      <c r="K647" s="26" t="str">
        <f t="shared" si="1"/>
        <v>ARB/CCB</v>
      </c>
      <c r="L647" s="26" t="str">
        <f t="shared" si="2"/>
        <v>Fimasartan/s-amlodipine</v>
      </c>
      <c r="M647" s="26"/>
    </row>
    <row r="648" ht="17.25" customHeight="1">
      <c r="B648" s="25" t="s">
        <v>598</v>
      </c>
      <c r="C648" s="25" t="s">
        <v>6090</v>
      </c>
      <c r="D648" s="25" t="s">
        <v>717</v>
      </c>
      <c r="E648" s="25" t="s">
        <v>6571</v>
      </c>
      <c r="F648" s="25" t="s">
        <v>717</v>
      </c>
      <c r="G648" s="25">
        <v>490406.4</v>
      </c>
      <c r="H648" s="25">
        <v>950.4</v>
      </c>
      <c r="I648" s="26" t="s">
        <v>5441</v>
      </c>
      <c r="J648" s="26" t="s">
        <v>6152</v>
      </c>
      <c r="K648" s="26" t="str">
        <f t="shared" si="1"/>
        <v>ARB/CCB</v>
      </c>
      <c r="L648" s="26" t="str">
        <f t="shared" si="2"/>
        <v>Fimasartan/s-amlodipine</v>
      </c>
      <c r="M648" s="26"/>
    </row>
    <row r="649" ht="17.25" customHeight="1">
      <c r="B649" s="25" t="s">
        <v>598</v>
      </c>
      <c r="C649" s="25" t="s">
        <v>6090</v>
      </c>
      <c r="D649" s="25" t="s">
        <v>931</v>
      </c>
      <c r="E649" s="25" t="s">
        <v>6572</v>
      </c>
      <c r="F649" s="25" t="s">
        <v>931</v>
      </c>
      <c r="G649" s="25">
        <v>3591968.88</v>
      </c>
      <c r="H649" s="25">
        <v>6961.18</v>
      </c>
      <c r="I649" s="26" t="s">
        <v>5441</v>
      </c>
      <c r="J649" s="26" t="s">
        <v>6152</v>
      </c>
      <c r="K649" s="26" t="str">
        <f t="shared" si="1"/>
        <v>ARB/CCB</v>
      </c>
      <c r="L649" s="26" t="str">
        <f t="shared" si="2"/>
        <v>Fimasartan/s-amlodipine</v>
      </c>
      <c r="M649" s="26"/>
    </row>
    <row r="650" ht="17.25" customHeight="1">
      <c r="B650" s="25" t="s">
        <v>598</v>
      </c>
      <c r="C650" s="25" t="s">
        <v>6090</v>
      </c>
      <c r="D650" s="25" t="s">
        <v>736</v>
      </c>
      <c r="E650" s="25" t="s">
        <v>6573</v>
      </c>
      <c r="F650" s="25" t="s">
        <v>736</v>
      </c>
      <c r="G650" s="25">
        <v>976540.32</v>
      </c>
      <c r="H650" s="25">
        <v>1892.52</v>
      </c>
      <c r="I650" s="26" t="s">
        <v>5441</v>
      </c>
      <c r="J650" s="26" t="s">
        <v>6152</v>
      </c>
      <c r="K650" s="26" t="str">
        <f t="shared" si="1"/>
        <v>ARB/CCB</v>
      </c>
      <c r="L650" s="26" t="str">
        <f t="shared" si="2"/>
        <v>Fimasartan/s-amlodipine</v>
      </c>
      <c r="M650" s="26"/>
    </row>
    <row r="651" ht="17.25" customHeight="1">
      <c r="B651" s="25" t="s">
        <v>598</v>
      </c>
      <c r="C651" s="25" t="s">
        <v>6094</v>
      </c>
      <c r="D651" s="25" t="s">
        <v>776</v>
      </c>
      <c r="E651" s="25" t="s">
        <v>6574</v>
      </c>
      <c r="F651" s="25" t="s">
        <v>776</v>
      </c>
      <c r="G651" s="25">
        <v>2.062592421E7</v>
      </c>
      <c r="H651" s="25">
        <v>26077.21</v>
      </c>
      <c r="I651" s="26" t="s">
        <v>5441</v>
      </c>
      <c r="J651" s="26" t="s">
        <v>6152</v>
      </c>
      <c r="K651" s="26" t="str">
        <f t="shared" si="1"/>
        <v>ARB/CCB/DU </v>
      </c>
      <c r="L651" s="26" t="str">
        <f t="shared" si="2"/>
        <v>Olmesartan/s-amlodipine/hydrochlorothiazide</v>
      </c>
      <c r="M651" s="26"/>
    </row>
    <row r="652" ht="17.25" customHeight="1">
      <c r="B652" s="25" t="s">
        <v>598</v>
      </c>
      <c r="C652" s="25" t="s">
        <v>6098</v>
      </c>
      <c r="D652" s="25" t="s">
        <v>776</v>
      </c>
      <c r="E652" s="25" t="s">
        <v>6574</v>
      </c>
      <c r="F652" s="25" t="s">
        <v>776</v>
      </c>
      <c r="G652" s="25">
        <v>1.104421436E7</v>
      </c>
      <c r="H652" s="25">
        <v>15710.12</v>
      </c>
      <c r="I652" s="26" t="s">
        <v>5441</v>
      </c>
      <c r="J652" s="26" t="s">
        <v>6152</v>
      </c>
      <c r="K652" s="26" t="str">
        <f t="shared" si="1"/>
        <v>ARB/CCB/DU </v>
      </c>
      <c r="L652" s="26" t="str">
        <f t="shared" si="2"/>
        <v>Olmesartan/s-amlodipine/hydrochlorothiazide</v>
      </c>
      <c r="M652" s="26"/>
    </row>
    <row r="653" ht="17.25" customHeight="1">
      <c r="B653" s="25" t="s">
        <v>598</v>
      </c>
      <c r="C653" s="25" t="s">
        <v>5624</v>
      </c>
      <c r="D653" s="25" t="s">
        <v>1791</v>
      </c>
      <c r="E653" s="25" t="s">
        <v>6575</v>
      </c>
      <c r="F653" s="25" t="s">
        <v>1791</v>
      </c>
      <c r="G653" s="25">
        <v>5.0398953323E8</v>
      </c>
      <c r="H653" s="25">
        <v>587348.63</v>
      </c>
      <c r="I653" s="26" t="s">
        <v>5441</v>
      </c>
      <c r="J653" s="26" t="s">
        <v>6152</v>
      </c>
      <c r="K653" s="26" t="str">
        <f t="shared" si="1"/>
        <v>ARB/CCB</v>
      </c>
      <c r="L653" s="26" t="str">
        <f t="shared" si="2"/>
        <v>Valsartan/Lecarnidipine </v>
      </c>
      <c r="M653" s="26"/>
    </row>
    <row r="654" ht="17.25" customHeight="1">
      <c r="B654" s="25" t="s">
        <v>598</v>
      </c>
      <c r="C654" s="25" t="s">
        <v>5628</v>
      </c>
      <c r="D654" s="25" t="s">
        <v>776</v>
      </c>
      <c r="E654" s="25" t="s">
        <v>6576</v>
      </c>
      <c r="F654" s="25" t="s">
        <v>776</v>
      </c>
      <c r="G654" s="25">
        <v>3.3889389501E8</v>
      </c>
      <c r="H654" s="25">
        <v>542454.48</v>
      </c>
      <c r="I654" s="26" t="s">
        <v>5441</v>
      </c>
      <c r="J654" s="26" t="s">
        <v>6152</v>
      </c>
      <c r="K654" s="26" t="str">
        <f t="shared" si="1"/>
        <v>ARB/CCB</v>
      </c>
      <c r="L654" s="26" t="str">
        <f t="shared" si="2"/>
        <v>Olmesartan/S-amlodipine </v>
      </c>
      <c r="M654" s="26"/>
    </row>
    <row r="655" ht="17.25" customHeight="1">
      <c r="B655" s="25" t="s">
        <v>598</v>
      </c>
      <c r="C655" s="25" t="s">
        <v>5628</v>
      </c>
      <c r="D655" s="25" t="s">
        <v>830</v>
      </c>
      <c r="E655" s="25" t="s">
        <v>6577</v>
      </c>
      <c r="F655" s="25" t="s">
        <v>830</v>
      </c>
      <c r="G655" s="25">
        <v>2.2994631464E8</v>
      </c>
      <c r="H655" s="25">
        <v>307673.08</v>
      </c>
      <c r="I655" s="26" t="s">
        <v>5441</v>
      </c>
      <c r="J655" s="26" t="s">
        <v>6152</v>
      </c>
      <c r="K655" s="26" t="str">
        <f t="shared" si="1"/>
        <v>ARB/CCB</v>
      </c>
      <c r="L655" s="26" t="str">
        <f t="shared" si="2"/>
        <v>Olmesartan/S-amlodipine </v>
      </c>
      <c r="M655" s="26"/>
    </row>
    <row r="656" ht="17.25" customHeight="1">
      <c r="B656" s="25" t="s">
        <v>598</v>
      </c>
      <c r="C656" s="25" t="s">
        <v>5632</v>
      </c>
      <c r="D656" s="25" t="s">
        <v>968</v>
      </c>
      <c r="E656" s="25" t="s">
        <v>6578</v>
      </c>
      <c r="F656" s="25" t="s">
        <v>968</v>
      </c>
      <c r="G656" s="25">
        <v>4.7894546622E8</v>
      </c>
      <c r="H656" s="25">
        <v>693140.26</v>
      </c>
      <c r="I656" s="26" t="s">
        <v>5441</v>
      </c>
      <c r="J656" s="26" t="s">
        <v>6152</v>
      </c>
      <c r="K656" s="26" t="str">
        <f t="shared" si="1"/>
        <v>ARB/CCB</v>
      </c>
      <c r="L656" s="26" t="str">
        <f t="shared" si="2"/>
        <v>Olmesartan/S-amlodipine </v>
      </c>
      <c r="M656" s="26"/>
    </row>
    <row r="657" ht="17.25" customHeight="1">
      <c r="B657" s="25" t="s">
        <v>598</v>
      </c>
      <c r="C657" s="25" t="s">
        <v>5635</v>
      </c>
      <c r="D657" s="25" t="s">
        <v>739</v>
      </c>
      <c r="E657" s="25" t="s">
        <v>6579</v>
      </c>
      <c r="F657" s="25" t="s">
        <v>739</v>
      </c>
      <c r="G657" s="25">
        <v>3898692.0</v>
      </c>
      <c r="H657" s="25">
        <v>5103.0</v>
      </c>
      <c r="I657" s="26" t="s">
        <v>5441</v>
      </c>
      <c r="J657" s="26" t="s">
        <v>6152</v>
      </c>
      <c r="K657" s="26" t="str">
        <f t="shared" si="1"/>
        <v>ARB/CCB</v>
      </c>
      <c r="L657" s="26" t="str">
        <f t="shared" si="2"/>
        <v>Fimasartan/S-amlodipine </v>
      </c>
      <c r="M657" s="26"/>
    </row>
    <row r="658" ht="17.25" customHeight="1">
      <c r="B658" s="25" t="s">
        <v>598</v>
      </c>
      <c r="C658" s="25" t="s">
        <v>5635</v>
      </c>
      <c r="D658" s="25" t="s">
        <v>761</v>
      </c>
      <c r="E658" s="25" t="s">
        <v>6565</v>
      </c>
      <c r="F658" s="25" t="s">
        <v>761</v>
      </c>
      <c r="G658" s="25">
        <v>5.143946208E7</v>
      </c>
      <c r="H658" s="25">
        <v>68403.54</v>
      </c>
      <c r="I658" s="26" t="s">
        <v>5441</v>
      </c>
      <c r="J658" s="26" t="s">
        <v>6152</v>
      </c>
      <c r="K658" s="26" t="str">
        <f t="shared" si="1"/>
        <v>ARB/CCB</v>
      </c>
      <c r="L658" s="26" t="str">
        <f t="shared" si="2"/>
        <v>Fimasartan/S-amlodipine </v>
      </c>
      <c r="M658" s="26"/>
    </row>
    <row r="659" ht="17.25" customHeight="1">
      <c r="B659" s="25" t="s">
        <v>598</v>
      </c>
      <c r="C659" s="25" t="s">
        <v>5635</v>
      </c>
      <c r="D659" s="25" t="s">
        <v>774</v>
      </c>
      <c r="E659" s="25" t="s">
        <v>6566</v>
      </c>
      <c r="F659" s="25" t="s">
        <v>774</v>
      </c>
      <c r="G659" s="25">
        <v>1.242387768E7</v>
      </c>
      <c r="H659" s="25">
        <v>16261.62</v>
      </c>
      <c r="I659" s="26" t="s">
        <v>5441</v>
      </c>
      <c r="J659" s="26" t="s">
        <v>6152</v>
      </c>
      <c r="K659" s="26" t="str">
        <f t="shared" si="1"/>
        <v>ARB/CCB</v>
      </c>
      <c r="L659" s="26" t="str">
        <f t="shared" si="2"/>
        <v>Fimasartan/S-amlodipine </v>
      </c>
      <c r="M659" s="26"/>
    </row>
    <row r="660" ht="17.25" customHeight="1">
      <c r="B660" s="25" t="s">
        <v>598</v>
      </c>
      <c r="C660" s="25" t="s">
        <v>5635</v>
      </c>
      <c r="D660" s="25" t="s">
        <v>776</v>
      </c>
      <c r="E660" s="25" t="s">
        <v>6580</v>
      </c>
      <c r="F660" s="25" t="s">
        <v>776</v>
      </c>
      <c r="G660" s="25">
        <v>4196193.6</v>
      </c>
      <c r="H660" s="25">
        <v>5492.4</v>
      </c>
      <c r="I660" s="26" t="s">
        <v>5441</v>
      </c>
      <c r="J660" s="26" t="s">
        <v>6152</v>
      </c>
      <c r="K660" s="26" t="str">
        <f t="shared" si="1"/>
        <v>ARB/CCB</v>
      </c>
      <c r="L660" s="26" t="str">
        <f t="shared" si="2"/>
        <v>Fimasartan/S-amlodipine </v>
      </c>
      <c r="M660" s="26"/>
    </row>
    <row r="661" ht="17.25" customHeight="1">
      <c r="B661" s="25" t="s">
        <v>598</v>
      </c>
      <c r="C661" s="25" t="s">
        <v>5635</v>
      </c>
      <c r="D661" s="25" t="s">
        <v>779</v>
      </c>
      <c r="E661" s="25" t="s">
        <v>6567</v>
      </c>
      <c r="F661" s="25" t="s">
        <v>779</v>
      </c>
      <c r="G661" s="25">
        <v>1.470725212E7</v>
      </c>
      <c r="H661" s="25">
        <v>19250.33</v>
      </c>
      <c r="I661" s="26" t="s">
        <v>5441</v>
      </c>
      <c r="J661" s="26" t="s">
        <v>6152</v>
      </c>
      <c r="K661" s="26" t="str">
        <f t="shared" si="1"/>
        <v>ARB/CCB</v>
      </c>
      <c r="L661" s="26" t="str">
        <f t="shared" si="2"/>
        <v>Fimasartan/S-amlodipine </v>
      </c>
      <c r="M661" s="26"/>
    </row>
    <row r="662" ht="17.25" customHeight="1">
      <c r="B662" s="25" t="s">
        <v>598</v>
      </c>
      <c r="C662" s="25" t="s">
        <v>5635</v>
      </c>
      <c r="D662" s="25" t="s">
        <v>800</v>
      </c>
      <c r="E662" s="25" t="s">
        <v>6581</v>
      </c>
      <c r="F662" s="25" t="s">
        <v>800</v>
      </c>
      <c r="G662" s="25">
        <v>8758893.28</v>
      </c>
      <c r="H662" s="25">
        <v>11464.52</v>
      </c>
      <c r="I662" s="26" t="s">
        <v>5441</v>
      </c>
      <c r="J662" s="26" t="s">
        <v>6152</v>
      </c>
      <c r="K662" s="26" t="str">
        <f t="shared" si="1"/>
        <v>ARB/CCB</v>
      </c>
      <c r="L662" s="26" t="str">
        <f t="shared" si="2"/>
        <v>Fimasartan/S-amlodipine </v>
      </c>
      <c r="M662" s="26"/>
    </row>
    <row r="663" ht="17.25" customHeight="1">
      <c r="B663" s="25" t="s">
        <v>598</v>
      </c>
      <c r="C663" s="25" t="s">
        <v>5635</v>
      </c>
      <c r="D663" s="25" t="s">
        <v>868</v>
      </c>
      <c r="E663" s="25" t="s">
        <v>6570</v>
      </c>
      <c r="F663" s="25" t="s">
        <v>868</v>
      </c>
      <c r="G663" s="25">
        <v>3529939.76</v>
      </c>
      <c r="H663" s="25">
        <v>4620.34</v>
      </c>
      <c r="I663" s="26" t="s">
        <v>5441</v>
      </c>
      <c r="J663" s="26" t="s">
        <v>6152</v>
      </c>
      <c r="K663" s="26" t="str">
        <f t="shared" si="1"/>
        <v>ARB/CCB</v>
      </c>
      <c r="L663" s="26" t="str">
        <f t="shared" si="2"/>
        <v>Fimasartan/S-amlodipine </v>
      </c>
      <c r="M663" s="26"/>
    </row>
    <row r="664" ht="17.25" customHeight="1">
      <c r="B664" s="25" t="s">
        <v>598</v>
      </c>
      <c r="C664" s="25" t="s">
        <v>5635</v>
      </c>
      <c r="D664" s="25" t="s">
        <v>732</v>
      </c>
      <c r="E664" s="25" t="s">
        <v>6582</v>
      </c>
      <c r="F664" s="25" t="s">
        <v>732</v>
      </c>
      <c r="G664" s="25">
        <v>1.371082804E7</v>
      </c>
      <c r="H664" s="25">
        <v>17946.11</v>
      </c>
      <c r="I664" s="26" t="s">
        <v>5441</v>
      </c>
      <c r="J664" s="26" t="s">
        <v>6152</v>
      </c>
      <c r="K664" s="26" t="str">
        <f t="shared" si="1"/>
        <v>ARB/CCB</v>
      </c>
      <c r="L664" s="26" t="str">
        <f t="shared" si="2"/>
        <v>Fimasartan/S-amlodipine </v>
      </c>
      <c r="M664" s="26"/>
    </row>
    <row r="665" ht="17.25" customHeight="1">
      <c r="B665" s="25" t="s">
        <v>598</v>
      </c>
      <c r="C665" s="25" t="s">
        <v>5635</v>
      </c>
      <c r="D665" s="25" t="s">
        <v>931</v>
      </c>
      <c r="E665" s="25" t="s">
        <v>6572</v>
      </c>
      <c r="F665" s="25" t="s">
        <v>931</v>
      </c>
      <c r="G665" s="25">
        <v>4001938.96</v>
      </c>
      <c r="H665" s="25">
        <v>5238.14</v>
      </c>
      <c r="I665" s="26" t="s">
        <v>5441</v>
      </c>
      <c r="J665" s="26" t="s">
        <v>6152</v>
      </c>
      <c r="K665" s="26" t="str">
        <f t="shared" si="1"/>
        <v>ARB/CCB</v>
      </c>
      <c r="L665" s="26" t="str">
        <f t="shared" si="2"/>
        <v>Fimasartan/S-amlodipine </v>
      </c>
      <c r="M665" s="26"/>
    </row>
    <row r="666" ht="17.25" customHeight="1">
      <c r="B666" s="25" t="s">
        <v>598</v>
      </c>
      <c r="C666" s="25" t="s">
        <v>5639</v>
      </c>
      <c r="D666" s="25" t="s">
        <v>828</v>
      </c>
      <c r="E666" s="25" t="s">
        <v>6583</v>
      </c>
      <c r="F666" s="25" t="s">
        <v>828</v>
      </c>
      <c r="G666" s="25">
        <v>1.9365734648E8</v>
      </c>
      <c r="H666" s="25">
        <v>218234.98</v>
      </c>
      <c r="I666" s="26" t="s">
        <v>5441</v>
      </c>
      <c r="J666" s="26" t="s">
        <v>6152</v>
      </c>
      <c r="K666" s="26" t="str">
        <f t="shared" si="1"/>
        <v>ARB/CCB</v>
      </c>
      <c r="L666" s="26" t="str">
        <f t="shared" si="2"/>
        <v>Valsartan/S-amlodipine </v>
      </c>
      <c r="M666" s="26"/>
    </row>
    <row r="667" ht="17.25" customHeight="1">
      <c r="B667" s="25" t="s">
        <v>598</v>
      </c>
      <c r="C667" s="25" t="s">
        <v>5639</v>
      </c>
      <c r="D667" s="25" t="s">
        <v>830</v>
      </c>
      <c r="E667" s="25" t="s">
        <v>6584</v>
      </c>
      <c r="F667" s="25" t="s">
        <v>830</v>
      </c>
      <c r="G667" s="25">
        <v>1.4973201189E9</v>
      </c>
      <c r="H667" s="25">
        <v>1682314.57</v>
      </c>
      <c r="I667" s="26" t="s">
        <v>5441</v>
      </c>
      <c r="J667" s="26" t="s">
        <v>6152</v>
      </c>
      <c r="K667" s="26" t="str">
        <f t="shared" si="1"/>
        <v>ARB/CCB</v>
      </c>
      <c r="L667" s="26" t="str">
        <f t="shared" si="2"/>
        <v>Valsartan/S-amlodipine </v>
      </c>
      <c r="M667" s="26"/>
    </row>
    <row r="668" ht="17.25" customHeight="1">
      <c r="B668" s="25" t="s">
        <v>598</v>
      </c>
      <c r="C668" s="25" t="s">
        <v>5643</v>
      </c>
      <c r="D668" s="25" t="s">
        <v>739</v>
      </c>
      <c r="E668" s="25" t="s">
        <v>6579</v>
      </c>
      <c r="F668" s="25" t="s">
        <v>739</v>
      </c>
      <c r="G668" s="25">
        <v>5181190.4</v>
      </c>
      <c r="H668" s="25">
        <v>9666.4</v>
      </c>
      <c r="I668" s="26" t="s">
        <v>5441</v>
      </c>
      <c r="J668" s="26" t="s">
        <v>6152</v>
      </c>
      <c r="K668" s="26" t="str">
        <f t="shared" si="1"/>
        <v>ARB/CCB</v>
      </c>
      <c r="L668" s="26" t="str">
        <f t="shared" si="2"/>
        <v>Fimasartan/S-amlodipine </v>
      </c>
      <c r="M668" s="26"/>
    </row>
    <row r="669" ht="17.25" customHeight="1">
      <c r="B669" s="25" t="s">
        <v>598</v>
      </c>
      <c r="C669" s="25" t="s">
        <v>5643</v>
      </c>
      <c r="D669" s="25" t="s">
        <v>761</v>
      </c>
      <c r="E669" s="25" t="s">
        <v>6565</v>
      </c>
      <c r="F669" s="25" t="s">
        <v>761</v>
      </c>
      <c r="G669" s="25">
        <v>7.14475404E7</v>
      </c>
      <c r="H669" s="25">
        <v>133297.65</v>
      </c>
      <c r="I669" s="26" t="s">
        <v>5441</v>
      </c>
      <c r="J669" s="26" t="s">
        <v>6152</v>
      </c>
      <c r="K669" s="26" t="str">
        <f t="shared" si="1"/>
        <v>ARB/CCB</v>
      </c>
      <c r="L669" s="26" t="str">
        <f t="shared" si="2"/>
        <v>Fimasartan/S-amlodipine </v>
      </c>
      <c r="M669" s="26"/>
    </row>
    <row r="670" ht="17.25" customHeight="1">
      <c r="B670" s="25" t="s">
        <v>598</v>
      </c>
      <c r="C670" s="25" t="s">
        <v>5643</v>
      </c>
      <c r="D670" s="25" t="s">
        <v>774</v>
      </c>
      <c r="E670" s="25" t="s">
        <v>6566</v>
      </c>
      <c r="F670" s="25" t="s">
        <v>774</v>
      </c>
      <c r="G670" s="25">
        <v>1.842094706E7</v>
      </c>
      <c r="H670" s="25">
        <v>29193.26</v>
      </c>
      <c r="I670" s="26" t="s">
        <v>5441</v>
      </c>
      <c r="J670" s="26" t="s">
        <v>6152</v>
      </c>
      <c r="K670" s="26" t="str">
        <f t="shared" si="1"/>
        <v>ARB/CCB</v>
      </c>
      <c r="L670" s="26" t="str">
        <f t="shared" si="2"/>
        <v>Fimasartan/S-amlodipine </v>
      </c>
      <c r="M670" s="26"/>
    </row>
    <row r="671" ht="17.25" customHeight="1">
      <c r="B671" s="25" t="s">
        <v>598</v>
      </c>
      <c r="C671" s="25" t="s">
        <v>5643</v>
      </c>
      <c r="D671" s="25" t="s">
        <v>776</v>
      </c>
      <c r="E671" s="25" t="s">
        <v>6580</v>
      </c>
      <c r="F671" s="25" t="s">
        <v>776</v>
      </c>
      <c r="G671" s="25">
        <v>4746982.16</v>
      </c>
      <c r="H671" s="25">
        <v>8856.31</v>
      </c>
      <c r="I671" s="26" t="s">
        <v>5441</v>
      </c>
      <c r="J671" s="26" t="s">
        <v>6152</v>
      </c>
      <c r="K671" s="26" t="str">
        <f t="shared" si="1"/>
        <v>ARB/CCB</v>
      </c>
      <c r="L671" s="26" t="str">
        <f t="shared" si="2"/>
        <v>Fimasartan/S-amlodipine </v>
      </c>
      <c r="M671" s="26"/>
    </row>
    <row r="672" ht="17.25" customHeight="1">
      <c r="B672" s="25" t="s">
        <v>598</v>
      </c>
      <c r="C672" s="25" t="s">
        <v>5643</v>
      </c>
      <c r="D672" s="25" t="s">
        <v>779</v>
      </c>
      <c r="E672" s="25" t="s">
        <v>6567</v>
      </c>
      <c r="F672" s="25" t="s">
        <v>779</v>
      </c>
      <c r="G672" s="25">
        <v>8096633.76</v>
      </c>
      <c r="H672" s="25">
        <v>15105.66</v>
      </c>
      <c r="I672" s="26" t="s">
        <v>5441</v>
      </c>
      <c r="J672" s="26" t="s">
        <v>6152</v>
      </c>
      <c r="K672" s="26" t="str">
        <f t="shared" si="1"/>
        <v>ARB/CCB</v>
      </c>
      <c r="L672" s="26" t="str">
        <f t="shared" si="2"/>
        <v>Fimasartan/S-amlodipine </v>
      </c>
      <c r="M672" s="26"/>
    </row>
    <row r="673" ht="17.25" customHeight="1">
      <c r="B673" s="25" t="s">
        <v>598</v>
      </c>
      <c r="C673" s="25" t="s">
        <v>5643</v>
      </c>
      <c r="D673" s="25" t="s">
        <v>800</v>
      </c>
      <c r="E673" s="25" t="s">
        <v>6581</v>
      </c>
      <c r="F673" s="25" t="s">
        <v>800</v>
      </c>
      <c r="G673" s="25">
        <v>1.067896384E7</v>
      </c>
      <c r="H673" s="25">
        <v>19923.44</v>
      </c>
      <c r="I673" s="26" t="s">
        <v>5441</v>
      </c>
      <c r="J673" s="26" t="s">
        <v>6152</v>
      </c>
      <c r="K673" s="26" t="str">
        <f t="shared" si="1"/>
        <v>ARB/CCB</v>
      </c>
      <c r="L673" s="26" t="str">
        <f t="shared" si="2"/>
        <v>Fimasartan/S-amlodipine </v>
      </c>
      <c r="M673" s="26"/>
    </row>
    <row r="674" ht="17.25" customHeight="1">
      <c r="B674" s="25" t="s">
        <v>598</v>
      </c>
      <c r="C674" s="25" t="s">
        <v>5643</v>
      </c>
      <c r="D674" s="25" t="s">
        <v>834</v>
      </c>
      <c r="E674" s="25" t="s">
        <v>6568</v>
      </c>
      <c r="F674" s="25" t="s">
        <v>834</v>
      </c>
      <c r="G674" s="25">
        <v>3.516239928E7</v>
      </c>
      <c r="H674" s="25">
        <v>55724.88</v>
      </c>
      <c r="I674" s="26" t="s">
        <v>5441</v>
      </c>
      <c r="J674" s="26" t="s">
        <v>6152</v>
      </c>
      <c r="K674" s="26" t="str">
        <f t="shared" si="1"/>
        <v>ARB/CCB</v>
      </c>
      <c r="L674" s="26" t="str">
        <f t="shared" si="2"/>
        <v>Fimasartan/S-amlodipine </v>
      </c>
      <c r="M674" s="26"/>
    </row>
    <row r="675" ht="17.25" customHeight="1">
      <c r="B675" s="25" t="s">
        <v>598</v>
      </c>
      <c r="C675" s="25" t="s">
        <v>5643</v>
      </c>
      <c r="D675" s="25" t="s">
        <v>868</v>
      </c>
      <c r="E675" s="25" t="s">
        <v>6570</v>
      </c>
      <c r="F675" s="25" t="s">
        <v>868</v>
      </c>
      <c r="G675" s="25">
        <v>3017851.52</v>
      </c>
      <c r="H675" s="25">
        <v>5630.32</v>
      </c>
      <c r="I675" s="26" t="s">
        <v>5441</v>
      </c>
      <c r="J675" s="26" t="s">
        <v>6152</v>
      </c>
      <c r="K675" s="26" t="str">
        <f t="shared" si="1"/>
        <v>ARB/CCB</v>
      </c>
      <c r="L675" s="26" t="str">
        <f t="shared" si="2"/>
        <v>Fimasartan/S-amlodipine </v>
      </c>
      <c r="M675" s="26"/>
    </row>
    <row r="676" ht="17.25" customHeight="1">
      <c r="B676" s="25" t="s">
        <v>598</v>
      </c>
      <c r="C676" s="25" t="s">
        <v>5643</v>
      </c>
      <c r="D676" s="25" t="s">
        <v>732</v>
      </c>
      <c r="E676" s="25" t="s">
        <v>6582</v>
      </c>
      <c r="F676" s="25" t="s">
        <v>732</v>
      </c>
      <c r="G676" s="25">
        <v>1.115150144E7</v>
      </c>
      <c r="H676" s="25">
        <v>20805.04</v>
      </c>
      <c r="I676" s="26" t="s">
        <v>5441</v>
      </c>
      <c r="J676" s="26" t="s">
        <v>6152</v>
      </c>
      <c r="K676" s="26" t="str">
        <f t="shared" si="1"/>
        <v>ARB/CCB</v>
      </c>
      <c r="L676" s="26" t="str">
        <f t="shared" si="2"/>
        <v>Fimasartan/S-amlodipine </v>
      </c>
      <c r="M676" s="26"/>
    </row>
    <row r="677" ht="17.25" customHeight="1">
      <c r="B677" s="25" t="s">
        <v>598</v>
      </c>
      <c r="C677" s="25" t="s">
        <v>5643</v>
      </c>
      <c r="D677" s="25" t="s">
        <v>734</v>
      </c>
      <c r="E677" s="25" t="s">
        <v>6585</v>
      </c>
      <c r="F677" s="25" t="s">
        <v>734</v>
      </c>
      <c r="G677" s="25">
        <v>3538286.08</v>
      </c>
      <c r="H677" s="25">
        <v>6601.28</v>
      </c>
      <c r="I677" s="26" t="s">
        <v>5441</v>
      </c>
      <c r="J677" s="26" t="s">
        <v>6152</v>
      </c>
      <c r="K677" s="26" t="str">
        <f t="shared" si="1"/>
        <v>ARB/CCB</v>
      </c>
      <c r="L677" s="26" t="str">
        <f t="shared" si="2"/>
        <v>Fimasartan/S-amlodipine </v>
      </c>
      <c r="M677" s="26"/>
    </row>
    <row r="678" ht="17.25" customHeight="1">
      <c r="B678" s="25" t="s">
        <v>598</v>
      </c>
      <c r="C678" s="25" t="s">
        <v>5643</v>
      </c>
      <c r="D678" s="25" t="s">
        <v>900</v>
      </c>
      <c r="E678" s="25" t="s">
        <v>6586</v>
      </c>
      <c r="F678" s="25" t="s">
        <v>900</v>
      </c>
      <c r="G678" s="25">
        <v>3378944.0</v>
      </c>
      <c r="H678" s="25">
        <v>6304.0</v>
      </c>
      <c r="I678" s="26" t="s">
        <v>5441</v>
      </c>
      <c r="J678" s="26" t="s">
        <v>6152</v>
      </c>
      <c r="K678" s="26" t="str">
        <f t="shared" si="1"/>
        <v>ARB/CCB</v>
      </c>
      <c r="L678" s="26" t="str">
        <f t="shared" si="2"/>
        <v>Fimasartan/S-amlodipine </v>
      </c>
      <c r="M678" s="26"/>
    </row>
    <row r="679" ht="17.25" customHeight="1">
      <c r="B679" s="25" t="s">
        <v>598</v>
      </c>
      <c r="C679" s="25" t="s">
        <v>5643</v>
      </c>
      <c r="D679" s="25" t="s">
        <v>717</v>
      </c>
      <c r="E679" s="25" t="s">
        <v>6571</v>
      </c>
      <c r="F679" s="25" t="s">
        <v>717</v>
      </c>
      <c r="G679" s="25">
        <v>739027.2</v>
      </c>
      <c r="H679" s="25">
        <v>1171.2</v>
      </c>
      <c r="I679" s="26" t="s">
        <v>5441</v>
      </c>
      <c r="J679" s="26" t="s">
        <v>6152</v>
      </c>
      <c r="K679" s="26" t="str">
        <f t="shared" si="1"/>
        <v>ARB/CCB</v>
      </c>
      <c r="L679" s="26" t="str">
        <f t="shared" si="2"/>
        <v>Fimasartan/S-amlodipine </v>
      </c>
      <c r="M679" s="26"/>
    </row>
    <row r="680" ht="17.25" customHeight="1">
      <c r="B680" s="25" t="s">
        <v>598</v>
      </c>
      <c r="C680" s="25" t="s">
        <v>5643</v>
      </c>
      <c r="D680" s="25" t="s">
        <v>915</v>
      </c>
      <c r="E680" s="25" t="s">
        <v>6587</v>
      </c>
      <c r="F680" s="25" t="s">
        <v>915</v>
      </c>
      <c r="G680" s="25">
        <v>2778141.6</v>
      </c>
      <c r="H680" s="25">
        <v>5183.1</v>
      </c>
      <c r="I680" s="26" t="s">
        <v>5441</v>
      </c>
      <c r="J680" s="26" t="s">
        <v>6152</v>
      </c>
      <c r="K680" s="26" t="str">
        <f t="shared" si="1"/>
        <v>ARB/CCB</v>
      </c>
      <c r="L680" s="26" t="str">
        <f t="shared" si="2"/>
        <v>Fimasartan/S-amlodipine </v>
      </c>
      <c r="M680" s="26"/>
    </row>
    <row r="681" ht="17.25" customHeight="1">
      <c r="B681" s="25" t="s">
        <v>598</v>
      </c>
      <c r="C681" s="25" t="s">
        <v>5643</v>
      </c>
      <c r="D681" s="25" t="s">
        <v>931</v>
      </c>
      <c r="E681" s="25" t="s">
        <v>6572</v>
      </c>
      <c r="F681" s="25" t="s">
        <v>931</v>
      </c>
      <c r="G681" s="25">
        <v>6062964.0</v>
      </c>
      <c r="H681" s="25">
        <v>11311.5</v>
      </c>
      <c r="I681" s="26" t="s">
        <v>5441</v>
      </c>
      <c r="J681" s="26" t="s">
        <v>6152</v>
      </c>
      <c r="K681" s="26" t="str">
        <f t="shared" si="1"/>
        <v>ARB/CCB</v>
      </c>
      <c r="L681" s="26" t="str">
        <f t="shared" si="2"/>
        <v>Fimasartan/S-amlodipine </v>
      </c>
      <c r="M681" s="26"/>
    </row>
    <row r="682" ht="17.25" customHeight="1">
      <c r="B682" s="25" t="s">
        <v>598</v>
      </c>
      <c r="C682" s="25" t="s">
        <v>5643</v>
      </c>
      <c r="D682" s="25" t="s">
        <v>736</v>
      </c>
      <c r="E682" s="25" t="s">
        <v>6573</v>
      </c>
      <c r="F682" s="25" t="s">
        <v>736</v>
      </c>
      <c r="G682" s="25">
        <v>509999.44</v>
      </c>
      <c r="H682" s="25">
        <v>808.24</v>
      </c>
      <c r="I682" s="26" t="s">
        <v>5441</v>
      </c>
      <c r="J682" s="26" t="s">
        <v>6152</v>
      </c>
      <c r="K682" s="26" t="str">
        <f t="shared" si="1"/>
        <v>ARB/CCB</v>
      </c>
      <c r="L682" s="26" t="str">
        <f t="shared" si="2"/>
        <v>Fimasartan/S-amlodipine </v>
      </c>
      <c r="M682" s="26"/>
    </row>
    <row r="683" ht="17.25" customHeight="1">
      <c r="B683" s="25" t="s">
        <v>598</v>
      </c>
      <c r="C683" s="25" t="s">
        <v>5646</v>
      </c>
      <c r="D683" s="25" t="s">
        <v>880</v>
      </c>
      <c r="E683" s="25" t="s">
        <v>6588</v>
      </c>
      <c r="F683" s="25" t="s">
        <v>880</v>
      </c>
      <c r="G683" s="25">
        <v>5.97510229308E9</v>
      </c>
      <c r="H683" s="25">
        <v>8180416.22</v>
      </c>
      <c r="I683" s="26" t="s">
        <v>5441</v>
      </c>
      <c r="J683" s="26" t="s">
        <v>6152</v>
      </c>
      <c r="K683" s="26" t="str">
        <f t="shared" si="1"/>
        <v>ARB/CCB</v>
      </c>
      <c r="L683" s="26" t="str">
        <f t="shared" si="2"/>
        <v>Telmisartan/S-amlodipine </v>
      </c>
      <c r="M683" s="26"/>
    </row>
    <row r="684" ht="17.25" customHeight="1">
      <c r="B684" s="25" t="s">
        <v>598</v>
      </c>
      <c r="C684" s="25" t="s">
        <v>6101</v>
      </c>
      <c r="D684" s="25" t="s">
        <v>880</v>
      </c>
      <c r="E684" s="25" t="s">
        <v>6588</v>
      </c>
      <c r="F684" s="25" t="s">
        <v>880</v>
      </c>
      <c r="G684" s="25">
        <v>1.176769493E8</v>
      </c>
      <c r="H684" s="25">
        <v>222451.7</v>
      </c>
      <c r="I684" s="26" t="s">
        <v>5441</v>
      </c>
      <c r="J684" s="26" t="s">
        <v>6152</v>
      </c>
      <c r="K684" s="26" t="str">
        <f t="shared" si="1"/>
        <v>ARB/CCB</v>
      </c>
      <c r="L684" s="26" t="str">
        <f t="shared" si="2"/>
        <v>Telmisartan/s-amlodipine </v>
      </c>
      <c r="M684" s="26"/>
    </row>
    <row r="685" ht="17.25" customHeight="1">
      <c r="B685" s="25" t="s">
        <v>598</v>
      </c>
      <c r="C685" s="25" t="s">
        <v>5650</v>
      </c>
      <c r="D685" s="25" t="s">
        <v>968</v>
      </c>
      <c r="E685" s="25" t="s">
        <v>6589</v>
      </c>
      <c r="F685" s="25" t="s">
        <v>968</v>
      </c>
      <c r="G685" s="25">
        <v>3.2655681096E8</v>
      </c>
      <c r="H685" s="25">
        <v>427865.38</v>
      </c>
      <c r="I685" s="26" t="s">
        <v>5441</v>
      </c>
      <c r="J685" s="26" t="s">
        <v>6152</v>
      </c>
      <c r="K685" s="26" t="str">
        <f t="shared" si="1"/>
        <v>ARB/CCB</v>
      </c>
      <c r="L685" s="26" t="str">
        <f t="shared" si="2"/>
        <v>Telmisartan/S-amlodipine </v>
      </c>
      <c r="M685" s="26"/>
    </row>
    <row r="686" ht="17.25" customHeight="1">
      <c r="B686" s="25" t="s">
        <v>600</v>
      </c>
      <c r="C686" s="25" t="s">
        <v>1614</v>
      </c>
      <c r="D686" s="25" t="s">
        <v>1139</v>
      </c>
      <c r="E686" s="25" t="s">
        <v>1615</v>
      </c>
      <c r="F686" s="25" t="s">
        <v>1139</v>
      </c>
      <c r="G686" s="25">
        <v>1.3263603456E8</v>
      </c>
      <c r="H686" s="25">
        <v>345406.38</v>
      </c>
      <c r="I686" s="26" t="s">
        <v>5441</v>
      </c>
      <c r="J686" s="26" t="s">
        <v>5442</v>
      </c>
      <c r="K686" s="26" t="str">
        <f t="shared" si="1"/>
        <v>CCB</v>
      </c>
      <c r="L686" s="26" t="str">
        <f t="shared" si="2"/>
        <v>Amlodipine </v>
      </c>
      <c r="M686" s="26"/>
    </row>
    <row r="687" ht="17.25" customHeight="1">
      <c r="B687" s="25" t="s">
        <v>600</v>
      </c>
      <c r="C687" s="25" t="s">
        <v>1618</v>
      </c>
      <c r="D687" s="25" t="s">
        <v>739</v>
      </c>
      <c r="E687" s="25" t="s">
        <v>1619</v>
      </c>
      <c r="F687" s="25" t="s">
        <v>739</v>
      </c>
      <c r="G687" s="25">
        <v>8065315.44</v>
      </c>
      <c r="H687" s="25">
        <v>25850.37</v>
      </c>
      <c r="I687" s="26" t="s">
        <v>5441</v>
      </c>
      <c r="J687" s="26" t="s">
        <v>5442</v>
      </c>
      <c r="K687" s="26" t="str">
        <f t="shared" si="1"/>
        <v>CCB</v>
      </c>
      <c r="L687" s="26" t="str">
        <f t="shared" si="2"/>
        <v>Amlodipine </v>
      </c>
      <c r="M687" s="26"/>
    </row>
    <row r="688" ht="17.25" customHeight="1">
      <c r="B688" s="25" t="s">
        <v>600</v>
      </c>
      <c r="C688" s="25" t="s">
        <v>1618</v>
      </c>
      <c r="D688" s="25" t="s">
        <v>742</v>
      </c>
      <c r="E688" s="25" t="s">
        <v>1620</v>
      </c>
      <c r="F688" s="25" t="s">
        <v>742</v>
      </c>
      <c r="G688" s="25">
        <v>6.599607456E7</v>
      </c>
      <c r="H688" s="25">
        <v>211525.88</v>
      </c>
      <c r="I688" s="26" t="s">
        <v>5441</v>
      </c>
      <c r="J688" s="26" t="s">
        <v>5442</v>
      </c>
      <c r="K688" s="26" t="str">
        <f t="shared" si="1"/>
        <v>CCB</v>
      </c>
      <c r="L688" s="26" t="str">
        <f t="shared" si="2"/>
        <v>Amlodipine </v>
      </c>
      <c r="M688" s="26"/>
    </row>
    <row r="689" ht="17.25" customHeight="1">
      <c r="B689" s="25" t="s">
        <v>600</v>
      </c>
      <c r="C689" s="25" t="s">
        <v>1618</v>
      </c>
      <c r="D689" s="25" t="s">
        <v>749</v>
      </c>
      <c r="E689" s="25" t="s">
        <v>1621</v>
      </c>
      <c r="F689" s="25" t="s">
        <v>749</v>
      </c>
      <c r="G689" s="25">
        <v>1.539784248E8</v>
      </c>
      <c r="H689" s="25">
        <v>452877.78</v>
      </c>
      <c r="I689" s="26" t="s">
        <v>5441</v>
      </c>
      <c r="J689" s="26" t="s">
        <v>5442</v>
      </c>
      <c r="K689" s="26" t="str">
        <f t="shared" si="1"/>
        <v>CCB</v>
      </c>
      <c r="L689" s="26" t="str">
        <f t="shared" si="2"/>
        <v>Amlodipine </v>
      </c>
      <c r="M689" s="26"/>
    </row>
    <row r="690" ht="17.25" customHeight="1">
      <c r="B690" s="25" t="s">
        <v>600</v>
      </c>
      <c r="C690" s="25" t="s">
        <v>1618</v>
      </c>
      <c r="D690" s="25" t="s">
        <v>753</v>
      </c>
      <c r="E690" s="25" t="s">
        <v>1622</v>
      </c>
      <c r="F690" s="25" t="s">
        <v>753</v>
      </c>
      <c r="G690" s="25">
        <v>1170246.48</v>
      </c>
      <c r="H690" s="25">
        <v>3750.79</v>
      </c>
      <c r="I690" s="26" t="s">
        <v>5441</v>
      </c>
      <c r="J690" s="26" t="s">
        <v>5442</v>
      </c>
      <c r="K690" s="26" t="str">
        <f t="shared" si="1"/>
        <v>CCB</v>
      </c>
      <c r="L690" s="26" t="str">
        <f t="shared" si="2"/>
        <v>Amlodipine </v>
      </c>
      <c r="M690" s="26"/>
    </row>
    <row r="691" ht="17.25" customHeight="1">
      <c r="B691" s="25" t="s">
        <v>600</v>
      </c>
      <c r="C691" s="25" t="s">
        <v>1618</v>
      </c>
      <c r="D691" s="25" t="s">
        <v>757</v>
      </c>
      <c r="E691" s="25" t="s">
        <v>1623</v>
      </c>
      <c r="F691" s="25" t="s">
        <v>757</v>
      </c>
      <c r="G691" s="25">
        <v>2.146527552E7</v>
      </c>
      <c r="H691" s="25">
        <v>68798.96</v>
      </c>
      <c r="I691" s="26" t="s">
        <v>5441</v>
      </c>
      <c r="J691" s="26" t="s">
        <v>5442</v>
      </c>
      <c r="K691" s="26" t="str">
        <f t="shared" si="1"/>
        <v>CCB</v>
      </c>
      <c r="L691" s="26" t="str">
        <f t="shared" si="2"/>
        <v>Amlodipine </v>
      </c>
      <c r="M691" s="26"/>
    </row>
    <row r="692" ht="17.25" customHeight="1">
      <c r="B692" s="25" t="s">
        <v>600</v>
      </c>
      <c r="C692" s="25" t="s">
        <v>1618</v>
      </c>
      <c r="D692" s="25" t="s">
        <v>761</v>
      </c>
      <c r="E692" s="25" t="s">
        <v>1624</v>
      </c>
      <c r="F692" s="25" t="s">
        <v>761</v>
      </c>
      <c r="G692" s="25">
        <v>1.8864185028E8</v>
      </c>
      <c r="H692" s="25">
        <v>604621.33</v>
      </c>
      <c r="I692" s="26" t="s">
        <v>5441</v>
      </c>
      <c r="J692" s="26" t="s">
        <v>5442</v>
      </c>
      <c r="K692" s="26" t="str">
        <f t="shared" si="1"/>
        <v>CCB</v>
      </c>
      <c r="L692" s="26" t="str">
        <f t="shared" si="2"/>
        <v>Amlodipine </v>
      </c>
      <c r="M692" s="26"/>
    </row>
    <row r="693" ht="17.25" customHeight="1">
      <c r="B693" s="25" t="s">
        <v>600</v>
      </c>
      <c r="C693" s="25" t="s">
        <v>1618</v>
      </c>
      <c r="D693" s="25" t="s">
        <v>765</v>
      </c>
      <c r="E693" s="25" t="s">
        <v>1625</v>
      </c>
      <c r="F693" s="25" t="s">
        <v>765</v>
      </c>
      <c r="G693" s="25">
        <v>4.485106548E7</v>
      </c>
      <c r="H693" s="25">
        <v>143753.43</v>
      </c>
      <c r="I693" s="26" t="s">
        <v>5441</v>
      </c>
      <c r="J693" s="26" t="s">
        <v>5442</v>
      </c>
      <c r="K693" s="26" t="str">
        <f t="shared" si="1"/>
        <v>CCB</v>
      </c>
      <c r="L693" s="26" t="str">
        <f t="shared" si="2"/>
        <v>Amlodipine </v>
      </c>
      <c r="M693" s="26"/>
    </row>
    <row r="694" ht="17.25" customHeight="1">
      <c r="B694" s="25" t="s">
        <v>600</v>
      </c>
      <c r="C694" s="25" t="s">
        <v>1618</v>
      </c>
      <c r="D694" s="25" t="s">
        <v>770</v>
      </c>
      <c r="E694" s="25" t="s">
        <v>1626</v>
      </c>
      <c r="F694" s="25" t="s">
        <v>770</v>
      </c>
      <c r="G694" s="25">
        <v>6.353449596E7</v>
      </c>
      <c r="H694" s="25">
        <v>203636.26</v>
      </c>
      <c r="I694" s="26" t="s">
        <v>5441</v>
      </c>
      <c r="J694" s="26" t="s">
        <v>5442</v>
      </c>
      <c r="K694" s="26" t="str">
        <f t="shared" si="1"/>
        <v>CCB</v>
      </c>
      <c r="L694" s="26" t="str">
        <f t="shared" si="2"/>
        <v>Amlodipine </v>
      </c>
      <c r="M694" s="26"/>
    </row>
    <row r="695" ht="17.25" customHeight="1">
      <c r="B695" s="25" t="s">
        <v>600</v>
      </c>
      <c r="C695" s="25" t="s">
        <v>1618</v>
      </c>
      <c r="D695" s="25" t="s">
        <v>776</v>
      </c>
      <c r="E695" s="25" t="s">
        <v>1627</v>
      </c>
      <c r="F695" s="25" t="s">
        <v>776</v>
      </c>
      <c r="G695" s="25">
        <v>7.925274683E7</v>
      </c>
      <c r="H695" s="25">
        <v>276141.98</v>
      </c>
      <c r="I695" s="26" t="s">
        <v>5441</v>
      </c>
      <c r="J695" s="26" t="s">
        <v>5442</v>
      </c>
      <c r="K695" s="26" t="str">
        <f t="shared" si="1"/>
        <v>CCB</v>
      </c>
      <c r="L695" s="26" t="str">
        <f t="shared" si="2"/>
        <v>Amlodipine </v>
      </c>
      <c r="M695" s="26"/>
    </row>
    <row r="696" ht="17.25" customHeight="1">
      <c r="B696" s="25" t="s">
        <v>600</v>
      </c>
      <c r="C696" s="25" t="s">
        <v>1618</v>
      </c>
      <c r="D696" s="25" t="s">
        <v>1098</v>
      </c>
      <c r="E696" s="25" t="s">
        <v>1628</v>
      </c>
      <c r="F696" s="25" t="s">
        <v>1098</v>
      </c>
      <c r="G696" s="25">
        <v>1072621.68</v>
      </c>
      <c r="H696" s="25">
        <v>3437.89</v>
      </c>
      <c r="I696" s="26" t="s">
        <v>5441</v>
      </c>
      <c r="J696" s="26" t="s">
        <v>5442</v>
      </c>
      <c r="K696" s="26" t="str">
        <f t="shared" si="1"/>
        <v>CCB</v>
      </c>
      <c r="L696" s="26" t="str">
        <f t="shared" si="2"/>
        <v>Amlodipine </v>
      </c>
      <c r="M696" s="26"/>
    </row>
    <row r="697" ht="17.25" customHeight="1">
      <c r="B697" s="25" t="s">
        <v>600</v>
      </c>
      <c r="C697" s="25" t="s">
        <v>1618</v>
      </c>
      <c r="D697" s="25" t="s">
        <v>720</v>
      </c>
      <c r="E697" s="25" t="s">
        <v>1629</v>
      </c>
      <c r="F697" s="25" t="s">
        <v>720</v>
      </c>
      <c r="G697" s="25">
        <v>6.939679302E7</v>
      </c>
      <c r="H697" s="25">
        <v>193487.1</v>
      </c>
      <c r="I697" s="26" t="s">
        <v>5441</v>
      </c>
      <c r="J697" s="26" t="s">
        <v>5442</v>
      </c>
      <c r="K697" s="26" t="str">
        <f t="shared" si="1"/>
        <v>CCB</v>
      </c>
      <c r="L697" s="26" t="str">
        <f t="shared" si="2"/>
        <v>Amlodipine </v>
      </c>
      <c r="M697" s="26"/>
    </row>
    <row r="698" ht="17.25" customHeight="1">
      <c r="B698" s="25" t="s">
        <v>600</v>
      </c>
      <c r="C698" s="25" t="s">
        <v>1618</v>
      </c>
      <c r="D698" s="25" t="s">
        <v>779</v>
      </c>
      <c r="E698" s="25" t="s">
        <v>1630</v>
      </c>
      <c r="F698" s="25" t="s">
        <v>779</v>
      </c>
      <c r="G698" s="25">
        <v>1.121866356E7</v>
      </c>
      <c r="H698" s="25">
        <v>35957.26</v>
      </c>
      <c r="I698" s="26" t="s">
        <v>5441</v>
      </c>
      <c r="J698" s="26" t="s">
        <v>5442</v>
      </c>
      <c r="K698" s="26" t="str">
        <f t="shared" si="1"/>
        <v>CCB</v>
      </c>
      <c r="L698" s="26" t="str">
        <f t="shared" si="2"/>
        <v>Amlodipine </v>
      </c>
      <c r="M698" s="26"/>
    </row>
    <row r="699" ht="17.25" customHeight="1">
      <c r="B699" s="25" t="s">
        <v>600</v>
      </c>
      <c r="C699" s="25" t="s">
        <v>1618</v>
      </c>
      <c r="D699" s="25" t="s">
        <v>783</v>
      </c>
      <c r="E699" s="25" t="s">
        <v>1631</v>
      </c>
      <c r="F699" s="25" t="s">
        <v>783</v>
      </c>
      <c r="G699" s="25">
        <v>2.58668748E7</v>
      </c>
      <c r="H699" s="25">
        <v>82906.65</v>
      </c>
      <c r="I699" s="26" t="s">
        <v>5441</v>
      </c>
      <c r="J699" s="26" t="s">
        <v>5442</v>
      </c>
      <c r="K699" s="26" t="str">
        <f t="shared" si="1"/>
        <v>CCB</v>
      </c>
      <c r="L699" s="26" t="str">
        <f t="shared" si="2"/>
        <v>Amlodipine </v>
      </c>
      <c r="M699" s="26"/>
    </row>
    <row r="700" ht="17.25" customHeight="1">
      <c r="B700" s="25" t="s">
        <v>600</v>
      </c>
      <c r="C700" s="25" t="s">
        <v>1618</v>
      </c>
      <c r="D700" s="25" t="s">
        <v>708</v>
      </c>
      <c r="E700" s="25" t="s">
        <v>1632</v>
      </c>
      <c r="F700" s="25" t="s">
        <v>708</v>
      </c>
      <c r="G700" s="25">
        <v>2.2018147319E8</v>
      </c>
      <c r="H700" s="25">
        <v>683793.44</v>
      </c>
      <c r="I700" s="26" t="s">
        <v>5441</v>
      </c>
      <c r="J700" s="26" t="s">
        <v>5442</v>
      </c>
      <c r="K700" s="26" t="str">
        <f t="shared" si="1"/>
        <v>CCB</v>
      </c>
      <c r="L700" s="26" t="str">
        <f t="shared" si="2"/>
        <v>Amlodipine </v>
      </c>
      <c r="M700" s="26"/>
    </row>
    <row r="701" ht="17.25" customHeight="1">
      <c r="B701" s="25" t="s">
        <v>600</v>
      </c>
      <c r="C701" s="25" t="s">
        <v>1618</v>
      </c>
      <c r="D701" s="25" t="s">
        <v>1109</v>
      </c>
      <c r="E701" s="25" t="s">
        <v>1633</v>
      </c>
      <c r="F701" s="25" t="s">
        <v>1109</v>
      </c>
      <c r="G701" s="25">
        <v>8966128.08</v>
      </c>
      <c r="H701" s="25">
        <v>28737.59</v>
      </c>
      <c r="I701" s="26" t="s">
        <v>5441</v>
      </c>
      <c r="J701" s="26" t="s">
        <v>5442</v>
      </c>
      <c r="K701" s="26" t="str">
        <f t="shared" si="1"/>
        <v>CCB</v>
      </c>
      <c r="L701" s="26" t="str">
        <f t="shared" si="2"/>
        <v>Amlodipine </v>
      </c>
      <c r="M701" s="26"/>
    </row>
    <row r="702" ht="17.25" customHeight="1">
      <c r="B702" s="25" t="s">
        <v>600</v>
      </c>
      <c r="C702" s="25" t="s">
        <v>1618</v>
      </c>
      <c r="D702" s="25" t="s">
        <v>786</v>
      </c>
      <c r="E702" s="25" t="s">
        <v>1634</v>
      </c>
      <c r="F702" s="25" t="s">
        <v>786</v>
      </c>
      <c r="G702" s="25">
        <v>9.335476622E7</v>
      </c>
      <c r="H702" s="25">
        <v>254372.66</v>
      </c>
      <c r="I702" s="26" t="s">
        <v>5441</v>
      </c>
      <c r="J702" s="26" t="s">
        <v>5442</v>
      </c>
      <c r="K702" s="26" t="str">
        <f t="shared" si="1"/>
        <v>CCB</v>
      </c>
      <c r="L702" s="26" t="str">
        <f t="shared" si="2"/>
        <v>Amlodipine </v>
      </c>
      <c r="M702" s="26"/>
    </row>
    <row r="703" ht="17.25" customHeight="1">
      <c r="B703" s="25" t="s">
        <v>600</v>
      </c>
      <c r="C703" s="25" t="s">
        <v>1618</v>
      </c>
      <c r="D703" s="25" t="s">
        <v>790</v>
      </c>
      <c r="E703" s="25" t="s">
        <v>1635</v>
      </c>
      <c r="F703" s="25" t="s">
        <v>790</v>
      </c>
      <c r="G703" s="25">
        <v>5.783546184E7</v>
      </c>
      <c r="H703" s="25">
        <v>185370.07</v>
      </c>
      <c r="I703" s="26" t="s">
        <v>5441</v>
      </c>
      <c r="J703" s="26" t="s">
        <v>5442</v>
      </c>
      <c r="K703" s="26" t="str">
        <f t="shared" si="1"/>
        <v>CCB</v>
      </c>
      <c r="L703" s="26" t="str">
        <f t="shared" si="2"/>
        <v>Amlodipine </v>
      </c>
      <c r="M703" s="26"/>
    </row>
    <row r="704" ht="17.25" customHeight="1">
      <c r="B704" s="25" t="s">
        <v>600</v>
      </c>
      <c r="C704" s="25" t="s">
        <v>1618</v>
      </c>
      <c r="D704" s="25" t="s">
        <v>1274</v>
      </c>
      <c r="E704" s="25" t="s">
        <v>1636</v>
      </c>
      <c r="F704" s="25" t="s">
        <v>1274</v>
      </c>
      <c r="G704" s="25">
        <v>2.357597863E7</v>
      </c>
      <c r="H704" s="25">
        <v>72354.28</v>
      </c>
      <c r="I704" s="26" t="s">
        <v>5441</v>
      </c>
      <c r="J704" s="26" t="s">
        <v>5442</v>
      </c>
      <c r="K704" s="26" t="str">
        <f t="shared" si="1"/>
        <v>CCB</v>
      </c>
      <c r="L704" s="26" t="str">
        <f t="shared" si="2"/>
        <v>Amlodipine </v>
      </c>
      <c r="M704" s="26"/>
    </row>
    <row r="705" ht="17.25" customHeight="1">
      <c r="B705" s="25" t="s">
        <v>600</v>
      </c>
      <c r="C705" s="25" t="s">
        <v>1618</v>
      </c>
      <c r="D705" s="25" t="s">
        <v>1637</v>
      </c>
      <c r="E705" s="25" t="s">
        <v>1638</v>
      </c>
      <c r="F705" s="25" t="s">
        <v>1637</v>
      </c>
      <c r="G705" s="25">
        <v>9041605.56</v>
      </c>
      <c r="H705" s="25">
        <v>25759.56</v>
      </c>
      <c r="I705" s="26" t="s">
        <v>5441</v>
      </c>
      <c r="J705" s="26" t="s">
        <v>5442</v>
      </c>
      <c r="K705" s="26" t="str">
        <f t="shared" si="1"/>
        <v>CCB</v>
      </c>
      <c r="L705" s="26" t="str">
        <f t="shared" si="2"/>
        <v>Amlodipine </v>
      </c>
      <c r="M705" s="26"/>
    </row>
    <row r="706" ht="17.25" customHeight="1">
      <c r="B706" s="25" t="s">
        <v>600</v>
      </c>
      <c r="C706" s="25" t="s">
        <v>1618</v>
      </c>
      <c r="D706" s="25" t="s">
        <v>1639</v>
      </c>
      <c r="E706" s="25" t="s">
        <v>1640</v>
      </c>
      <c r="F706" s="25" t="s">
        <v>1639</v>
      </c>
      <c r="G706" s="25">
        <v>5.47633058031E9</v>
      </c>
      <c r="H706" s="25">
        <v>1.472410056E7</v>
      </c>
      <c r="I706" s="26" t="s">
        <v>5441</v>
      </c>
      <c r="J706" s="26" t="s">
        <v>5442</v>
      </c>
      <c r="K706" s="26" t="str">
        <f t="shared" si="1"/>
        <v>CCB</v>
      </c>
      <c r="L706" s="26" t="str">
        <f t="shared" si="2"/>
        <v>Amlodipine </v>
      </c>
      <c r="M706" s="26"/>
    </row>
    <row r="707" ht="17.25" customHeight="1">
      <c r="B707" s="25" t="s">
        <v>600</v>
      </c>
      <c r="C707" s="25" t="s">
        <v>1618</v>
      </c>
      <c r="D707" s="25" t="s">
        <v>794</v>
      </c>
      <c r="E707" s="25" t="s">
        <v>1641</v>
      </c>
      <c r="F707" s="25" t="s">
        <v>794</v>
      </c>
      <c r="G707" s="25">
        <v>2.430196392E7</v>
      </c>
      <c r="H707" s="25">
        <v>77890.92</v>
      </c>
      <c r="I707" s="26" t="s">
        <v>5441</v>
      </c>
      <c r="J707" s="26" t="s">
        <v>5442</v>
      </c>
      <c r="K707" s="26" t="str">
        <f t="shared" si="1"/>
        <v>CCB</v>
      </c>
      <c r="L707" s="26" t="str">
        <f t="shared" si="2"/>
        <v>Amlodipine </v>
      </c>
      <c r="M707" s="26"/>
    </row>
    <row r="708" ht="17.25" customHeight="1">
      <c r="B708" s="25" t="s">
        <v>600</v>
      </c>
      <c r="C708" s="25" t="s">
        <v>1618</v>
      </c>
      <c r="D708" s="25" t="s">
        <v>796</v>
      </c>
      <c r="E708" s="25" t="s">
        <v>1642</v>
      </c>
      <c r="F708" s="25" t="s">
        <v>796</v>
      </c>
      <c r="G708" s="25">
        <v>1.5103751675E8</v>
      </c>
      <c r="H708" s="25">
        <v>399511.08</v>
      </c>
      <c r="I708" s="26" t="s">
        <v>5441</v>
      </c>
      <c r="J708" s="26" t="s">
        <v>5442</v>
      </c>
      <c r="K708" s="26" t="str">
        <f t="shared" si="1"/>
        <v>CCB</v>
      </c>
      <c r="L708" s="26" t="str">
        <f t="shared" si="2"/>
        <v>Amlodipine </v>
      </c>
      <c r="M708" s="26"/>
    </row>
    <row r="709" ht="17.25" customHeight="1">
      <c r="B709" s="25" t="s">
        <v>600</v>
      </c>
      <c r="C709" s="25" t="s">
        <v>1618</v>
      </c>
      <c r="D709" s="25" t="s">
        <v>804</v>
      </c>
      <c r="E709" s="25" t="s">
        <v>1643</v>
      </c>
      <c r="F709" s="25" t="s">
        <v>804</v>
      </c>
      <c r="G709" s="25">
        <v>5.735692716E7</v>
      </c>
      <c r="H709" s="25">
        <v>156285.93</v>
      </c>
      <c r="I709" s="26" t="s">
        <v>5441</v>
      </c>
      <c r="J709" s="26" t="s">
        <v>5442</v>
      </c>
      <c r="K709" s="26" t="str">
        <f t="shared" si="1"/>
        <v>CCB</v>
      </c>
      <c r="L709" s="26" t="str">
        <f t="shared" si="2"/>
        <v>Amlodipine </v>
      </c>
      <c r="M709" s="26"/>
    </row>
    <row r="710" ht="17.25" customHeight="1">
      <c r="B710" s="25" t="s">
        <v>600</v>
      </c>
      <c r="C710" s="25" t="s">
        <v>1618</v>
      </c>
      <c r="D710" s="25" t="s">
        <v>1121</v>
      </c>
      <c r="E710" s="25" t="s">
        <v>1644</v>
      </c>
      <c r="F710" s="25" t="s">
        <v>1121</v>
      </c>
      <c r="G710" s="25">
        <v>1.283392032E7</v>
      </c>
      <c r="H710" s="25">
        <v>41134.36</v>
      </c>
      <c r="I710" s="26" t="s">
        <v>5441</v>
      </c>
      <c r="J710" s="26" t="s">
        <v>5442</v>
      </c>
      <c r="K710" s="26" t="str">
        <f t="shared" si="1"/>
        <v>CCB</v>
      </c>
      <c r="L710" s="26" t="str">
        <f t="shared" si="2"/>
        <v>Amlodipine </v>
      </c>
      <c r="M710" s="26"/>
    </row>
    <row r="711" ht="17.25" customHeight="1">
      <c r="B711" s="25" t="s">
        <v>600</v>
      </c>
      <c r="C711" s="25" t="s">
        <v>1618</v>
      </c>
      <c r="D711" s="25" t="s">
        <v>1024</v>
      </c>
      <c r="E711" s="25" t="s">
        <v>1645</v>
      </c>
      <c r="F711" s="25" t="s">
        <v>1024</v>
      </c>
      <c r="G711" s="25">
        <v>4.00053016E7</v>
      </c>
      <c r="H711" s="25">
        <v>113651.43</v>
      </c>
      <c r="I711" s="26" t="s">
        <v>5441</v>
      </c>
      <c r="J711" s="26" t="s">
        <v>5442</v>
      </c>
      <c r="K711" s="26" t="str">
        <f t="shared" si="1"/>
        <v>CCB</v>
      </c>
      <c r="L711" s="26" t="str">
        <f t="shared" si="2"/>
        <v>Amlodipine </v>
      </c>
      <c r="M711" s="26"/>
    </row>
    <row r="712" ht="17.25" customHeight="1">
      <c r="B712" s="25" t="s">
        <v>600</v>
      </c>
      <c r="C712" s="25" t="s">
        <v>1618</v>
      </c>
      <c r="D712" s="25" t="s">
        <v>806</v>
      </c>
      <c r="E712" s="25" t="s">
        <v>1646</v>
      </c>
      <c r="F712" s="25" t="s">
        <v>806</v>
      </c>
      <c r="G712" s="25">
        <v>2.25911034E7</v>
      </c>
      <c r="H712" s="25">
        <v>61556.16</v>
      </c>
      <c r="I712" s="26" t="s">
        <v>5441</v>
      </c>
      <c r="J712" s="26" t="s">
        <v>5442</v>
      </c>
      <c r="K712" s="26" t="str">
        <f t="shared" si="1"/>
        <v>CCB</v>
      </c>
      <c r="L712" s="26" t="str">
        <f t="shared" si="2"/>
        <v>Amlodipine </v>
      </c>
      <c r="M712" s="26"/>
    </row>
    <row r="713" ht="17.25" customHeight="1">
      <c r="B713" s="25" t="s">
        <v>600</v>
      </c>
      <c r="C713" s="25" t="s">
        <v>1618</v>
      </c>
      <c r="D713" s="25" t="s">
        <v>810</v>
      </c>
      <c r="E713" s="25" t="s">
        <v>1647</v>
      </c>
      <c r="F713" s="25" t="s">
        <v>810</v>
      </c>
      <c r="G713" s="25">
        <v>3.5430453929E8</v>
      </c>
      <c r="H713" s="25">
        <v>1001840.39</v>
      </c>
      <c r="I713" s="26" t="s">
        <v>5441</v>
      </c>
      <c r="J713" s="26" t="s">
        <v>5442</v>
      </c>
      <c r="K713" s="26" t="str">
        <f t="shared" si="1"/>
        <v>CCB</v>
      </c>
      <c r="L713" s="26" t="str">
        <f t="shared" si="2"/>
        <v>Amlodipine </v>
      </c>
      <c r="M713" s="26"/>
    </row>
    <row r="714" ht="17.25" customHeight="1">
      <c r="B714" s="25" t="s">
        <v>600</v>
      </c>
      <c r="C714" s="25" t="s">
        <v>1618</v>
      </c>
      <c r="D714" s="25" t="s">
        <v>1028</v>
      </c>
      <c r="E714" s="25" t="s">
        <v>1648</v>
      </c>
      <c r="F714" s="25" t="s">
        <v>1028</v>
      </c>
      <c r="G714" s="25">
        <v>1.879051115E7</v>
      </c>
      <c r="H714" s="25">
        <v>60419.65</v>
      </c>
      <c r="I714" s="26" t="s">
        <v>5441</v>
      </c>
      <c r="J714" s="26" t="s">
        <v>5442</v>
      </c>
      <c r="K714" s="26" t="str">
        <f t="shared" si="1"/>
        <v>CCB</v>
      </c>
      <c r="L714" s="26" t="str">
        <f t="shared" si="2"/>
        <v>Amlodipine </v>
      </c>
      <c r="M714" s="26"/>
    </row>
    <row r="715" ht="17.25" customHeight="1">
      <c r="B715" s="25" t="s">
        <v>600</v>
      </c>
      <c r="C715" s="25" t="s">
        <v>1618</v>
      </c>
      <c r="D715" s="25" t="s">
        <v>812</v>
      </c>
      <c r="E715" s="25" t="s">
        <v>1649</v>
      </c>
      <c r="F715" s="25" t="s">
        <v>812</v>
      </c>
      <c r="G715" s="25">
        <v>2.7041186E7</v>
      </c>
      <c r="H715" s="25">
        <v>74662.8</v>
      </c>
      <c r="I715" s="26" t="s">
        <v>5441</v>
      </c>
      <c r="J715" s="26" t="s">
        <v>5442</v>
      </c>
      <c r="K715" s="26" t="str">
        <f t="shared" si="1"/>
        <v>CCB</v>
      </c>
      <c r="L715" s="26" t="str">
        <f t="shared" si="2"/>
        <v>Amlodipine </v>
      </c>
      <c r="M715" s="26"/>
    </row>
    <row r="716" ht="17.25" customHeight="1">
      <c r="B716" s="25" t="s">
        <v>600</v>
      </c>
      <c r="C716" s="25" t="s">
        <v>1618</v>
      </c>
      <c r="D716" s="25" t="s">
        <v>814</v>
      </c>
      <c r="E716" s="25" t="s">
        <v>1650</v>
      </c>
      <c r="F716" s="25" t="s">
        <v>814</v>
      </c>
      <c r="G716" s="25">
        <v>1.7274910411E8</v>
      </c>
      <c r="H716" s="25">
        <v>466134.46</v>
      </c>
      <c r="I716" s="26" t="s">
        <v>5441</v>
      </c>
      <c r="J716" s="26" t="s">
        <v>5442</v>
      </c>
      <c r="K716" s="26" t="str">
        <f t="shared" si="1"/>
        <v>CCB</v>
      </c>
      <c r="L716" s="26" t="str">
        <f t="shared" si="2"/>
        <v>Amlodipine </v>
      </c>
      <c r="M716" s="26"/>
    </row>
    <row r="717" ht="17.25" customHeight="1">
      <c r="B717" s="25" t="s">
        <v>600</v>
      </c>
      <c r="C717" s="25" t="s">
        <v>1618</v>
      </c>
      <c r="D717" s="25" t="s">
        <v>1651</v>
      </c>
      <c r="E717" s="25" t="s">
        <v>1652</v>
      </c>
      <c r="F717" s="25" t="s">
        <v>1651</v>
      </c>
      <c r="G717" s="25">
        <v>961525.8</v>
      </c>
      <c r="H717" s="25">
        <v>3421.8</v>
      </c>
      <c r="I717" s="26" t="s">
        <v>5441</v>
      </c>
      <c r="J717" s="26" t="s">
        <v>5442</v>
      </c>
      <c r="K717" s="26" t="str">
        <f t="shared" si="1"/>
        <v>CCB</v>
      </c>
      <c r="L717" s="26" t="str">
        <f t="shared" si="2"/>
        <v>Amlodipine </v>
      </c>
      <c r="M717" s="26"/>
    </row>
    <row r="718" ht="17.25" customHeight="1">
      <c r="B718" s="25" t="s">
        <v>600</v>
      </c>
      <c r="C718" s="25" t="s">
        <v>1618</v>
      </c>
      <c r="D718" s="25" t="s">
        <v>816</v>
      </c>
      <c r="E718" s="25" t="s">
        <v>1653</v>
      </c>
      <c r="F718" s="25" t="s">
        <v>816</v>
      </c>
      <c r="G718" s="25">
        <v>5.980000983E7</v>
      </c>
      <c r="H718" s="25">
        <v>163388.01</v>
      </c>
      <c r="I718" s="26" t="s">
        <v>5441</v>
      </c>
      <c r="J718" s="26" t="s">
        <v>5442</v>
      </c>
      <c r="K718" s="26" t="str">
        <f t="shared" si="1"/>
        <v>CCB</v>
      </c>
      <c r="L718" s="26" t="str">
        <f t="shared" si="2"/>
        <v>Amlodipine </v>
      </c>
      <c r="M718" s="26"/>
    </row>
    <row r="719" ht="17.25" customHeight="1">
      <c r="B719" s="25" t="s">
        <v>600</v>
      </c>
      <c r="C719" s="25" t="s">
        <v>1618</v>
      </c>
      <c r="D719" s="25" t="s">
        <v>818</v>
      </c>
      <c r="E719" s="25" t="s">
        <v>1654</v>
      </c>
      <c r="F719" s="25" t="s">
        <v>818</v>
      </c>
      <c r="G719" s="25">
        <v>1.09389228E7</v>
      </c>
      <c r="H719" s="25">
        <v>35060.65</v>
      </c>
      <c r="I719" s="26" t="s">
        <v>5441</v>
      </c>
      <c r="J719" s="26" t="s">
        <v>5442</v>
      </c>
      <c r="K719" s="26" t="str">
        <f t="shared" si="1"/>
        <v>CCB</v>
      </c>
      <c r="L719" s="26" t="str">
        <f t="shared" si="2"/>
        <v>Amlodipine </v>
      </c>
      <c r="M719" s="26"/>
    </row>
    <row r="720" ht="17.25" customHeight="1">
      <c r="B720" s="25" t="s">
        <v>600</v>
      </c>
      <c r="C720" s="25" t="s">
        <v>1618</v>
      </c>
      <c r="D720" s="25" t="s">
        <v>822</v>
      </c>
      <c r="E720" s="25" t="s">
        <v>1655</v>
      </c>
      <c r="F720" s="25" t="s">
        <v>822</v>
      </c>
      <c r="G720" s="25">
        <v>7564486.8</v>
      </c>
      <c r="H720" s="25">
        <v>24245.15</v>
      </c>
      <c r="I720" s="26" t="s">
        <v>5441</v>
      </c>
      <c r="J720" s="26" t="s">
        <v>5442</v>
      </c>
      <c r="K720" s="26" t="str">
        <f t="shared" si="1"/>
        <v>CCB</v>
      </c>
      <c r="L720" s="26" t="str">
        <f t="shared" si="2"/>
        <v>Amlodipine </v>
      </c>
      <c r="M720" s="26"/>
    </row>
    <row r="721" ht="17.25" customHeight="1">
      <c r="B721" s="25" t="s">
        <v>600</v>
      </c>
      <c r="C721" s="25" t="s">
        <v>1618</v>
      </c>
      <c r="D721" s="25" t="s">
        <v>826</v>
      </c>
      <c r="E721" s="25" t="s">
        <v>1656</v>
      </c>
      <c r="F721" s="25" t="s">
        <v>826</v>
      </c>
      <c r="G721" s="25">
        <v>5.833822488E7</v>
      </c>
      <c r="H721" s="25">
        <v>186981.53</v>
      </c>
      <c r="I721" s="26" t="s">
        <v>5441</v>
      </c>
      <c r="J721" s="26" t="s">
        <v>5442</v>
      </c>
      <c r="K721" s="26" t="str">
        <f t="shared" si="1"/>
        <v>CCB</v>
      </c>
      <c r="L721" s="26" t="str">
        <f t="shared" si="2"/>
        <v>Amlodipine </v>
      </c>
      <c r="M721" s="26"/>
    </row>
    <row r="722" ht="17.25" customHeight="1">
      <c r="B722" s="25" t="s">
        <v>600</v>
      </c>
      <c r="C722" s="25" t="s">
        <v>1618</v>
      </c>
      <c r="D722" s="25" t="s">
        <v>828</v>
      </c>
      <c r="E722" s="25" t="s">
        <v>1657</v>
      </c>
      <c r="F722" s="25" t="s">
        <v>828</v>
      </c>
      <c r="G722" s="25">
        <v>5711352.18</v>
      </c>
      <c r="H722" s="25">
        <v>13406.93</v>
      </c>
      <c r="I722" s="26" t="s">
        <v>5441</v>
      </c>
      <c r="J722" s="26" t="s">
        <v>5442</v>
      </c>
      <c r="K722" s="26" t="str">
        <f t="shared" si="1"/>
        <v>CCB</v>
      </c>
      <c r="L722" s="26" t="str">
        <f t="shared" si="2"/>
        <v>Amlodipine </v>
      </c>
      <c r="M722" s="26"/>
    </row>
    <row r="723" ht="17.25" customHeight="1">
      <c r="B723" s="25" t="s">
        <v>600</v>
      </c>
      <c r="C723" s="25" t="s">
        <v>1618</v>
      </c>
      <c r="D723" s="25" t="s">
        <v>834</v>
      </c>
      <c r="E723" s="25" t="s">
        <v>1658</v>
      </c>
      <c r="F723" s="25" t="s">
        <v>834</v>
      </c>
      <c r="G723" s="25">
        <v>1.1229429119E8</v>
      </c>
      <c r="H723" s="25">
        <v>305979.02</v>
      </c>
      <c r="I723" s="26" t="s">
        <v>5441</v>
      </c>
      <c r="J723" s="26" t="s">
        <v>5442</v>
      </c>
      <c r="K723" s="26" t="str">
        <f t="shared" si="1"/>
        <v>CCB</v>
      </c>
      <c r="L723" s="26" t="str">
        <f t="shared" si="2"/>
        <v>Amlodipine </v>
      </c>
      <c r="M723" s="26"/>
    </row>
    <row r="724" ht="17.25" customHeight="1">
      <c r="B724" s="25" t="s">
        <v>600</v>
      </c>
      <c r="C724" s="25" t="s">
        <v>1618</v>
      </c>
      <c r="D724" s="25" t="s">
        <v>839</v>
      </c>
      <c r="E724" s="25" t="s">
        <v>1659</v>
      </c>
      <c r="F724" s="25" t="s">
        <v>839</v>
      </c>
      <c r="G724" s="25">
        <v>3.457015536E7</v>
      </c>
      <c r="H724" s="25">
        <v>110801.78</v>
      </c>
      <c r="I724" s="26" t="s">
        <v>5441</v>
      </c>
      <c r="J724" s="26" t="s">
        <v>5442</v>
      </c>
      <c r="K724" s="26" t="str">
        <f t="shared" si="1"/>
        <v>CCB</v>
      </c>
      <c r="L724" s="26" t="str">
        <f t="shared" si="2"/>
        <v>Amlodipine </v>
      </c>
      <c r="M724" s="26"/>
    </row>
    <row r="725" ht="17.25" customHeight="1">
      <c r="B725" s="25" t="s">
        <v>600</v>
      </c>
      <c r="C725" s="25" t="s">
        <v>1618</v>
      </c>
      <c r="D725" s="25" t="s">
        <v>710</v>
      </c>
      <c r="E725" s="25" t="s">
        <v>1660</v>
      </c>
      <c r="F725" s="25" t="s">
        <v>710</v>
      </c>
      <c r="G725" s="25">
        <v>2.9248238226E8</v>
      </c>
      <c r="H725" s="25">
        <v>836328.26</v>
      </c>
      <c r="I725" s="26" t="s">
        <v>5441</v>
      </c>
      <c r="J725" s="26" t="s">
        <v>5442</v>
      </c>
      <c r="K725" s="26" t="str">
        <f t="shared" si="1"/>
        <v>CCB</v>
      </c>
      <c r="L725" s="26" t="str">
        <f t="shared" si="2"/>
        <v>Amlodipine </v>
      </c>
      <c r="M725" s="26"/>
    </row>
    <row r="726" ht="17.25" customHeight="1">
      <c r="B726" s="25" t="s">
        <v>600</v>
      </c>
      <c r="C726" s="25" t="s">
        <v>1618</v>
      </c>
      <c r="D726" s="25" t="s">
        <v>842</v>
      </c>
      <c r="E726" s="25" t="s">
        <v>1661</v>
      </c>
      <c r="F726" s="25" t="s">
        <v>842</v>
      </c>
      <c r="G726" s="25">
        <v>2.312433708E7</v>
      </c>
      <c r="H726" s="25">
        <v>74116.47</v>
      </c>
      <c r="I726" s="26" t="s">
        <v>5441</v>
      </c>
      <c r="J726" s="26" t="s">
        <v>5442</v>
      </c>
      <c r="K726" s="26" t="str">
        <f t="shared" si="1"/>
        <v>CCB</v>
      </c>
      <c r="L726" s="26" t="str">
        <f t="shared" si="2"/>
        <v>Amlodipine </v>
      </c>
      <c r="M726" s="26"/>
    </row>
    <row r="727" ht="17.25" customHeight="1">
      <c r="B727" s="25" t="s">
        <v>600</v>
      </c>
      <c r="C727" s="25" t="s">
        <v>1618</v>
      </c>
      <c r="D727" s="25" t="s">
        <v>850</v>
      </c>
      <c r="E727" s="25" t="s">
        <v>1662</v>
      </c>
      <c r="F727" s="25" t="s">
        <v>850</v>
      </c>
      <c r="G727" s="25">
        <v>3.155789458E7</v>
      </c>
      <c r="H727" s="25">
        <v>99866.76</v>
      </c>
      <c r="I727" s="26" t="s">
        <v>5441</v>
      </c>
      <c r="J727" s="26" t="s">
        <v>5442</v>
      </c>
      <c r="K727" s="26" t="str">
        <f t="shared" si="1"/>
        <v>CCB</v>
      </c>
      <c r="L727" s="26" t="str">
        <f t="shared" si="2"/>
        <v>Amlodipine </v>
      </c>
      <c r="M727" s="26"/>
    </row>
    <row r="728" ht="17.25" customHeight="1">
      <c r="B728" s="25" t="s">
        <v>600</v>
      </c>
      <c r="C728" s="25" t="s">
        <v>1618</v>
      </c>
      <c r="D728" s="25" t="s">
        <v>852</v>
      </c>
      <c r="E728" s="25" t="s">
        <v>1663</v>
      </c>
      <c r="F728" s="25" t="s">
        <v>852</v>
      </c>
      <c r="G728" s="25">
        <v>7.123276368E7</v>
      </c>
      <c r="H728" s="25">
        <v>228310.15</v>
      </c>
      <c r="I728" s="26" t="s">
        <v>5441</v>
      </c>
      <c r="J728" s="26" t="s">
        <v>5442</v>
      </c>
      <c r="K728" s="26" t="str">
        <f t="shared" si="1"/>
        <v>CCB</v>
      </c>
      <c r="L728" s="26" t="str">
        <f t="shared" si="2"/>
        <v>Amlodipine </v>
      </c>
      <c r="M728" s="26"/>
    </row>
    <row r="729" ht="17.25" customHeight="1">
      <c r="B729" s="25" t="s">
        <v>600</v>
      </c>
      <c r="C729" s="25" t="s">
        <v>1618</v>
      </c>
      <c r="D729" s="25" t="s">
        <v>728</v>
      </c>
      <c r="E729" s="25" t="s">
        <v>1664</v>
      </c>
      <c r="F729" s="25" t="s">
        <v>728</v>
      </c>
      <c r="G729" s="25">
        <v>3447442.44</v>
      </c>
      <c r="H729" s="25">
        <v>11049.5</v>
      </c>
      <c r="I729" s="26" t="s">
        <v>5441</v>
      </c>
      <c r="J729" s="26" t="s">
        <v>5442</v>
      </c>
      <c r="K729" s="26" t="str">
        <f t="shared" si="1"/>
        <v>CCB</v>
      </c>
      <c r="L729" s="26" t="str">
        <f t="shared" si="2"/>
        <v>Amlodipine </v>
      </c>
      <c r="M729" s="26"/>
    </row>
    <row r="730" ht="17.25" customHeight="1">
      <c r="B730" s="25" t="s">
        <v>600</v>
      </c>
      <c r="C730" s="25" t="s">
        <v>1618</v>
      </c>
      <c r="D730" s="25" t="s">
        <v>856</v>
      </c>
      <c r="E730" s="25" t="s">
        <v>1665</v>
      </c>
      <c r="F730" s="25" t="s">
        <v>856</v>
      </c>
      <c r="G730" s="25">
        <v>4.752231276E7</v>
      </c>
      <c r="H730" s="25">
        <v>152315.11</v>
      </c>
      <c r="I730" s="26" t="s">
        <v>5441</v>
      </c>
      <c r="J730" s="26" t="s">
        <v>5442</v>
      </c>
      <c r="K730" s="26" t="str">
        <f t="shared" si="1"/>
        <v>CCB</v>
      </c>
      <c r="L730" s="26" t="str">
        <f t="shared" si="2"/>
        <v>Amlodipine </v>
      </c>
      <c r="M730" s="26"/>
    </row>
    <row r="731" ht="17.25" customHeight="1">
      <c r="B731" s="25" t="s">
        <v>600</v>
      </c>
      <c r="C731" s="25" t="s">
        <v>1618</v>
      </c>
      <c r="D731" s="25" t="s">
        <v>858</v>
      </c>
      <c r="E731" s="25" t="s">
        <v>1666</v>
      </c>
      <c r="F731" s="25" t="s">
        <v>858</v>
      </c>
      <c r="G731" s="25">
        <v>1.516554624E7</v>
      </c>
      <c r="H731" s="25">
        <v>48607.52</v>
      </c>
      <c r="I731" s="26" t="s">
        <v>5441</v>
      </c>
      <c r="J731" s="26" t="s">
        <v>5442</v>
      </c>
      <c r="K731" s="26" t="str">
        <f t="shared" si="1"/>
        <v>CCB</v>
      </c>
      <c r="L731" s="26" t="str">
        <f t="shared" si="2"/>
        <v>Amlodipine </v>
      </c>
      <c r="M731" s="26"/>
    </row>
    <row r="732" ht="17.25" customHeight="1">
      <c r="B732" s="25" t="s">
        <v>600</v>
      </c>
      <c r="C732" s="25" t="s">
        <v>1618</v>
      </c>
      <c r="D732" s="25" t="s">
        <v>862</v>
      </c>
      <c r="E732" s="25" t="s">
        <v>1667</v>
      </c>
      <c r="F732" s="25" t="s">
        <v>862</v>
      </c>
      <c r="G732" s="25">
        <v>1.15046938E8</v>
      </c>
      <c r="H732" s="25">
        <v>313479.43</v>
      </c>
      <c r="I732" s="26" t="s">
        <v>5441</v>
      </c>
      <c r="J732" s="26" t="s">
        <v>5442</v>
      </c>
      <c r="K732" s="26" t="str">
        <f t="shared" si="1"/>
        <v>CCB</v>
      </c>
      <c r="L732" s="26" t="str">
        <f t="shared" si="2"/>
        <v>Amlodipine </v>
      </c>
      <c r="M732" s="26"/>
    </row>
    <row r="733" ht="17.25" customHeight="1">
      <c r="B733" s="25" t="s">
        <v>600</v>
      </c>
      <c r="C733" s="25" t="s">
        <v>1618</v>
      </c>
      <c r="D733" s="25" t="s">
        <v>730</v>
      </c>
      <c r="E733" s="25" t="s">
        <v>1668</v>
      </c>
      <c r="F733" s="25" t="s">
        <v>730</v>
      </c>
      <c r="G733" s="25">
        <v>2.8726594666E8</v>
      </c>
      <c r="H733" s="25">
        <v>759343.24</v>
      </c>
      <c r="I733" s="26" t="s">
        <v>5441</v>
      </c>
      <c r="J733" s="26" t="s">
        <v>5442</v>
      </c>
      <c r="K733" s="26" t="str">
        <f t="shared" si="1"/>
        <v>CCB</v>
      </c>
      <c r="L733" s="26" t="str">
        <f t="shared" si="2"/>
        <v>Amlodipine </v>
      </c>
      <c r="M733" s="26"/>
    </row>
    <row r="734" ht="17.25" customHeight="1">
      <c r="B734" s="25" t="s">
        <v>600</v>
      </c>
      <c r="C734" s="25" t="s">
        <v>1618</v>
      </c>
      <c r="D734" s="25" t="s">
        <v>713</v>
      </c>
      <c r="E734" s="25" t="s">
        <v>1669</v>
      </c>
      <c r="F734" s="25" t="s">
        <v>713</v>
      </c>
      <c r="G734" s="25">
        <v>3.22770942E7</v>
      </c>
      <c r="H734" s="25">
        <v>103452.23</v>
      </c>
      <c r="I734" s="26" t="s">
        <v>5441</v>
      </c>
      <c r="J734" s="26" t="s">
        <v>5442</v>
      </c>
      <c r="K734" s="26" t="str">
        <f t="shared" si="1"/>
        <v>CCB</v>
      </c>
      <c r="L734" s="26" t="str">
        <f t="shared" si="2"/>
        <v>Amlodipine </v>
      </c>
      <c r="M734" s="26"/>
    </row>
    <row r="735" ht="17.25" customHeight="1">
      <c r="B735" s="25" t="s">
        <v>600</v>
      </c>
      <c r="C735" s="25" t="s">
        <v>1618</v>
      </c>
      <c r="D735" s="25" t="s">
        <v>868</v>
      </c>
      <c r="E735" s="25" t="s">
        <v>1670</v>
      </c>
      <c r="F735" s="25" t="s">
        <v>868</v>
      </c>
      <c r="G735" s="25">
        <v>5.161210392E7</v>
      </c>
      <c r="H735" s="25">
        <v>165423.41</v>
      </c>
      <c r="I735" s="26" t="s">
        <v>5441</v>
      </c>
      <c r="J735" s="26" t="s">
        <v>5442</v>
      </c>
      <c r="K735" s="26" t="str">
        <f t="shared" si="1"/>
        <v>CCB</v>
      </c>
      <c r="L735" s="26" t="str">
        <f t="shared" si="2"/>
        <v>Amlodipine </v>
      </c>
      <c r="M735" s="26"/>
    </row>
    <row r="736" ht="17.25" customHeight="1">
      <c r="B736" s="25" t="s">
        <v>600</v>
      </c>
      <c r="C736" s="25" t="s">
        <v>1618</v>
      </c>
      <c r="D736" s="25" t="s">
        <v>1265</v>
      </c>
      <c r="E736" s="25" t="s">
        <v>1671</v>
      </c>
      <c r="F736" s="25" t="s">
        <v>1265</v>
      </c>
      <c r="G736" s="25">
        <v>6635917.08</v>
      </c>
      <c r="H736" s="25">
        <v>21268.97</v>
      </c>
      <c r="I736" s="26" t="s">
        <v>5441</v>
      </c>
      <c r="J736" s="26" t="s">
        <v>5442</v>
      </c>
      <c r="K736" s="26" t="str">
        <f t="shared" si="1"/>
        <v>CCB</v>
      </c>
      <c r="L736" s="26" t="str">
        <f t="shared" si="2"/>
        <v>Amlodipine </v>
      </c>
      <c r="M736" s="26"/>
    </row>
    <row r="737" ht="17.25" customHeight="1">
      <c r="B737" s="25" t="s">
        <v>600</v>
      </c>
      <c r="C737" s="25" t="s">
        <v>1618</v>
      </c>
      <c r="D737" s="25" t="s">
        <v>734</v>
      </c>
      <c r="E737" s="25" t="s">
        <v>1672</v>
      </c>
      <c r="F737" s="25" t="s">
        <v>734</v>
      </c>
      <c r="G737" s="25">
        <v>5.28443075E7</v>
      </c>
      <c r="H737" s="25">
        <v>145978.77</v>
      </c>
      <c r="I737" s="26" t="s">
        <v>5441</v>
      </c>
      <c r="J737" s="26" t="s">
        <v>5442</v>
      </c>
      <c r="K737" s="26" t="str">
        <f t="shared" si="1"/>
        <v>CCB</v>
      </c>
      <c r="L737" s="26" t="str">
        <f t="shared" si="2"/>
        <v>Amlodipine </v>
      </c>
      <c r="M737" s="26"/>
    </row>
    <row r="738" ht="17.25" customHeight="1">
      <c r="B738" s="25" t="s">
        <v>600</v>
      </c>
      <c r="C738" s="25" t="s">
        <v>1618</v>
      </c>
      <c r="D738" s="25" t="s">
        <v>874</v>
      </c>
      <c r="E738" s="25" t="s">
        <v>1673</v>
      </c>
      <c r="F738" s="25" t="s">
        <v>874</v>
      </c>
      <c r="G738" s="25">
        <v>1.12437E7</v>
      </c>
      <c r="H738" s="25">
        <v>36037.5</v>
      </c>
      <c r="I738" s="26" t="s">
        <v>5441</v>
      </c>
      <c r="J738" s="26" t="s">
        <v>5442</v>
      </c>
      <c r="K738" s="26" t="str">
        <f t="shared" si="1"/>
        <v>CCB</v>
      </c>
      <c r="L738" s="26" t="str">
        <f t="shared" si="2"/>
        <v>Amlodipine </v>
      </c>
      <c r="M738" s="26"/>
    </row>
    <row r="739" ht="17.25" customHeight="1">
      <c r="B739" s="25" t="s">
        <v>600</v>
      </c>
      <c r="C739" s="25" t="s">
        <v>1618</v>
      </c>
      <c r="D739" s="25" t="s">
        <v>999</v>
      </c>
      <c r="E739" s="25" t="s">
        <v>1674</v>
      </c>
      <c r="F739" s="25" t="s">
        <v>999</v>
      </c>
      <c r="G739" s="25">
        <v>2.2487981483E8</v>
      </c>
      <c r="H739" s="25">
        <v>622935.83</v>
      </c>
      <c r="I739" s="26" t="s">
        <v>5441</v>
      </c>
      <c r="J739" s="26" t="s">
        <v>5442</v>
      </c>
      <c r="K739" s="26" t="str">
        <f t="shared" si="1"/>
        <v>CCB</v>
      </c>
      <c r="L739" s="26" t="str">
        <f t="shared" si="2"/>
        <v>Amlodipine </v>
      </c>
      <c r="M739" s="26"/>
    </row>
    <row r="740" ht="17.25" customHeight="1">
      <c r="B740" s="25" t="s">
        <v>600</v>
      </c>
      <c r="C740" s="25" t="s">
        <v>1618</v>
      </c>
      <c r="D740" s="25" t="s">
        <v>884</v>
      </c>
      <c r="E740" s="25" t="s">
        <v>1675</v>
      </c>
      <c r="F740" s="25" t="s">
        <v>884</v>
      </c>
      <c r="G740" s="25">
        <v>2.354288352E7</v>
      </c>
      <c r="H740" s="25">
        <v>75457.96</v>
      </c>
      <c r="I740" s="26" t="s">
        <v>5441</v>
      </c>
      <c r="J740" s="26" t="s">
        <v>5442</v>
      </c>
      <c r="K740" s="26" t="str">
        <f t="shared" si="1"/>
        <v>CCB</v>
      </c>
      <c r="L740" s="26" t="str">
        <f t="shared" si="2"/>
        <v>Amlodipine </v>
      </c>
      <c r="M740" s="26"/>
    </row>
    <row r="741" ht="17.25" customHeight="1">
      <c r="B741" s="25" t="s">
        <v>600</v>
      </c>
      <c r="C741" s="25" t="s">
        <v>1618</v>
      </c>
      <c r="D741" s="25" t="s">
        <v>886</v>
      </c>
      <c r="E741" s="25" t="s">
        <v>1676</v>
      </c>
      <c r="F741" s="25" t="s">
        <v>886</v>
      </c>
      <c r="G741" s="25">
        <v>1.0304446702E8</v>
      </c>
      <c r="H741" s="25">
        <v>293574.02</v>
      </c>
      <c r="I741" s="26" t="s">
        <v>5441</v>
      </c>
      <c r="J741" s="26" t="s">
        <v>5442</v>
      </c>
      <c r="K741" s="26" t="str">
        <f t="shared" si="1"/>
        <v>CCB</v>
      </c>
      <c r="L741" s="26" t="str">
        <f t="shared" si="2"/>
        <v>Amlodipine </v>
      </c>
      <c r="M741" s="26"/>
    </row>
    <row r="742" ht="17.25" customHeight="1">
      <c r="B742" s="25" t="s">
        <v>600</v>
      </c>
      <c r="C742" s="25" t="s">
        <v>1618</v>
      </c>
      <c r="D742" s="25" t="s">
        <v>838</v>
      </c>
      <c r="E742" s="25" t="s">
        <v>1677</v>
      </c>
      <c r="F742" s="25" t="s">
        <v>838</v>
      </c>
      <c r="G742" s="25">
        <v>2914679.04</v>
      </c>
      <c r="H742" s="25">
        <v>9341.92</v>
      </c>
      <c r="I742" s="26" t="s">
        <v>5441</v>
      </c>
      <c r="J742" s="26" t="s">
        <v>5442</v>
      </c>
      <c r="K742" s="26" t="str">
        <f t="shared" si="1"/>
        <v>CCB</v>
      </c>
      <c r="L742" s="26" t="str">
        <f t="shared" si="2"/>
        <v>Amlodipine </v>
      </c>
      <c r="M742" s="26"/>
    </row>
    <row r="743" ht="17.25" customHeight="1">
      <c r="B743" s="25" t="s">
        <v>600</v>
      </c>
      <c r="C743" s="25" t="s">
        <v>1618</v>
      </c>
      <c r="D743" s="25" t="s">
        <v>890</v>
      </c>
      <c r="E743" s="25" t="s">
        <v>1678</v>
      </c>
      <c r="F743" s="25" t="s">
        <v>890</v>
      </c>
      <c r="G743" s="25">
        <v>1.475776018E7</v>
      </c>
      <c r="H743" s="25">
        <v>47452.63</v>
      </c>
      <c r="I743" s="26" t="s">
        <v>5441</v>
      </c>
      <c r="J743" s="26" t="s">
        <v>5442</v>
      </c>
      <c r="K743" s="26" t="str">
        <f t="shared" si="1"/>
        <v>CCB</v>
      </c>
      <c r="L743" s="26" t="str">
        <f t="shared" si="2"/>
        <v>Amlodipine </v>
      </c>
      <c r="M743" s="26"/>
    </row>
    <row r="744" ht="17.25" customHeight="1">
      <c r="B744" s="25" t="s">
        <v>600</v>
      </c>
      <c r="C744" s="25" t="s">
        <v>1618</v>
      </c>
      <c r="D744" s="25" t="s">
        <v>894</v>
      </c>
      <c r="E744" s="25" t="s">
        <v>1679</v>
      </c>
      <c r="F744" s="25" t="s">
        <v>894</v>
      </c>
      <c r="G744" s="25">
        <v>1.122206592E7</v>
      </c>
      <c r="H744" s="25">
        <v>35968.16</v>
      </c>
      <c r="I744" s="26" t="s">
        <v>5441</v>
      </c>
      <c r="J744" s="26" t="s">
        <v>5442</v>
      </c>
      <c r="K744" s="26" t="str">
        <f t="shared" si="1"/>
        <v>CCB</v>
      </c>
      <c r="L744" s="26" t="str">
        <f t="shared" si="2"/>
        <v>Amlodipine </v>
      </c>
      <c r="M744" s="26"/>
    </row>
    <row r="745" ht="17.25" customHeight="1">
      <c r="B745" s="25" t="s">
        <v>600</v>
      </c>
      <c r="C745" s="25" t="s">
        <v>1618</v>
      </c>
      <c r="D745" s="25" t="s">
        <v>898</v>
      </c>
      <c r="E745" s="25" t="s">
        <v>1680</v>
      </c>
      <c r="F745" s="25" t="s">
        <v>898</v>
      </c>
      <c r="G745" s="25">
        <v>8093829.12</v>
      </c>
      <c r="H745" s="25">
        <v>25941.76</v>
      </c>
      <c r="I745" s="26" t="s">
        <v>5441</v>
      </c>
      <c r="J745" s="26" t="s">
        <v>5442</v>
      </c>
      <c r="K745" s="26" t="str">
        <f t="shared" si="1"/>
        <v>CCB</v>
      </c>
      <c r="L745" s="26" t="str">
        <f t="shared" si="2"/>
        <v>Amlodipine </v>
      </c>
      <c r="M745" s="26"/>
    </row>
    <row r="746" ht="17.25" customHeight="1">
      <c r="B746" s="25" t="s">
        <v>600</v>
      </c>
      <c r="C746" s="25" t="s">
        <v>1618</v>
      </c>
      <c r="D746" s="25" t="s">
        <v>1681</v>
      </c>
      <c r="E746" s="25" t="s">
        <v>1682</v>
      </c>
      <c r="F746" s="25" t="s">
        <v>1681</v>
      </c>
      <c r="G746" s="25">
        <v>1227657.6</v>
      </c>
      <c r="H746" s="25">
        <v>3934.8</v>
      </c>
      <c r="I746" s="26" t="s">
        <v>5441</v>
      </c>
      <c r="J746" s="26" t="s">
        <v>5442</v>
      </c>
      <c r="K746" s="26" t="str">
        <f t="shared" si="1"/>
        <v>CCB</v>
      </c>
      <c r="L746" s="26" t="str">
        <f t="shared" si="2"/>
        <v>Amlodipine </v>
      </c>
      <c r="M746" s="26"/>
    </row>
    <row r="747" ht="17.25" customHeight="1">
      <c r="B747" s="25" t="s">
        <v>600</v>
      </c>
      <c r="C747" s="25" t="s">
        <v>1618</v>
      </c>
      <c r="D747" s="25" t="s">
        <v>1167</v>
      </c>
      <c r="E747" s="25" t="s">
        <v>1683</v>
      </c>
      <c r="F747" s="25" t="s">
        <v>1167</v>
      </c>
      <c r="G747" s="25">
        <v>3.226059408E7</v>
      </c>
      <c r="H747" s="25">
        <v>103399.34</v>
      </c>
      <c r="I747" s="26" t="s">
        <v>5441</v>
      </c>
      <c r="J747" s="26" t="s">
        <v>5442</v>
      </c>
      <c r="K747" s="26" t="str">
        <f t="shared" si="1"/>
        <v>CCB</v>
      </c>
      <c r="L747" s="26" t="str">
        <f t="shared" si="2"/>
        <v>Amlodipine </v>
      </c>
      <c r="M747" s="26"/>
    </row>
    <row r="748" ht="17.25" customHeight="1">
      <c r="B748" s="25" t="s">
        <v>600</v>
      </c>
      <c r="C748" s="25" t="s">
        <v>1618</v>
      </c>
      <c r="D748" s="25" t="s">
        <v>902</v>
      </c>
      <c r="E748" s="25" t="s">
        <v>1684</v>
      </c>
      <c r="F748" s="25" t="s">
        <v>902</v>
      </c>
      <c r="G748" s="25">
        <v>4.051366784E7</v>
      </c>
      <c r="H748" s="25">
        <v>118808.44</v>
      </c>
      <c r="I748" s="26" t="s">
        <v>5441</v>
      </c>
      <c r="J748" s="26" t="s">
        <v>5442</v>
      </c>
      <c r="K748" s="26" t="str">
        <f t="shared" si="1"/>
        <v>CCB</v>
      </c>
      <c r="L748" s="26" t="str">
        <f t="shared" si="2"/>
        <v>Amlodipine </v>
      </c>
      <c r="M748" s="26"/>
    </row>
    <row r="749" ht="17.25" customHeight="1">
      <c r="B749" s="25" t="s">
        <v>600</v>
      </c>
      <c r="C749" s="25" t="s">
        <v>1618</v>
      </c>
      <c r="D749" s="25" t="s">
        <v>717</v>
      </c>
      <c r="E749" s="25" t="s">
        <v>1685</v>
      </c>
      <c r="F749" s="25" t="s">
        <v>717</v>
      </c>
      <c r="G749" s="25">
        <v>1.9383603863E8</v>
      </c>
      <c r="H749" s="25">
        <v>531057.67</v>
      </c>
      <c r="I749" s="26" t="s">
        <v>5441</v>
      </c>
      <c r="J749" s="26" t="s">
        <v>5442</v>
      </c>
      <c r="K749" s="26" t="str">
        <f t="shared" si="1"/>
        <v>CCB</v>
      </c>
      <c r="L749" s="26" t="str">
        <f t="shared" si="2"/>
        <v>Amlodipine </v>
      </c>
      <c r="M749" s="26"/>
    </row>
    <row r="750" ht="17.25" customHeight="1">
      <c r="B750" s="25" t="s">
        <v>600</v>
      </c>
      <c r="C750" s="25" t="s">
        <v>1618</v>
      </c>
      <c r="D750" s="25" t="s">
        <v>915</v>
      </c>
      <c r="E750" s="25" t="s">
        <v>1686</v>
      </c>
      <c r="F750" s="25" t="s">
        <v>915</v>
      </c>
      <c r="G750" s="25">
        <v>1.835054325E7</v>
      </c>
      <c r="H750" s="25">
        <v>52280.75</v>
      </c>
      <c r="I750" s="26" t="s">
        <v>5441</v>
      </c>
      <c r="J750" s="26" t="s">
        <v>5442</v>
      </c>
      <c r="K750" s="26" t="str">
        <f t="shared" si="1"/>
        <v>CCB</v>
      </c>
      <c r="L750" s="26" t="str">
        <f t="shared" si="2"/>
        <v>Amlodipine </v>
      </c>
      <c r="M750" s="26"/>
    </row>
    <row r="751" ht="17.25" customHeight="1">
      <c r="B751" s="25" t="s">
        <v>600</v>
      </c>
      <c r="C751" s="25" t="s">
        <v>1618</v>
      </c>
      <c r="D751" s="25" t="s">
        <v>921</v>
      </c>
      <c r="E751" s="25" t="s">
        <v>1687</v>
      </c>
      <c r="F751" s="25" t="s">
        <v>921</v>
      </c>
      <c r="G751" s="25">
        <v>1.082810508E7</v>
      </c>
      <c r="H751" s="25">
        <v>34705.47</v>
      </c>
      <c r="I751" s="26" t="s">
        <v>5441</v>
      </c>
      <c r="J751" s="26" t="s">
        <v>5442</v>
      </c>
      <c r="K751" s="26" t="str">
        <f t="shared" si="1"/>
        <v>CCB</v>
      </c>
      <c r="L751" s="26" t="str">
        <f t="shared" si="2"/>
        <v>Amlodipine </v>
      </c>
      <c r="M751" s="26"/>
    </row>
    <row r="752" ht="17.25" customHeight="1">
      <c r="B752" s="25" t="s">
        <v>600</v>
      </c>
      <c r="C752" s="25" t="s">
        <v>1618</v>
      </c>
      <c r="D752" s="25" t="s">
        <v>925</v>
      </c>
      <c r="E752" s="25" t="s">
        <v>1688</v>
      </c>
      <c r="F752" s="25" t="s">
        <v>925</v>
      </c>
      <c r="G752" s="25">
        <v>8.790247984E7</v>
      </c>
      <c r="H752" s="25">
        <v>247001.16</v>
      </c>
      <c r="I752" s="26" t="s">
        <v>5441</v>
      </c>
      <c r="J752" s="26" t="s">
        <v>5442</v>
      </c>
      <c r="K752" s="26" t="str">
        <f t="shared" si="1"/>
        <v>CCB</v>
      </c>
      <c r="L752" s="26" t="str">
        <f t="shared" si="2"/>
        <v>Amlodipine </v>
      </c>
      <c r="M752" s="26"/>
    </row>
    <row r="753" ht="17.25" customHeight="1">
      <c r="B753" s="25" t="s">
        <v>600</v>
      </c>
      <c r="C753" s="25" t="s">
        <v>1618</v>
      </c>
      <c r="D753" s="25" t="s">
        <v>927</v>
      </c>
      <c r="E753" s="25" t="s">
        <v>1689</v>
      </c>
      <c r="F753" s="25" t="s">
        <v>927</v>
      </c>
      <c r="G753" s="25">
        <v>5.327981955E7</v>
      </c>
      <c r="H753" s="25">
        <v>145176.63</v>
      </c>
      <c r="I753" s="26" t="s">
        <v>5441</v>
      </c>
      <c r="J753" s="26" t="s">
        <v>5442</v>
      </c>
      <c r="K753" s="26" t="str">
        <f t="shared" si="1"/>
        <v>CCB</v>
      </c>
      <c r="L753" s="26" t="str">
        <f t="shared" si="2"/>
        <v>Amlodipine </v>
      </c>
      <c r="M753" s="26"/>
    </row>
    <row r="754" ht="17.25" customHeight="1">
      <c r="B754" s="25" t="s">
        <v>600</v>
      </c>
      <c r="C754" s="25" t="s">
        <v>1618</v>
      </c>
      <c r="D754" s="25" t="s">
        <v>933</v>
      </c>
      <c r="E754" s="25" t="s">
        <v>1690</v>
      </c>
      <c r="F754" s="25" t="s">
        <v>933</v>
      </c>
      <c r="G754" s="25">
        <v>1.8656420411E8</v>
      </c>
      <c r="H754" s="25">
        <v>508349.33</v>
      </c>
      <c r="I754" s="26" t="s">
        <v>5441</v>
      </c>
      <c r="J754" s="26" t="s">
        <v>5442</v>
      </c>
      <c r="K754" s="26" t="str">
        <f t="shared" si="1"/>
        <v>CCB</v>
      </c>
      <c r="L754" s="26" t="str">
        <f t="shared" si="2"/>
        <v>Amlodipine </v>
      </c>
      <c r="M754" s="26"/>
    </row>
    <row r="755" ht="17.25" customHeight="1">
      <c r="B755" s="25" t="s">
        <v>600</v>
      </c>
      <c r="C755" s="25" t="s">
        <v>1618</v>
      </c>
      <c r="D755" s="25" t="s">
        <v>935</v>
      </c>
      <c r="E755" s="25" t="s">
        <v>1691</v>
      </c>
      <c r="F755" s="25" t="s">
        <v>935</v>
      </c>
      <c r="G755" s="25">
        <v>1.587249145E8</v>
      </c>
      <c r="H755" s="25">
        <v>432492.97</v>
      </c>
      <c r="I755" s="26" t="s">
        <v>5441</v>
      </c>
      <c r="J755" s="26" t="s">
        <v>5442</v>
      </c>
      <c r="K755" s="26" t="str">
        <f t="shared" si="1"/>
        <v>CCB</v>
      </c>
      <c r="L755" s="26" t="str">
        <f t="shared" si="2"/>
        <v>Amlodipine </v>
      </c>
      <c r="M755" s="26"/>
    </row>
    <row r="756" ht="17.25" customHeight="1">
      <c r="B756" s="25" t="s">
        <v>600</v>
      </c>
      <c r="C756" s="25" t="s">
        <v>1618</v>
      </c>
      <c r="D756" s="25" t="s">
        <v>1188</v>
      </c>
      <c r="E756" s="25" t="s">
        <v>1692</v>
      </c>
      <c r="F756" s="25" t="s">
        <v>1188</v>
      </c>
      <c r="G756" s="25">
        <v>2.524252064E7</v>
      </c>
      <c r="H756" s="25">
        <v>68780.78</v>
      </c>
      <c r="I756" s="26" t="s">
        <v>5441</v>
      </c>
      <c r="J756" s="26" t="s">
        <v>5442</v>
      </c>
      <c r="K756" s="26" t="str">
        <f t="shared" si="1"/>
        <v>CCB</v>
      </c>
      <c r="L756" s="26" t="str">
        <f t="shared" si="2"/>
        <v>Amlodipine </v>
      </c>
      <c r="M756" s="26"/>
    </row>
    <row r="757" ht="17.25" customHeight="1">
      <c r="B757" s="25" t="s">
        <v>600</v>
      </c>
      <c r="C757" s="25" t="s">
        <v>1618</v>
      </c>
      <c r="D757" s="25" t="s">
        <v>736</v>
      </c>
      <c r="E757" s="25" t="s">
        <v>1693</v>
      </c>
      <c r="F757" s="25" t="s">
        <v>736</v>
      </c>
      <c r="G757" s="25">
        <v>6.725183403E7</v>
      </c>
      <c r="H757" s="25">
        <v>184251.63</v>
      </c>
      <c r="I757" s="26" t="s">
        <v>5441</v>
      </c>
      <c r="J757" s="26" t="s">
        <v>5442</v>
      </c>
      <c r="K757" s="26" t="str">
        <f t="shared" si="1"/>
        <v>CCB</v>
      </c>
      <c r="L757" s="26" t="str">
        <f t="shared" si="2"/>
        <v>Amlodipine </v>
      </c>
      <c r="M757" s="26"/>
    </row>
    <row r="758" ht="17.25" customHeight="1">
      <c r="B758" s="25" t="s">
        <v>600</v>
      </c>
      <c r="C758" s="25" t="s">
        <v>1618</v>
      </c>
      <c r="D758" s="25" t="s">
        <v>1050</v>
      </c>
      <c r="E758" s="25" t="s">
        <v>1694</v>
      </c>
      <c r="F758" s="25" t="s">
        <v>1050</v>
      </c>
      <c r="G758" s="25">
        <v>3.1201777232E8</v>
      </c>
      <c r="H758" s="25">
        <v>850184.93</v>
      </c>
      <c r="I758" s="26" t="s">
        <v>5441</v>
      </c>
      <c r="J758" s="26" t="s">
        <v>5442</v>
      </c>
      <c r="K758" s="26" t="str">
        <f t="shared" si="1"/>
        <v>CCB</v>
      </c>
      <c r="L758" s="26" t="str">
        <f t="shared" si="2"/>
        <v>Amlodipine </v>
      </c>
      <c r="M758" s="26"/>
    </row>
    <row r="759" ht="17.25" customHeight="1">
      <c r="B759" s="25" t="s">
        <v>600</v>
      </c>
      <c r="C759" s="25" t="s">
        <v>5659</v>
      </c>
      <c r="D759" s="25" t="s">
        <v>1639</v>
      </c>
      <c r="E759" s="25" t="s">
        <v>1640</v>
      </c>
      <c r="F759" s="25" t="s">
        <v>1639</v>
      </c>
      <c r="G759" s="25">
        <v>6.9567210288E8</v>
      </c>
      <c r="H759" s="25">
        <v>2898633.79</v>
      </c>
      <c r="I759" s="26" t="s">
        <v>5441</v>
      </c>
      <c r="J759" s="26" t="s">
        <v>5442</v>
      </c>
      <c r="K759" s="26" t="str">
        <f t="shared" si="1"/>
        <v>CCB</v>
      </c>
      <c r="L759" s="26" t="str">
        <f t="shared" si="2"/>
        <v>Amlodipine </v>
      </c>
      <c r="M759" s="26"/>
    </row>
    <row r="760" ht="17.25" customHeight="1">
      <c r="B760" s="25" t="s">
        <v>600</v>
      </c>
      <c r="C760" s="25" t="s">
        <v>1696</v>
      </c>
      <c r="D760" s="25" t="s">
        <v>917</v>
      </c>
      <c r="E760" s="25" t="s">
        <v>1697</v>
      </c>
      <c r="F760" s="25" t="s">
        <v>917</v>
      </c>
      <c r="G760" s="25">
        <v>1.83938300579E9</v>
      </c>
      <c r="H760" s="25">
        <v>4716367.02</v>
      </c>
      <c r="I760" s="26" t="s">
        <v>5441</v>
      </c>
      <c r="J760" s="26" t="s">
        <v>5442</v>
      </c>
      <c r="K760" s="26" t="str">
        <f t="shared" si="1"/>
        <v>CCB</v>
      </c>
      <c r="L760" s="26" t="str">
        <f t="shared" si="2"/>
        <v>Amlodipine </v>
      </c>
      <c r="M760" s="26"/>
    </row>
    <row r="761" ht="17.25" customHeight="1">
      <c r="B761" s="25" t="s">
        <v>600</v>
      </c>
      <c r="C761" s="25" t="s">
        <v>5664</v>
      </c>
      <c r="D761" s="25" t="s">
        <v>917</v>
      </c>
      <c r="E761" s="25" t="s">
        <v>1697</v>
      </c>
      <c r="F761" s="25" t="s">
        <v>917</v>
      </c>
      <c r="G761" s="25">
        <v>2.3735006644E8</v>
      </c>
      <c r="H761" s="25">
        <v>909387.29</v>
      </c>
      <c r="I761" s="26" t="s">
        <v>5441</v>
      </c>
      <c r="J761" s="26" t="s">
        <v>5442</v>
      </c>
      <c r="K761" s="26" t="str">
        <f t="shared" si="1"/>
        <v>CCB</v>
      </c>
      <c r="L761" s="26" t="str">
        <f t="shared" si="2"/>
        <v>Amlodipine </v>
      </c>
      <c r="M761" s="26"/>
    </row>
    <row r="762" ht="17.25" customHeight="1">
      <c r="B762" s="25" t="s">
        <v>600</v>
      </c>
      <c r="C762" s="25" t="s">
        <v>1699</v>
      </c>
      <c r="D762" s="25" t="s">
        <v>753</v>
      </c>
      <c r="E762" s="25" t="s">
        <v>1700</v>
      </c>
      <c r="F762" s="25" t="s">
        <v>753</v>
      </c>
      <c r="G762" s="25">
        <v>1.483367028E7</v>
      </c>
      <c r="H762" s="25">
        <v>79324.44</v>
      </c>
      <c r="I762" s="26" t="s">
        <v>5441</v>
      </c>
      <c r="J762" s="26" t="s">
        <v>5442</v>
      </c>
      <c r="K762" s="26" t="str">
        <f t="shared" si="1"/>
        <v>CCB</v>
      </c>
      <c r="L762" s="26" t="str">
        <f t="shared" si="2"/>
        <v>Amlodipine </v>
      </c>
      <c r="M762" s="26"/>
    </row>
    <row r="763" ht="17.25" customHeight="1">
      <c r="B763" s="25" t="s">
        <v>600</v>
      </c>
      <c r="C763" s="25" t="s">
        <v>1699</v>
      </c>
      <c r="D763" s="25" t="s">
        <v>759</v>
      </c>
      <c r="E763" s="25" t="s">
        <v>1701</v>
      </c>
      <c r="F763" s="25" t="s">
        <v>759</v>
      </c>
      <c r="G763" s="25">
        <v>1.452978116E7</v>
      </c>
      <c r="H763" s="25">
        <v>77286.07</v>
      </c>
      <c r="I763" s="26" t="s">
        <v>5441</v>
      </c>
      <c r="J763" s="26" t="s">
        <v>5442</v>
      </c>
      <c r="K763" s="26" t="str">
        <f t="shared" si="1"/>
        <v>CCB</v>
      </c>
      <c r="L763" s="26" t="str">
        <f t="shared" si="2"/>
        <v>Amlodipine </v>
      </c>
      <c r="M763" s="26"/>
    </row>
    <row r="764" ht="17.25" customHeight="1">
      <c r="B764" s="25" t="s">
        <v>600</v>
      </c>
      <c r="C764" s="25" t="s">
        <v>1699</v>
      </c>
      <c r="D764" s="25" t="s">
        <v>768</v>
      </c>
      <c r="E764" s="25" t="s">
        <v>1702</v>
      </c>
      <c r="F764" s="25" t="s">
        <v>768</v>
      </c>
      <c r="G764" s="25">
        <v>536259.5</v>
      </c>
      <c r="H764" s="25">
        <v>2898.7</v>
      </c>
      <c r="I764" s="26" t="s">
        <v>5441</v>
      </c>
      <c r="J764" s="26" t="s">
        <v>5442</v>
      </c>
      <c r="K764" s="26" t="str">
        <f t="shared" si="1"/>
        <v>CCB</v>
      </c>
      <c r="L764" s="26" t="str">
        <f t="shared" si="2"/>
        <v>Amlodipine </v>
      </c>
      <c r="M764" s="26"/>
    </row>
    <row r="765" ht="17.25" customHeight="1">
      <c r="B765" s="25" t="s">
        <v>600</v>
      </c>
      <c r="C765" s="25" t="s">
        <v>1699</v>
      </c>
      <c r="D765" s="25" t="s">
        <v>726</v>
      </c>
      <c r="E765" s="25" t="s">
        <v>1703</v>
      </c>
      <c r="F765" s="25" t="s">
        <v>726</v>
      </c>
      <c r="G765" s="25">
        <v>4.986365078E7</v>
      </c>
      <c r="H765" s="25">
        <v>265232.19</v>
      </c>
      <c r="I765" s="26" t="s">
        <v>5441</v>
      </c>
      <c r="J765" s="26" t="s">
        <v>5442</v>
      </c>
      <c r="K765" s="26" t="str">
        <f t="shared" si="1"/>
        <v>CCB</v>
      </c>
      <c r="L765" s="26" t="str">
        <f t="shared" si="2"/>
        <v>Amlodipine </v>
      </c>
      <c r="M765" s="26"/>
    </row>
    <row r="766" ht="17.25" customHeight="1">
      <c r="B766" s="25" t="s">
        <v>600</v>
      </c>
      <c r="C766" s="25" t="s">
        <v>1699</v>
      </c>
      <c r="D766" s="25" t="s">
        <v>774</v>
      </c>
      <c r="E766" s="25" t="s">
        <v>1704</v>
      </c>
      <c r="F766" s="25" t="s">
        <v>774</v>
      </c>
      <c r="G766" s="25">
        <v>4.026672974E7</v>
      </c>
      <c r="H766" s="25">
        <v>222468.14</v>
      </c>
      <c r="I766" s="26" t="s">
        <v>5441</v>
      </c>
      <c r="J766" s="26" t="s">
        <v>5442</v>
      </c>
      <c r="K766" s="26" t="str">
        <f t="shared" si="1"/>
        <v>CCB</v>
      </c>
      <c r="L766" s="26" t="str">
        <f t="shared" si="2"/>
        <v>Amlodipine </v>
      </c>
      <c r="M766" s="26"/>
    </row>
    <row r="767" ht="17.25" customHeight="1">
      <c r="B767" s="25" t="s">
        <v>600</v>
      </c>
      <c r="C767" s="25" t="s">
        <v>1699</v>
      </c>
      <c r="D767" s="25" t="s">
        <v>720</v>
      </c>
      <c r="E767" s="25" t="s">
        <v>1705</v>
      </c>
      <c r="F767" s="25" t="s">
        <v>720</v>
      </c>
      <c r="G767" s="25">
        <v>1.147984298E7</v>
      </c>
      <c r="H767" s="25">
        <v>85670.49</v>
      </c>
      <c r="I767" s="26" t="s">
        <v>5441</v>
      </c>
      <c r="J767" s="26" t="s">
        <v>5442</v>
      </c>
      <c r="K767" s="26" t="str">
        <f t="shared" si="1"/>
        <v>CCB</v>
      </c>
      <c r="L767" s="26" t="str">
        <f t="shared" si="2"/>
        <v>Amlodipine </v>
      </c>
      <c r="M767" s="26"/>
    </row>
    <row r="768" ht="17.25" customHeight="1">
      <c r="B768" s="25" t="s">
        <v>600</v>
      </c>
      <c r="C768" s="25" t="s">
        <v>1699</v>
      </c>
      <c r="D768" s="25" t="s">
        <v>856</v>
      </c>
      <c r="E768" s="25" t="s">
        <v>1706</v>
      </c>
      <c r="F768" s="25" t="s">
        <v>856</v>
      </c>
      <c r="G768" s="25">
        <v>6474609.08</v>
      </c>
      <c r="H768" s="25">
        <v>34439.41</v>
      </c>
      <c r="I768" s="26" t="s">
        <v>5441</v>
      </c>
      <c r="J768" s="26" t="s">
        <v>5442</v>
      </c>
      <c r="K768" s="26" t="str">
        <f t="shared" si="1"/>
        <v>CCB</v>
      </c>
      <c r="L768" s="26" t="str">
        <f t="shared" si="2"/>
        <v>Amlodipine </v>
      </c>
      <c r="M768" s="26"/>
    </row>
    <row r="769" ht="17.25" customHeight="1">
      <c r="B769" s="25" t="s">
        <v>600</v>
      </c>
      <c r="C769" s="25" t="s">
        <v>1699</v>
      </c>
      <c r="D769" s="25" t="s">
        <v>701</v>
      </c>
      <c r="E769" s="25" t="s">
        <v>1707</v>
      </c>
      <c r="F769" s="25" t="s">
        <v>701</v>
      </c>
      <c r="G769" s="25">
        <v>1.3098407774E8</v>
      </c>
      <c r="H769" s="25">
        <v>700368.07</v>
      </c>
      <c r="I769" s="26" t="s">
        <v>5441</v>
      </c>
      <c r="J769" s="26" t="s">
        <v>5442</v>
      </c>
      <c r="K769" s="26" t="str">
        <f t="shared" si="1"/>
        <v>CCB</v>
      </c>
      <c r="L769" s="26" t="str">
        <f t="shared" si="2"/>
        <v>Amlodipine </v>
      </c>
      <c r="M769" s="26"/>
    </row>
    <row r="770" ht="17.25" customHeight="1">
      <c r="B770" s="25" t="s">
        <v>600</v>
      </c>
      <c r="C770" s="25" t="s">
        <v>1699</v>
      </c>
      <c r="D770" s="25" t="s">
        <v>870</v>
      </c>
      <c r="E770" s="25" t="s">
        <v>1708</v>
      </c>
      <c r="F770" s="25" t="s">
        <v>870</v>
      </c>
      <c r="G770" s="25">
        <v>3.302349222E7</v>
      </c>
      <c r="H770" s="25">
        <v>176596.23</v>
      </c>
      <c r="I770" s="26" t="s">
        <v>5441</v>
      </c>
      <c r="J770" s="26" t="s">
        <v>5442</v>
      </c>
      <c r="K770" s="26" t="str">
        <f t="shared" si="1"/>
        <v>CCB</v>
      </c>
      <c r="L770" s="26" t="str">
        <f t="shared" si="2"/>
        <v>Amlodipine </v>
      </c>
      <c r="M770" s="26"/>
    </row>
    <row r="771" ht="17.25" customHeight="1">
      <c r="B771" s="25" t="s">
        <v>600</v>
      </c>
      <c r="C771" s="25" t="s">
        <v>1699</v>
      </c>
      <c r="D771" s="25" t="s">
        <v>734</v>
      </c>
      <c r="E771" s="25" t="s">
        <v>1709</v>
      </c>
      <c r="F771" s="25" t="s">
        <v>734</v>
      </c>
      <c r="G771" s="25">
        <v>2.147832675E7</v>
      </c>
      <c r="H771" s="25">
        <v>115474.88</v>
      </c>
      <c r="I771" s="26" t="s">
        <v>5441</v>
      </c>
      <c r="J771" s="26" t="s">
        <v>5442</v>
      </c>
      <c r="K771" s="26" t="str">
        <f t="shared" si="1"/>
        <v>CCB</v>
      </c>
      <c r="L771" s="26" t="str">
        <f t="shared" si="2"/>
        <v>Amlodipine </v>
      </c>
      <c r="M771" s="26"/>
    </row>
    <row r="772" ht="17.25" customHeight="1">
      <c r="B772" s="25" t="s">
        <v>600</v>
      </c>
      <c r="C772" s="25" t="s">
        <v>1699</v>
      </c>
      <c r="D772" s="25" t="s">
        <v>880</v>
      </c>
      <c r="E772" s="25" t="s">
        <v>1710</v>
      </c>
      <c r="F772" s="25" t="s">
        <v>880</v>
      </c>
      <c r="G772" s="25">
        <v>2.1066022357E8</v>
      </c>
      <c r="H772" s="25">
        <v>1203772.9</v>
      </c>
      <c r="I772" s="26" t="s">
        <v>5441</v>
      </c>
      <c r="J772" s="26" t="s">
        <v>5442</v>
      </c>
      <c r="K772" s="26" t="str">
        <f t="shared" si="1"/>
        <v>CCB</v>
      </c>
      <c r="L772" s="26" t="str">
        <f t="shared" si="2"/>
        <v>Amlodipine </v>
      </c>
      <c r="M772" s="26"/>
    </row>
    <row r="773" ht="17.25" customHeight="1">
      <c r="B773" s="25" t="s">
        <v>600</v>
      </c>
      <c r="C773" s="25" t="s">
        <v>1699</v>
      </c>
      <c r="D773" s="25" t="s">
        <v>894</v>
      </c>
      <c r="E773" s="25" t="s">
        <v>1711</v>
      </c>
      <c r="F773" s="25" t="s">
        <v>894</v>
      </c>
      <c r="G773" s="25">
        <v>1101844.38</v>
      </c>
      <c r="H773" s="25">
        <v>6054.09</v>
      </c>
      <c r="I773" s="26" t="s">
        <v>5441</v>
      </c>
      <c r="J773" s="26" t="s">
        <v>5442</v>
      </c>
      <c r="K773" s="26" t="str">
        <f t="shared" si="1"/>
        <v>CCB</v>
      </c>
      <c r="L773" s="26" t="str">
        <f t="shared" si="2"/>
        <v>Amlodipine </v>
      </c>
      <c r="M773" s="26"/>
    </row>
    <row r="774" ht="17.25" customHeight="1">
      <c r="B774" s="25" t="s">
        <v>600</v>
      </c>
      <c r="C774" s="25" t="s">
        <v>1699</v>
      </c>
      <c r="D774" s="25" t="s">
        <v>1712</v>
      </c>
      <c r="E774" s="25" t="s">
        <v>1713</v>
      </c>
      <c r="F774" s="25" t="s">
        <v>1712</v>
      </c>
      <c r="G774" s="25">
        <v>2.281082167E7</v>
      </c>
      <c r="H774" s="25">
        <v>125334.19</v>
      </c>
      <c r="I774" s="26" t="s">
        <v>5441</v>
      </c>
      <c r="J774" s="26" t="s">
        <v>5442</v>
      </c>
      <c r="K774" s="26" t="str">
        <f t="shared" si="1"/>
        <v>CCB</v>
      </c>
      <c r="L774" s="26" t="str">
        <f t="shared" si="2"/>
        <v>Amlodipine </v>
      </c>
      <c r="M774" s="26"/>
    </row>
    <row r="775" ht="17.25" customHeight="1">
      <c r="B775" s="25" t="s">
        <v>600</v>
      </c>
      <c r="C775" s="25" t="s">
        <v>1699</v>
      </c>
      <c r="D775" s="25" t="s">
        <v>906</v>
      </c>
      <c r="E775" s="25" t="s">
        <v>1714</v>
      </c>
      <c r="F775" s="25" t="s">
        <v>906</v>
      </c>
      <c r="G775" s="25">
        <v>3.587578714E7</v>
      </c>
      <c r="H775" s="25">
        <v>190828.67</v>
      </c>
      <c r="I775" s="26" t="s">
        <v>5441</v>
      </c>
      <c r="J775" s="26" t="s">
        <v>5442</v>
      </c>
      <c r="K775" s="26" t="str">
        <f t="shared" si="1"/>
        <v>CCB</v>
      </c>
      <c r="L775" s="26" t="str">
        <f t="shared" si="2"/>
        <v>Amlodipine </v>
      </c>
      <c r="M775" s="26"/>
    </row>
    <row r="776" ht="17.25" customHeight="1">
      <c r="B776" s="25" t="s">
        <v>600</v>
      </c>
      <c r="C776" s="25" t="s">
        <v>1699</v>
      </c>
      <c r="D776" s="25" t="s">
        <v>717</v>
      </c>
      <c r="E776" s="25" t="s">
        <v>1715</v>
      </c>
      <c r="F776" s="25" t="s">
        <v>717</v>
      </c>
      <c r="G776" s="25">
        <v>2.743784054E7</v>
      </c>
      <c r="H776" s="25">
        <v>146726.42</v>
      </c>
      <c r="I776" s="26" t="s">
        <v>5441</v>
      </c>
      <c r="J776" s="26" t="s">
        <v>5442</v>
      </c>
      <c r="K776" s="26" t="str">
        <f t="shared" si="1"/>
        <v>CCB</v>
      </c>
      <c r="L776" s="26" t="str">
        <f t="shared" si="2"/>
        <v>Amlodipine </v>
      </c>
      <c r="M776" s="26"/>
    </row>
    <row r="777" ht="17.25" customHeight="1">
      <c r="B777" s="25" t="s">
        <v>600</v>
      </c>
      <c r="C777" s="25" t="s">
        <v>1699</v>
      </c>
      <c r="D777" s="25" t="s">
        <v>913</v>
      </c>
      <c r="E777" s="25" t="s">
        <v>1716</v>
      </c>
      <c r="F777" s="25" t="s">
        <v>913</v>
      </c>
      <c r="G777" s="25">
        <v>1.681654607E7</v>
      </c>
      <c r="H777" s="25">
        <v>100697.99</v>
      </c>
      <c r="I777" s="26" t="s">
        <v>5441</v>
      </c>
      <c r="J777" s="26" t="s">
        <v>5442</v>
      </c>
      <c r="K777" s="26" t="str">
        <f t="shared" si="1"/>
        <v>CCB</v>
      </c>
      <c r="L777" s="26" t="str">
        <f t="shared" si="2"/>
        <v>Amlodipine </v>
      </c>
      <c r="M777" s="26"/>
    </row>
    <row r="778" ht="17.25" customHeight="1">
      <c r="B778" s="25" t="s">
        <v>600</v>
      </c>
      <c r="C778" s="25" t="s">
        <v>1699</v>
      </c>
      <c r="D778" s="25" t="s">
        <v>915</v>
      </c>
      <c r="E778" s="25" t="s">
        <v>1717</v>
      </c>
      <c r="F778" s="25" t="s">
        <v>915</v>
      </c>
      <c r="G778" s="25">
        <v>2.268410604E7</v>
      </c>
      <c r="H778" s="25">
        <v>123283.19</v>
      </c>
      <c r="I778" s="26" t="s">
        <v>5441</v>
      </c>
      <c r="J778" s="26" t="s">
        <v>5442</v>
      </c>
      <c r="K778" s="26" t="str">
        <f t="shared" si="1"/>
        <v>CCB</v>
      </c>
      <c r="L778" s="26" t="str">
        <f t="shared" si="2"/>
        <v>Amlodipine </v>
      </c>
      <c r="M778" s="26"/>
    </row>
    <row r="779" ht="17.25" customHeight="1">
      <c r="B779" s="25" t="s">
        <v>600</v>
      </c>
      <c r="C779" s="25" t="s">
        <v>1699</v>
      </c>
      <c r="D779" s="25" t="s">
        <v>919</v>
      </c>
      <c r="E779" s="25" t="s">
        <v>1718</v>
      </c>
      <c r="F779" s="25" t="s">
        <v>919</v>
      </c>
      <c r="G779" s="25">
        <v>6377574.0</v>
      </c>
      <c r="H779" s="25">
        <v>55457.19</v>
      </c>
      <c r="I779" s="26" t="s">
        <v>5441</v>
      </c>
      <c r="J779" s="26" t="s">
        <v>5442</v>
      </c>
      <c r="K779" s="26" t="str">
        <f t="shared" si="1"/>
        <v>CCB</v>
      </c>
      <c r="L779" s="26" t="str">
        <f t="shared" si="2"/>
        <v>Amlodipine </v>
      </c>
      <c r="M779" s="26"/>
    </row>
    <row r="780" ht="17.25" customHeight="1">
      <c r="B780" s="25" t="s">
        <v>600</v>
      </c>
      <c r="C780" s="25" t="s">
        <v>1699</v>
      </c>
      <c r="D780" s="25" t="s">
        <v>736</v>
      </c>
      <c r="E780" s="25" t="s">
        <v>1719</v>
      </c>
      <c r="F780" s="25" t="s">
        <v>736</v>
      </c>
      <c r="G780" s="25">
        <v>3.555131367E7</v>
      </c>
      <c r="H780" s="25">
        <v>191136.1</v>
      </c>
      <c r="I780" s="26" t="s">
        <v>5441</v>
      </c>
      <c r="J780" s="26" t="s">
        <v>5442</v>
      </c>
      <c r="K780" s="26" t="str">
        <f t="shared" si="1"/>
        <v>CCB</v>
      </c>
      <c r="L780" s="26" t="str">
        <f t="shared" si="2"/>
        <v>Amlodipine </v>
      </c>
      <c r="M780" s="26"/>
    </row>
    <row r="781" ht="17.25" customHeight="1">
      <c r="B781" s="25" t="s">
        <v>600</v>
      </c>
      <c r="C781" s="25" t="s">
        <v>1699</v>
      </c>
      <c r="D781" s="25" t="s">
        <v>939</v>
      </c>
      <c r="E781" s="25" t="s">
        <v>1720</v>
      </c>
      <c r="F781" s="25" t="s">
        <v>939</v>
      </c>
      <c r="G781" s="25">
        <v>1.928491615E7</v>
      </c>
      <c r="H781" s="25">
        <v>104242.79</v>
      </c>
      <c r="I781" s="26" t="s">
        <v>5441</v>
      </c>
      <c r="J781" s="26" t="s">
        <v>5442</v>
      </c>
      <c r="K781" s="26" t="str">
        <f t="shared" si="1"/>
        <v>CCB</v>
      </c>
      <c r="L781" s="26" t="str">
        <f t="shared" si="2"/>
        <v>Amlodipine </v>
      </c>
      <c r="M781" s="26"/>
    </row>
    <row r="782" ht="17.25" customHeight="1">
      <c r="B782" s="25" t="s">
        <v>600</v>
      </c>
      <c r="C782" s="25" t="s">
        <v>1721</v>
      </c>
      <c r="D782" s="25" t="s">
        <v>1024</v>
      </c>
      <c r="E782" s="25" t="s">
        <v>1722</v>
      </c>
      <c r="F782" s="25" t="s">
        <v>1024</v>
      </c>
      <c r="G782" s="25">
        <v>1317641.36</v>
      </c>
      <c r="H782" s="25">
        <v>6722.66</v>
      </c>
      <c r="I782" s="26" t="s">
        <v>5441</v>
      </c>
      <c r="J782" s="26" t="s">
        <v>5442</v>
      </c>
      <c r="K782" s="26" t="str">
        <f t="shared" si="1"/>
        <v>CCB</v>
      </c>
      <c r="L782" s="26" t="str">
        <f t="shared" si="2"/>
        <v>Amlodipine </v>
      </c>
      <c r="M782" s="26"/>
    </row>
    <row r="783" ht="17.25" customHeight="1">
      <c r="B783" s="25" t="s">
        <v>600</v>
      </c>
      <c r="C783" s="25" t="s">
        <v>1721</v>
      </c>
      <c r="D783" s="25" t="s">
        <v>836</v>
      </c>
      <c r="E783" s="25" t="s">
        <v>1723</v>
      </c>
      <c r="F783" s="25" t="s">
        <v>836</v>
      </c>
      <c r="G783" s="25">
        <v>2.049883515E7</v>
      </c>
      <c r="H783" s="25">
        <v>74082.03</v>
      </c>
      <c r="I783" s="26" t="s">
        <v>5441</v>
      </c>
      <c r="J783" s="26" t="s">
        <v>5442</v>
      </c>
      <c r="K783" s="26" t="str">
        <f t="shared" si="1"/>
        <v>CCB</v>
      </c>
      <c r="L783" s="26" t="str">
        <f t="shared" si="2"/>
        <v>Amlodipine </v>
      </c>
      <c r="M783" s="26"/>
    </row>
    <row r="784" ht="17.25" customHeight="1">
      <c r="B784" s="25" t="s">
        <v>600</v>
      </c>
      <c r="C784" s="25" t="s">
        <v>1721</v>
      </c>
      <c r="D784" s="25" t="s">
        <v>983</v>
      </c>
      <c r="E784" s="25" t="s">
        <v>1724</v>
      </c>
      <c r="F784" s="25" t="s">
        <v>983</v>
      </c>
      <c r="G784" s="25">
        <v>1372926.63</v>
      </c>
      <c r="H784" s="25">
        <v>7585.23</v>
      </c>
      <c r="I784" s="26" t="s">
        <v>5441</v>
      </c>
      <c r="J784" s="26" t="s">
        <v>5442</v>
      </c>
      <c r="K784" s="26" t="str">
        <f t="shared" si="1"/>
        <v>CCB</v>
      </c>
      <c r="L784" s="26" t="str">
        <f t="shared" si="2"/>
        <v>Amlodipine </v>
      </c>
      <c r="M784" s="26"/>
    </row>
    <row r="785" ht="17.25" customHeight="1">
      <c r="B785" s="25" t="s">
        <v>600</v>
      </c>
      <c r="C785" s="25" t="s">
        <v>1721</v>
      </c>
      <c r="D785" s="25" t="s">
        <v>874</v>
      </c>
      <c r="E785" s="25" t="s">
        <v>1725</v>
      </c>
      <c r="F785" s="25" t="s">
        <v>874</v>
      </c>
      <c r="G785" s="25">
        <v>1.998899378E7</v>
      </c>
      <c r="H785" s="25">
        <v>90040.54</v>
      </c>
      <c r="I785" s="26" t="s">
        <v>5441</v>
      </c>
      <c r="J785" s="26" t="s">
        <v>5442</v>
      </c>
      <c r="K785" s="26" t="str">
        <f t="shared" si="1"/>
        <v>CCB</v>
      </c>
      <c r="L785" s="26" t="str">
        <f t="shared" si="2"/>
        <v>Amlodipine </v>
      </c>
      <c r="M785" s="26"/>
    </row>
    <row r="786" ht="17.25" customHeight="1">
      <c r="B786" s="25" t="s">
        <v>600</v>
      </c>
      <c r="C786" s="25" t="s">
        <v>1726</v>
      </c>
      <c r="D786" s="25" t="s">
        <v>763</v>
      </c>
      <c r="E786" s="25" t="s">
        <v>1727</v>
      </c>
      <c r="F786" s="25" t="s">
        <v>763</v>
      </c>
      <c r="G786" s="25">
        <v>4.351793878E7</v>
      </c>
      <c r="H786" s="25">
        <v>105626.07</v>
      </c>
      <c r="I786" s="26" t="s">
        <v>5441</v>
      </c>
      <c r="J786" s="26" t="s">
        <v>5442</v>
      </c>
      <c r="K786" s="26" t="str">
        <f t="shared" si="1"/>
        <v>CCB</v>
      </c>
      <c r="L786" s="26" t="str">
        <f t="shared" si="2"/>
        <v>Amlodipine </v>
      </c>
      <c r="M786" s="26"/>
    </row>
    <row r="787" ht="17.25" customHeight="1">
      <c r="B787" s="25" t="s">
        <v>600</v>
      </c>
      <c r="C787" s="25" t="s">
        <v>1726</v>
      </c>
      <c r="D787" s="25" t="s">
        <v>1040</v>
      </c>
      <c r="E787" s="25" t="s">
        <v>1728</v>
      </c>
      <c r="F787" s="25" t="s">
        <v>1040</v>
      </c>
      <c r="G787" s="25">
        <v>3.868371756E7</v>
      </c>
      <c r="H787" s="25">
        <v>119394.21</v>
      </c>
      <c r="I787" s="26" t="s">
        <v>5441</v>
      </c>
      <c r="J787" s="26" t="s">
        <v>5442</v>
      </c>
      <c r="K787" s="26" t="str">
        <f t="shared" si="1"/>
        <v>CCB</v>
      </c>
      <c r="L787" s="26" t="str">
        <f t="shared" si="2"/>
        <v>Amlodipine </v>
      </c>
      <c r="M787" s="26"/>
    </row>
    <row r="788" ht="17.25" customHeight="1">
      <c r="B788" s="25" t="s">
        <v>600</v>
      </c>
      <c r="C788" s="25" t="s">
        <v>1729</v>
      </c>
      <c r="D788" s="25" t="s">
        <v>1061</v>
      </c>
      <c r="E788" s="25" t="s">
        <v>1730</v>
      </c>
      <c r="F788" s="25" t="s">
        <v>1061</v>
      </c>
      <c r="G788" s="25">
        <v>5.548025137E8</v>
      </c>
      <c r="H788" s="25">
        <v>1460006.88</v>
      </c>
      <c r="I788" s="26" t="s">
        <v>5441</v>
      </c>
      <c r="J788" s="26" t="s">
        <v>5442</v>
      </c>
      <c r="K788" s="26" t="str">
        <f t="shared" si="1"/>
        <v>CCB</v>
      </c>
      <c r="L788" s="26" t="str">
        <f t="shared" si="2"/>
        <v>Amlodipine </v>
      </c>
      <c r="M788" s="26"/>
    </row>
    <row r="789" ht="17.25" customHeight="1">
      <c r="B789" s="25" t="s">
        <v>600</v>
      </c>
      <c r="C789" s="25" t="s">
        <v>1731</v>
      </c>
      <c r="D789" s="25" t="s">
        <v>783</v>
      </c>
      <c r="E789" s="25" t="s">
        <v>1732</v>
      </c>
      <c r="F789" s="25" t="s">
        <v>783</v>
      </c>
      <c r="G789" s="25">
        <v>1.548107505E7</v>
      </c>
      <c r="H789" s="25">
        <v>63028.4</v>
      </c>
      <c r="I789" s="26" t="s">
        <v>5441</v>
      </c>
      <c r="J789" s="26" t="s">
        <v>5442</v>
      </c>
      <c r="K789" s="26" t="str">
        <f t="shared" si="1"/>
        <v>CCB</v>
      </c>
      <c r="L789" s="26" t="str">
        <f t="shared" si="2"/>
        <v>Azelnidine</v>
      </c>
      <c r="M789" s="26"/>
    </row>
    <row r="790" ht="17.25" customHeight="1">
      <c r="B790" s="25" t="s">
        <v>600</v>
      </c>
      <c r="C790" s="25" t="s">
        <v>1731</v>
      </c>
      <c r="D790" s="25" t="s">
        <v>732</v>
      </c>
      <c r="E790" s="25" t="s">
        <v>1733</v>
      </c>
      <c r="F790" s="25" t="s">
        <v>1265</v>
      </c>
      <c r="G790" s="25">
        <v>1.042829424E7</v>
      </c>
      <c r="H790" s="25">
        <v>28649.17</v>
      </c>
      <c r="I790" s="26" t="s">
        <v>5441</v>
      </c>
      <c r="J790" s="26" t="s">
        <v>5442</v>
      </c>
      <c r="K790" s="26" t="str">
        <f t="shared" si="1"/>
        <v>CCB</v>
      </c>
      <c r="L790" s="26" t="str">
        <f t="shared" si="2"/>
        <v>Azelnidine</v>
      </c>
      <c r="M790" s="26"/>
    </row>
    <row r="791" ht="17.25" customHeight="1">
      <c r="B791" s="25" t="s">
        <v>600</v>
      </c>
      <c r="C791" s="25" t="s">
        <v>1731</v>
      </c>
      <c r="D791" s="25" t="s">
        <v>913</v>
      </c>
      <c r="E791" s="25" t="s">
        <v>1734</v>
      </c>
      <c r="F791" s="25" t="s">
        <v>913</v>
      </c>
      <c r="G791" s="25">
        <v>5879916.0</v>
      </c>
      <c r="H791" s="25">
        <v>27999.6</v>
      </c>
      <c r="I791" s="26" t="s">
        <v>5441</v>
      </c>
      <c r="J791" s="26" t="s">
        <v>5442</v>
      </c>
      <c r="K791" s="26" t="str">
        <f t="shared" si="1"/>
        <v>CCB</v>
      </c>
      <c r="L791" s="26" t="str">
        <f t="shared" si="2"/>
        <v>Azelnidine</v>
      </c>
      <c r="M791" s="26"/>
    </row>
    <row r="792" ht="17.25" customHeight="1">
      <c r="B792" s="25" t="s">
        <v>600</v>
      </c>
      <c r="C792" s="25" t="s">
        <v>1731</v>
      </c>
      <c r="D792" s="25" t="s">
        <v>935</v>
      </c>
      <c r="E792" s="25" t="s">
        <v>1735</v>
      </c>
      <c r="F792" s="25" t="s">
        <v>935</v>
      </c>
      <c r="G792" s="25">
        <v>1.285870656E7</v>
      </c>
      <c r="H792" s="25">
        <v>44204.2</v>
      </c>
      <c r="I792" s="26" t="s">
        <v>5441</v>
      </c>
      <c r="J792" s="26" t="s">
        <v>5442</v>
      </c>
      <c r="K792" s="26" t="str">
        <f t="shared" si="1"/>
        <v>CCB</v>
      </c>
      <c r="L792" s="26" t="str">
        <f t="shared" si="2"/>
        <v>Azelnidine</v>
      </c>
      <c r="M792" s="26"/>
    </row>
    <row r="793" ht="17.25" customHeight="1">
      <c r="B793" s="25" t="s">
        <v>600</v>
      </c>
      <c r="C793" s="25" t="s">
        <v>1731</v>
      </c>
      <c r="D793" s="25" t="s">
        <v>736</v>
      </c>
      <c r="E793" s="25" t="s">
        <v>1736</v>
      </c>
      <c r="F793" s="25" t="s">
        <v>736</v>
      </c>
      <c r="G793" s="25">
        <v>1007395.2</v>
      </c>
      <c r="H793" s="25">
        <v>4797.12</v>
      </c>
      <c r="I793" s="26" t="s">
        <v>5441</v>
      </c>
      <c r="J793" s="26" t="s">
        <v>5442</v>
      </c>
      <c r="K793" s="26" t="str">
        <f t="shared" si="1"/>
        <v>CCB</v>
      </c>
      <c r="L793" s="26" t="str">
        <f t="shared" si="2"/>
        <v>Azelnidine</v>
      </c>
      <c r="M793" s="26"/>
    </row>
    <row r="794" ht="17.25" customHeight="1">
      <c r="B794" s="25" t="s">
        <v>600</v>
      </c>
      <c r="C794" s="25" t="s">
        <v>1737</v>
      </c>
      <c r="D794" s="25" t="s">
        <v>1738</v>
      </c>
      <c r="E794" s="25" t="s">
        <v>1739</v>
      </c>
      <c r="F794" s="25" t="s">
        <v>876</v>
      </c>
      <c r="G794" s="25">
        <v>6.368930226E7</v>
      </c>
      <c r="H794" s="25">
        <v>158240.27</v>
      </c>
      <c r="I794" s="26" t="s">
        <v>5441</v>
      </c>
      <c r="J794" s="26" t="s">
        <v>5442</v>
      </c>
      <c r="K794" s="26" t="str">
        <f t="shared" si="1"/>
        <v>CCB</v>
      </c>
      <c r="L794" s="26" t="str">
        <f t="shared" si="2"/>
        <v>Barnidipine</v>
      </c>
      <c r="M794" s="26"/>
    </row>
    <row r="795" ht="17.25" customHeight="1">
      <c r="B795" s="25" t="s">
        <v>600</v>
      </c>
      <c r="C795" s="25" t="s">
        <v>1741</v>
      </c>
      <c r="D795" s="25" t="s">
        <v>1554</v>
      </c>
      <c r="E795" s="25" t="s">
        <v>1742</v>
      </c>
      <c r="F795" s="25" t="s">
        <v>1554</v>
      </c>
      <c r="G795" s="25">
        <v>2.2227038154E8</v>
      </c>
      <c r="H795" s="25">
        <v>529625.56</v>
      </c>
      <c r="I795" s="26" t="s">
        <v>5441</v>
      </c>
      <c r="J795" s="26" t="s">
        <v>5442</v>
      </c>
      <c r="K795" s="26" t="str">
        <f t="shared" si="1"/>
        <v>CCB</v>
      </c>
      <c r="L795" s="26" t="str">
        <f t="shared" si="2"/>
        <v>Benidipine</v>
      </c>
      <c r="M795" s="26"/>
    </row>
    <row r="796" ht="17.25" customHeight="1">
      <c r="B796" s="25" t="s">
        <v>600</v>
      </c>
      <c r="C796" s="25" t="s">
        <v>1741</v>
      </c>
      <c r="D796" s="25" t="s">
        <v>850</v>
      </c>
      <c r="E796" s="25" t="s">
        <v>1743</v>
      </c>
      <c r="F796" s="25" t="s">
        <v>850</v>
      </c>
      <c r="G796" s="25">
        <v>4.5436171858E8</v>
      </c>
      <c r="H796" s="25">
        <v>1077565.57</v>
      </c>
      <c r="I796" s="26" t="s">
        <v>5441</v>
      </c>
      <c r="J796" s="26" t="s">
        <v>5442</v>
      </c>
      <c r="K796" s="26" t="str">
        <f t="shared" si="1"/>
        <v>CCB</v>
      </c>
      <c r="L796" s="26" t="str">
        <f t="shared" si="2"/>
        <v>Benidipine</v>
      </c>
      <c r="M796" s="26"/>
    </row>
    <row r="797" ht="17.25" customHeight="1">
      <c r="B797" s="25" t="s">
        <v>600</v>
      </c>
      <c r="C797" s="25" t="s">
        <v>1741</v>
      </c>
      <c r="D797" s="25" t="s">
        <v>1040</v>
      </c>
      <c r="E797" s="25" t="s">
        <v>1744</v>
      </c>
      <c r="F797" s="25" t="s">
        <v>1040</v>
      </c>
      <c r="G797" s="25">
        <v>2.379652103E7</v>
      </c>
      <c r="H797" s="25">
        <v>61197.08</v>
      </c>
      <c r="I797" s="26" t="s">
        <v>5441</v>
      </c>
      <c r="J797" s="26" t="s">
        <v>5442</v>
      </c>
      <c r="K797" s="26" t="str">
        <f t="shared" si="1"/>
        <v>CCB</v>
      </c>
      <c r="L797" s="26" t="str">
        <f t="shared" si="2"/>
        <v>Benidipine</v>
      </c>
      <c r="M797" s="26"/>
    </row>
    <row r="798" ht="17.25" customHeight="1">
      <c r="B798" s="25" t="s">
        <v>600</v>
      </c>
      <c r="C798" s="25" t="s">
        <v>1745</v>
      </c>
      <c r="D798" s="25" t="s">
        <v>788</v>
      </c>
      <c r="E798" s="25" t="s">
        <v>1746</v>
      </c>
      <c r="F798" s="25" t="s">
        <v>788</v>
      </c>
      <c r="G798" s="25">
        <v>2.4111304175E8</v>
      </c>
      <c r="H798" s="25">
        <v>832655.42</v>
      </c>
      <c r="I798" s="26" t="s">
        <v>5441</v>
      </c>
      <c r="J798" s="26" t="s">
        <v>5442</v>
      </c>
      <c r="K798" s="26" t="str">
        <f t="shared" si="1"/>
        <v>CCB</v>
      </c>
      <c r="L798" s="26" t="str">
        <f t="shared" si="2"/>
        <v>Cilnidipine</v>
      </c>
      <c r="M798" s="26"/>
    </row>
    <row r="799" ht="17.25" customHeight="1">
      <c r="B799" s="25" t="s">
        <v>600</v>
      </c>
      <c r="C799" s="25" t="s">
        <v>1747</v>
      </c>
      <c r="D799" s="25" t="s">
        <v>1139</v>
      </c>
      <c r="E799" s="25" t="s">
        <v>1748</v>
      </c>
      <c r="F799" s="25" t="s">
        <v>1139</v>
      </c>
      <c r="G799" s="25">
        <v>1.97507081272E9</v>
      </c>
      <c r="H799" s="25">
        <v>1.282530318E7</v>
      </c>
      <c r="I799" s="26" t="s">
        <v>5441</v>
      </c>
      <c r="J799" s="26" t="s">
        <v>5442</v>
      </c>
      <c r="K799" s="26" t="str">
        <f t="shared" si="1"/>
        <v>CCB</v>
      </c>
      <c r="L799" s="26" t="str">
        <f t="shared" si="2"/>
        <v>diltiazem</v>
      </c>
      <c r="M799" s="26"/>
    </row>
    <row r="800" ht="17.25" customHeight="1">
      <c r="B800" s="25" t="s">
        <v>600</v>
      </c>
      <c r="C800" s="25" t="s">
        <v>1747</v>
      </c>
      <c r="D800" s="25" t="s">
        <v>1475</v>
      </c>
      <c r="E800" s="25" t="s">
        <v>1751</v>
      </c>
      <c r="F800" s="25" t="s">
        <v>1475</v>
      </c>
      <c r="G800" s="25">
        <v>1.7820918758E8</v>
      </c>
      <c r="H800" s="25">
        <v>822553.59</v>
      </c>
      <c r="I800" s="26" t="s">
        <v>5441</v>
      </c>
      <c r="J800" s="26" t="s">
        <v>5442</v>
      </c>
      <c r="K800" s="26" t="str">
        <f t="shared" si="1"/>
        <v>CCB</v>
      </c>
      <c r="L800" s="26" t="str">
        <f t="shared" si="2"/>
        <v>diltiazem</v>
      </c>
      <c r="M800" s="26"/>
    </row>
    <row r="801" ht="17.25" customHeight="1">
      <c r="B801" s="25" t="s">
        <v>600</v>
      </c>
      <c r="C801" s="25" t="s">
        <v>1747</v>
      </c>
      <c r="D801" s="25" t="s">
        <v>931</v>
      </c>
      <c r="E801" s="25" t="s">
        <v>1752</v>
      </c>
      <c r="F801" s="25" t="s">
        <v>931</v>
      </c>
      <c r="G801" s="25">
        <v>1.261604704E7</v>
      </c>
      <c r="H801" s="25">
        <v>197125.74</v>
      </c>
      <c r="I801" s="26" t="s">
        <v>5441</v>
      </c>
      <c r="J801" s="26" t="s">
        <v>5442</v>
      </c>
      <c r="K801" s="26" t="str">
        <f t="shared" si="1"/>
        <v>CCB</v>
      </c>
      <c r="L801" s="26" t="str">
        <f t="shared" si="2"/>
        <v>diltiazem</v>
      </c>
      <c r="M801" s="26"/>
    </row>
    <row r="802" ht="17.25" customHeight="1">
      <c r="B802" s="25" t="s">
        <v>600</v>
      </c>
      <c r="C802" s="25" t="s">
        <v>1747</v>
      </c>
      <c r="D802" s="25" t="s">
        <v>736</v>
      </c>
      <c r="E802" s="25" t="s">
        <v>1753</v>
      </c>
      <c r="F802" s="25" t="s">
        <v>736</v>
      </c>
      <c r="G802" s="25">
        <v>1.807918864E7</v>
      </c>
      <c r="H802" s="25">
        <v>98256.46</v>
      </c>
      <c r="I802" s="26" t="s">
        <v>5441</v>
      </c>
      <c r="J802" s="26" t="s">
        <v>5442</v>
      </c>
      <c r="K802" s="26" t="str">
        <f t="shared" si="1"/>
        <v>CCB</v>
      </c>
      <c r="L802" s="26" t="str">
        <f t="shared" si="2"/>
        <v>diltiazem</v>
      </c>
      <c r="M802" s="26"/>
    </row>
    <row r="803" ht="17.25" customHeight="1">
      <c r="B803" s="25" t="s">
        <v>600</v>
      </c>
      <c r="C803" s="25" t="s">
        <v>1754</v>
      </c>
      <c r="D803" s="25" t="s">
        <v>699</v>
      </c>
      <c r="E803" s="25" t="s">
        <v>1755</v>
      </c>
      <c r="F803" s="25" t="s">
        <v>699</v>
      </c>
      <c r="G803" s="25">
        <v>2.284379972E7</v>
      </c>
      <c r="H803" s="25">
        <v>60011.5</v>
      </c>
      <c r="I803" s="26" t="s">
        <v>5441</v>
      </c>
      <c r="J803" s="26" t="s">
        <v>5442</v>
      </c>
      <c r="K803" s="26" t="str">
        <f t="shared" si="1"/>
        <v>CCB</v>
      </c>
      <c r="L803" s="26" t="str">
        <f t="shared" si="2"/>
        <v>efonidipine</v>
      </c>
      <c r="M803" s="26"/>
    </row>
    <row r="804" ht="17.25" customHeight="1">
      <c r="B804" s="25" t="s">
        <v>600</v>
      </c>
      <c r="C804" s="25" t="s">
        <v>1757</v>
      </c>
      <c r="D804" s="25" t="s">
        <v>695</v>
      </c>
      <c r="E804" s="25" t="s">
        <v>1758</v>
      </c>
      <c r="F804" s="25" t="s">
        <v>695</v>
      </c>
      <c r="G804" s="25">
        <v>1901977.5</v>
      </c>
      <c r="H804" s="25">
        <v>5182.5</v>
      </c>
      <c r="I804" s="26" t="s">
        <v>5441</v>
      </c>
      <c r="J804" s="26" t="s">
        <v>5442</v>
      </c>
      <c r="K804" s="26" t="str">
        <f t="shared" si="1"/>
        <v>CCB</v>
      </c>
      <c r="L804" s="26" t="str">
        <f t="shared" si="2"/>
        <v>felodipine</v>
      </c>
      <c r="M804" s="26"/>
    </row>
    <row r="805" ht="17.25" customHeight="1">
      <c r="B805" s="25" t="s">
        <v>600</v>
      </c>
      <c r="C805" s="25" t="s">
        <v>1757</v>
      </c>
      <c r="D805" s="25" t="s">
        <v>751</v>
      </c>
      <c r="E805" s="25" t="s">
        <v>1759</v>
      </c>
      <c r="F805" s="25" t="s">
        <v>751</v>
      </c>
      <c r="G805" s="25">
        <v>2.856533472E7</v>
      </c>
      <c r="H805" s="25">
        <v>91555.56</v>
      </c>
      <c r="I805" s="26" t="s">
        <v>5441</v>
      </c>
      <c r="J805" s="26" t="s">
        <v>5442</v>
      </c>
      <c r="K805" s="26" t="str">
        <f t="shared" si="1"/>
        <v>CCB</v>
      </c>
      <c r="L805" s="26" t="str">
        <f t="shared" si="2"/>
        <v>felodipine</v>
      </c>
      <c r="M805" s="26"/>
    </row>
    <row r="806" ht="17.25" customHeight="1">
      <c r="B806" s="25" t="s">
        <v>600</v>
      </c>
      <c r="C806" s="25" t="s">
        <v>1757</v>
      </c>
      <c r="D806" s="25" t="s">
        <v>753</v>
      </c>
      <c r="E806" s="25" t="s">
        <v>1760</v>
      </c>
      <c r="F806" s="25" t="s">
        <v>753</v>
      </c>
      <c r="G806" s="25">
        <v>1.266367128E7</v>
      </c>
      <c r="H806" s="25">
        <v>40588.69</v>
      </c>
      <c r="I806" s="26" t="s">
        <v>5441</v>
      </c>
      <c r="J806" s="26" t="s">
        <v>5442</v>
      </c>
      <c r="K806" s="26" t="str">
        <f t="shared" si="1"/>
        <v>CCB</v>
      </c>
      <c r="L806" s="26" t="str">
        <f t="shared" si="2"/>
        <v>felodipine</v>
      </c>
      <c r="M806" s="26"/>
    </row>
    <row r="807" ht="17.25" customHeight="1">
      <c r="B807" s="25" t="s">
        <v>600</v>
      </c>
      <c r="C807" s="25" t="s">
        <v>1757</v>
      </c>
      <c r="D807" s="25" t="s">
        <v>1761</v>
      </c>
      <c r="E807" s="25" t="s">
        <v>1762</v>
      </c>
      <c r="F807" s="25" t="s">
        <v>1761</v>
      </c>
      <c r="G807" s="25">
        <v>2.91828429E7</v>
      </c>
      <c r="H807" s="25">
        <v>80838.9</v>
      </c>
      <c r="I807" s="26" t="s">
        <v>5441</v>
      </c>
      <c r="J807" s="26" t="s">
        <v>5442</v>
      </c>
      <c r="K807" s="26" t="str">
        <f t="shared" si="1"/>
        <v>CCB</v>
      </c>
      <c r="L807" s="26" t="str">
        <f t="shared" si="2"/>
        <v>felodipine</v>
      </c>
      <c r="M807" s="26"/>
    </row>
    <row r="808" ht="17.25" customHeight="1">
      <c r="B808" s="25" t="s">
        <v>600</v>
      </c>
      <c r="C808" s="25" t="s">
        <v>1757</v>
      </c>
      <c r="D808" s="25" t="s">
        <v>786</v>
      </c>
      <c r="E808" s="25" t="s">
        <v>1763</v>
      </c>
      <c r="F808" s="25" t="s">
        <v>786</v>
      </c>
      <c r="G808" s="25">
        <v>1.011465312E7</v>
      </c>
      <c r="H808" s="25">
        <v>32418.76</v>
      </c>
      <c r="I808" s="26" t="s">
        <v>5441</v>
      </c>
      <c r="J808" s="26" t="s">
        <v>5442</v>
      </c>
      <c r="K808" s="26" t="str">
        <f t="shared" si="1"/>
        <v>CCB</v>
      </c>
      <c r="L808" s="26" t="str">
        <f t="shared" si="2"/>
        <v>felodipine</v>
      </c>
      <c r="M808" s="26"/>
    </row>
    <row r="809" ht="17.25" customHeight="1">
      <c r="B809" s="25" t="s">
        <v>600</v>
      </c>
      <c r="C809" s="25" t="s">
        <v>1757</v>
      </c>
      <c r="D809" s="25" t="s">
        <v>796</v>
      </c>
      <c r="E809" s="25" t="s">
        <v>1764</v>
      </c>
      <c r="F809" s="25" t="s">
        <v>796</v>
      </c>
      <c r="G809" s="25">
        <v>7535826.48</v>
      </c>
      <c r="H809" s="25">
        <v>24153.29</v>
      </c>
      <c r="I809" s="26" t="s">
        <v>5441</v>
      </c>
      <c r="J809" s="26" t="s">
        <v>5442</v>
      </c>
      <c r="K809" s="26" t="str">
        <f t="shared" si="1"/>
        <v>CCB</v>
      </c>
      <c r="L809" s="26" t="str">
        <f t="shared" si="2"/>
        <v>felodipine</v>
      </c>
      <c r="M809" s="26"/>
    </row>
    <row r="810" ht="17.25" customHeight="1">
      <c r="B810" s="25" t="s">
        <v>600</v>
      </c>
      <c r="C810" s="25" t="s">
        <v>1757</v>
      </c>
      <c r="D810" s="25" t="s">
        <v>810</v>
      </c>
      <c r="E810" s="25" t="s">
        <v>1765</v>
      </c>
      <c r="F810" s="25" t="s">
        <v>810</v>
      </c>
      <c r="G810" s="25">
        <v>1.4214486E7</v>
      </c>
      <c r="H810" s="25">
        <v>45559.25</v>
      </c>
      <c r="I810" s="26" t="s">
        <v>5441</v>
      </c>
      <c r="J810" s="26" t="s">
        <v>5442</v>
      </c>
      <c r="K810" s="26" t="str">
        <f t="shared" si="1"/>
        <v>CCB</v>
      </c>
      <c r="L810" s="26" t="str">
        <f t="shared" si="2"/>
        <v>felodipine</v>
      </c>
      <c r="M810" s="26"/>
    </row>
    <row r="811" ht="17.25" customHeight="1">
      <c r="B811" s="25" t="s">
        <v>600</v>
      </c>
      <c r="C811" s="25" t="s">
        <v>1757</v>
      </c>
      <c r="D811" s="25" t="s">
        <v>820</v>
      </c>
      <c r="E811" s="25" t="s">
        <v>1766</v>
      </c>
      <c r="F811" s="25" t="s">
        <v>701</v>
      </c>
      <c r="G811" s="25">
        <v>4.734522884E7</v>
      </c>
      <c r="H811" s="25">
        <v>130069.31</v>
      </c>
      <c r="I811" s="26" t="s">
        <v>5441</v>
      </c>
      <c r="J811" s="26" t="s">
        <v>5442</v>
      </c>
      <c r="K811" s="26" t="str">
        <f t="shared" si="1"/>
        <v>CCB</v>
      </c>
      <c r="L811" s="26" t="str">
        <f t="shared" si="2"/>
        <v>felodipine</v>
      </c>
      <c r="M811" s="26"/>
    </row>
    <row r="812" ht="17.25" customHeight="1">
      <c r="B812" s="25" t="s">
        <v>600</v>
      </c>
      <c r="C812" s="25" t="s">
        <v>1757</v>
      </c>
      <c r="D812" s="25" t="s">
        <v>848</v>
      </c>
      <c r="E812" s="25" t="s">
        <v>1767</v>
      </c>
      <c r="F812" s="25" t="s">
        <v>848</v>
      </c>
      <c r="G812" s="25">
        <v>1.936956216E7</v>
      </c>
      <c r="H812" s="25">
        <v>62081.93</v>
      </c>
      <c r="I812" s="26" t="s">
        <v>5441</v>
      </c>
      <c r="J812" s="26" t="s">
        <v>5442</v>
      </c>
      <c r="K812" s="26" t="str">
        <f t="shared" si="1"/>
        <v>CCB</v>
      </c>
      <c r="L812" s="26" t="str">
        <f t="shared" si="2"/>
        <v>felodipine</v>
      </c>
      <c r="M812" s="26"/>
    </row>
    <row r="813" ht="17.25" customHeight="1">
      <c r="B813" s="25" t="s">
        <v>600</v>
      </c>
      <c r="C813" s="25" t="s">
        <v>1757</v>
      </c>
      <c r="D813" s="25" t="s">
        <v>862</v>
      </c>
      <c r="E813" s="25" t="s">
        <v>1768</v>
      </c>
      <c r="F813" s="25" t="s">
        <v>862</v>
      </c>
      <c r="G813" s="25">
        <v>4.965917737E7</v>
      </c>
      <c r="H813" s="25">
        <v>135311.11</v>
      </c>
      <c r="I813" s="26" t="s">
        <v>5441</v>
      </c>
      <c r="J813" s="26" t="s">
        <v>5442</v>
      </c>
      <c r="K813" s="26" t="str">
        <f t="shared" si="1"/>
        <v>CCB</v>
      </c>
      <c r="L813" s="26" t="str">
        <f t="shared" si="2"/>
        <v>felodipine</v>
      </c>
      <c r="M813" s="26"/>
    </row>
    <row r="814" ht="17.25" customHeight="1">
      <c r="B814" s="25" t="s">
        <v>600</v>
      </c>
      <c r="C814" s="25" t="s">
        <v>1757</v>
      </c>
      <c r="D814" s="25" t="s">
        <v>734</v>
      </c>
      <c r="E814" s="25" t="s">
        <v>1769</v>
      </c>
      <c r="F814" s="25" t="s">
        <v>734</v>
      </c>
      <c r="G814" s="25">
        <v>4862448.24</v>
      </c>
      <c r="H814" s="25">
        <v>15584.77</v>
      </c>
      <c r="I814" s="26" t="s">
        <v>5441</v>
      </c>
      <c r="J814" s="26" t="s">
        <v>5442</v>
      </c>
      <c r="K814" s="26" t="str">
        <f t="shared" si="1"/>
        <v>CCB</v>
      </c>
      <c r="L814" s="26" t="str">
        <f t="shared" si="2"/>
        <v>felodipine</v>
      </c>
      <c r="M814" s="26"/>
    </row>
    <row r="815" ht="17.25" customHeight="1">
      <c r="B815" s="25" t="s">
        <v>600</v>
      </c>
      <c r="C815" s="25" t="s">
        <v>1757</v>
      </c>
      <c r="D815" s="25" t="s">
        <v>999</v>
      </c>
      <c r="E815" s="25" t="s">
        <v>1770</v>
      </c>
      <c r="F815" s="25" t="s">
        <v>999</v>
      </c>
      <c r="G815" s="25">
        <v>3255539.04</v>
      </c>
      <c r="H815" s="25">
        <v>10434.42</v>
      </c>
      <c r="I815" s="26" t="s">
        <v>5441</v>
      </c>
      <c r="J815" s="26" t="s">
        <v>5442</v>
      </c>
      <c r="K815" s="26" t="str">
        <f t="shared" si="1"/>
        <v>CCB</v>
      </c>
      <c r="L815" s="26" t="str">
        <f t="shared" si="2"/>
        <v>felodipine</v>
      </c>
      <c r="M815" s="26"/>
    </row>
    <row r="816" ht="17.25" customHeight="1">
      <c r="B816" s="25" t="s">
        <v>600</v>
      </c>
      <c r="C816" s="25" t="s">
        <v>1757</v>
      </c>
      <c r="D816" s="25" t="s">
        <v>838</v>
      </c>
      <c r="E816" s="25" t="s">
        <v>1771</v>
      </c>
      <c r="F816" s="25" t="s">
        <v>838</v>
      </c>
      <c r="G816" s="25">
        <v>3402310.28</v>
      </c>
      <c r="H816" s="25">
        <v>9503.66</v>
      </c>
      <c r="I816" s="26" t="s">
        <v>5441</v>
      </c>
      <c r="J816" s="26" t="s">
        <v>5442</v>
      </c>
      <c r="K816" s="26" t="str">
        <f t="shared" si="1"/>
        <v>CCB</v>
      </c>
      <c r="L816" s="26" t="str">
        <f t="shared" si="2"/>
        <v>felodipine</v>
      </c>
      <c r="M816" s="26"/>
    </row>
    <row r="817" ht="17.25" customHeight="1">
      <c r="B817" s="25" t="s">
        <v>600</v>
      </c>
      <c r="C817" s="25" t="s">
        <v>1757</v>
      </c>
      <c r="D817" s="25" t="s">
        <v>898</v>
      </c>
      <c r="E817" s="25" t="s">
        <v>1772</v>
      </c>
      <c r="F817" s="25" t="s">
        <v>898</v>
      </c>
      <c r="G817" s="25">
        <v>4617244.32</v>
      </c>
      <c r="H817" s="25">
        <v>14798.86</v>
      </c>
      <c r="I817" s="26" t="s">
        <v>5441</v>
      </c>
      <c r="J817" s="26" t="s">
        <v>5442</v>
      </c>
      <c r="K817" s="26" t="str">
        <f t="shared" si="1"/>
        <v>CCB</v>
      </c>
      <c r="L817" s="26" t="str">
        <f t="shared" si="2"/>
        <v>felodipine</v>
      </c>
      <c r="M817" s="26"/>
    </row>
    <row r="818" ht="17.25" customHeight="1">
      <c r="B818" s="25" t="s">
        <v>600</v>
      </c>
      <c r="C818" s="25" t="s">
        <v>1757</v>
      </c>
      <c r="D818" s="25" t="s">
        <v>1176</v>
      </c>
      <c r="E818" s="25" t="s">
        <v>1773</v>
      </c>
      <c r="F818" s="25" t="s">
        <v>1176</v>
      </c>
      <c r="G818" s="25">
        <v>6931850.13</v>
      </c>
      <c r="H818" s="25">
        <v>18887.88</v>
      </c>
      <c r="I818" s="26" t="s">
        <v>5441</v>
      </c>
      <c r="J818" s="26" t="s">
        <v>5442</v>
      </c>
      <c r="K818" s="26" t="str">
        <f t="shared" si="1"/>
        <v>CCB</v>
      </c>
      <c r="L818" s="26" t="str">
        <f t="shared" si="2"/>
        <v>felodipine</v>
      </c>
      <c r="M818" s="26"/>
    </row>
    <row r="819" ht="17.25" customHeight="1">
      <c r="B819" s="25" t="s">
        <v>600</v>
      </c>
      <c r="C819" s="25" t="s">
        <v>1757</v>
      </c>
      <c r="D819" s="25" t="s">
        <v>1445</v>
      </c>
      <c r="E819" s="25" t="s">
        <v>1774</v>
      </c>
      <c r="F819" s="25" t="s">
        <v>1445</v>
      </c>
      <c r="G819" s="25">
        <v>1.1040562655E8</v>
      </c>
      <c r="H819" s="25">
        <v>326818.15</v>
      </c>
      <c r="I819" s="26" t="s">
        <v>5441</v>
      </c>
      <c r="J819" s="26" t="s">
        <v>5442</v>
      </c>
      <c r="K819" s="26" t="str">
        <f t="shared" si="1"/>
        <v>CCB</v>
      </c>
      <c r="L819" s="26" t="str">
        <f t="shared" si="2"/>
        <v>felodipine</v>
      </c>
      <c r="M819" s="26"/>
    </row>
    <row r="820" ht="17.25" customHeight="1">
      <c r="B820" s="25" t="s">
        <v>600</v>
      </c>
      <c r="C820" s="25" t="s">
        <v>1775</v>
      </c>
      <c r="D820" s="25" t="s">
        <v>746</v>
      </c>
      <c r="E820" s="25" t="s">
        <v>1776</v>
      </c>
      <c r="F820" s="25" t="s">
        <v>1777</v>
      </c>
      <c r="G820" s="25">
        <v>1.4038502778E8</v>
      </c>
      <c r="H820" s="25">
        <v>381457.06</v>
      </c>
      <c r="I820" s="26" t="s">
        <v>5441</v>
      </c>
      <c r="J820" s="26" t="s">
        <v>5442</v>
      </c>
      <c r="K820" s="26" t="str">
        <f t="shared" si="1"/>
        <v>CCB</v>
      </c>
      <c r="L820" s="26" t="str">
        <f t="shared" si="2"/>
        <v>lacidipine</v>
      </c>
      <c r="M820" s="26"/>
    </row>
    <row r="821" ht="17.25" customHeight="1">
      <c r="B821" s="25" t="s">
        <v>600</v>
      </c>
      <c r="C821" s="25" t="s">
        <v>1778</v>
      </c>
      <c r="D821" s="25" t="s">
        <v>746</v>
      </c>
      <c r="E821" s="25" t="s">
        <v>1779</v>
      </c>
      <c r="F821" s="25" t="s">
        <v>746</v>
      </c>
      <c r="G821" s="25">
        <v>8676227.04</v>
      </c>
      <c r="H821" s="25">
        <v>27808.42</v>
      </c>
      <c r="I821" s="26" t="s">
        <v>5441</v>
      </c>
      <c r="J821" s="26" t="s">
        <v>5442</v>
      </c>
      <c r="K821" s="26" t="str">
        <f t="shared" si="1"/>
        <v>CCB</v>
      </c>
      <c r="L821" s="26" t="str">
        <f t="shared" si="2"/>
        <v>lercanidipine</v>
      </c>
      <c r="M821" s="26"/>
    </row>
    <row r="822" ht="17.25" customHeight="1">
      <c r="B822" s="25" t="s">
        <v>600</v>
      </c>
      <c r="C822" s="25" t="s">
        <v>1778</v>
      </c>
      <c r="D822" s="25" t="s">
        <v>720</v>
      </c>
      <c r="E822" s="25" t="s">
        <v>1781</v>
      </c>
      <c r="F822" s="25" t="s">
        <v>720</v>
      </c>
      <c r="G822" s="25">
        <v>6566258.1</v>
      </c>
      <c r="H822" s="25">
        <v>20080.3</v>
      </c>
      <c r="I822" s="26" t="s">
        <v>5441</v>
      </c>
      <c r="J822" s="26" t="s">
        <v>5442</v>
      </c>
      <c r="K822" s="26" t="str">
        <f t="shared" si="1"/>
        <v>CCB</v>
      </c>
      <c r="L822" s="26" t="str">
        <f t="shared" si="2"/>
        <v>lercanidipine</v>
      </c>
      <c r="M822" s="26"/>
    </row>
    <row r="823" ht="17.25" customHeight="1">
      <c r="B823" s="25" t="s">
        <v>600</v>
      </c>
      <c r="C823" s="25" t="s">
        <v>1778</v>
      </c>
      <c r="D823" s="25" t="s">
        <v>783</v>
      </c>
      <c r="E823" s="25" t="s">
        <v>1782</v>
      </c>
      <c r="F823" s="25" t="s">
        <v>783</v>
      </c>
      <c r="G823" s="25">
        <v>6449093.04</v>
      </c>
      <c r="H823" s="25">
        <v>20670.17</v>
      </c>
      <c r="I823" s="26" t="s">
        <v>5441</v>
      </c>
      <c r="J823" s="26" t="s">
        <v>5442</v>
      </c>
      <c r="K823" s="26" t="str">
        <f t="shared" si="1"/>
        <v>CCB</v>
      </c>
      <c r="L823" s="26" t="str">
        <f t="shared" si="2"/>
        <v>lercanidipine</v>
      </c>
      <c r="M823" s="26"/>
    </row>
    <row r="824" ht="17.25" customHeight="1">
      <c r="B824" s="25" t="s">
        <v>600</v>
      </c>
      <c r="C824" s="25" t="s">
        <v>1778</v>
      </c>
      <c r="D824" s="25" t="s">
        <v>810</v>
      </c>
      <c r="E824" s="25" t="s">
        <v>1783</v>
      </c>
      <c r="F824" s="25" t="s">
        <v>810</v>
      </c>
      <c r="G824" s="25">
        <v>5.508732518E7</v>
      </c>
      <c r="H824" s="25">
        <v>153875.21</v>
      </c>
      <c r="I824" s="26" t="s">
        <v>5441</v>
      </c>
      <c r="J824" s="26" t="s">
        <v>5442</v>
      </c>
      <c r="K824" s="26" t="str">
        <f t="shared" si="1"/>
        <v>CCB</v>
      </c>
      <c r="L824" s="26" t="str">
        <f t="shared" si="2"/>
        <v>lercanidipine</v>
      </c>
      <c r="M824" s="26"/>
    </row>
    <row r="825" ht="17.25" customHeight="1">
      <c r="B825" s="25" t="s">
        <v>600</v>
      </c>
      <c r="C825" s="25" t="s">
        <v>1778</v>
      </c>
      <c r="D825" s="25" t="s">
        <v>826</v>
      </c>
      <c r="E825" s="25" t="s">
        <v>1784</v>
      </c>
      <c r="F825" s="25" t="s">
        <v>826</v>
      </c>
      <c r="G825" s="25">
        <v>8846086.08</v>
      </c>
      <c r="H825" s="25">
        <v>28352.84</v>
      </c>
      <c r="I825" s="26" t="s">
        <v>5441</v>
      </c>
      <c r="J825" s="26" t="s">
        <v>5442</v>
      </c>
      <c r="K825" s="26" t="str">
        <f t="shared" si="1"/>
        <v>CCB</v>
      </c>
      <c r="L825" s="26" t="str">
        <f t="shared" si="2"/>
        <v>lercanidipine</v>
      </c>
      <c r="M825" s="26"/>
    </row>
    <row r="826" ht="17.25" customHeight="1">
      <c r="B826" s="25" t="s">
        <v>600</v>
      </c>
      <c r="C826" s="25" t="s">
        <v>1778</v>
      </c>
      <c r="D826" s="25" t="s">
        <v>1040</v>
      </c>
      <c r="E826" s="25" t="s">
        <v>1785</v>
      </c>
      <c r="F826" s="25" t="s">
        <v>1040</v>
      </c>
      <c r="G826" s="25">
        <v>3.348522921E7</v>
      </c>
      <c r="H826" s="25">
        <v>115865.85</v>
      </c>
      <c r="I826" s="26" t="s">
        <v>5441</v>
      </c>
      <c r="J826" s="26" t="s">
        <v>5442</v>
      </c>
      <c r="K826" s="26" t="str">
        <f t="shared" si="1"/>
        <v>CCB</v>
      </c>
      <c r="L826" s="26" t="str">
        <f t="shared" si="2"/>
        <v>lercanidipine</v>
      </c>
      <c r="M826" s="26"/>
    </row>
    <row r="827" ht="17.25" customHeight="1">
      <c r="B827" s="25" t="s">
        <v>600</v>
      </c>
      <c r="C827" s="25" t="s">
        <v>1778</v>
      </c>
      <c r="D827" s="25" t="s">
        <v>734</v>
      </c>
      <c r="E827" s="25" t="s">
        <v>1786</v>
      </c>
      <c r="F827" s="25" t="s">
        <v>734</v>
      </c>
      <c r="G827" s="25">
        <v>2.499838848E7</v>
      </c>
      <c r="H827" s="25">
        <v>80123.04</v>
      </c>
      <c r="I827" s="26" t="s">
        <v>5441</v>
      </c>
      <c r="J827" s="26" t="s">
        <v>5442</v>
      </c>
      <c r="K827" s="26" t="str">
        <f t="shared" si="1"/>
        <v>CCB</v>
      </c>
      <c r="L827" s="26" t="str">
        <f t="shared" si="2"/>
        <v>lercanidipine</v>
      </c>
      <c r="M827" s="26"/>
    </row>
    <row r="828" ht="17.25" customHeight="1">
      <c r="B828" s="25" t="s">
        <v>600</v>
      </c>
      <c r="C828" s="25" t="s">
        <v>1778</v>
      </c>
      <c r="D828" s="25" t="s">
        <v>902</v>
      </c>
      <c r="E828" s="25" t="s">
        <v>1787</v>
      </c>
      <c r="F828" s="25" t="s">
        <v>902</v>
      </c>
      <c r="G828" s="25">
        <v>1.440309312E7</v>
      </c>
      <c r="H828" s="25">
        <v>46163.76</v>
      </c>
      <c r="I828" s="26" t="s">
        <v>5441</v>
      </c>
      <c r="J828" s="26" t="s">
        <v>5442</v>
      </c>
      <c r="K828" s="26" t="str">
        <f t="shared" si="1"/>
        <v>CCB</v>
      </c>
      <c r="L828" s="26" t="str">
        <f t="shared" si="2"/>
        <v>lercanidipine</v>
      </c>
      <c r="M828" s="26"/>
    </row>
    <row r="829" ht="17.25" customHeight="1">
      <c r="B829" s="25" t="s">
        <v>600</v>
      </c>
      <c r="C829" s="25" t="s">
        <v>1778</v>
      </c>
      <c r="D829" s="25" t="s">
        <v>915</v>
      </c>
      <c r="E829" s="25" t="s">
        <v>1788</v>
      </c>
      <c r="F829" s="25" t="s">
        <v>915</v>
      </c>
      <c r="G829" s="25">
        <v>2.430112776E7</v>
      </c>
      <c r="H829" s="25">
        <v>66761.34</v>
      </c>
      <c r="I829" s="26" t="s">
        <v>5441</v>
      </c>
      <c r="J829" s="26" t="s">
        <v>5442</v>
      </c>
      <c r="K829" s="26" t="str">
        <f t="shared" si="1"/>
        <v>CCB</v>
      </c>
      <c r="L829" s="26" t="str">
        <f t="shared" si="2"/>
        <v>lercanidipine</v>
      </c>
      <c r="M829" s="26"/>
    </row>
    <row r="830" ht="17.25" customHeight="1">
      <c r="B830" s="25" t="s">
        <v>600</v>
      </c>
      <c r="C830" s="25" t="s">
        <v>1778</v>
      </c>
      <c r="D830" s="25" t="s">
        <v>931</v>
      </c>
      <c r="E830" s="25" t="s">
        <v>1789</v>
      </c>
      <c r="F830" s="25" t="s">
        <v>931</v>
      </c>
      <c r="G830" s="25">
        <v>7439861.52</v>
      </c>
      <c r="H830" s="25">
        <v>23845.71</v>
      </c>
      <c r="I830" s="26" t="s">
        <v>5441</v>
      </c>
      <c r="J830" s="26" t="s">
        <v>5442</v>
      </c>
      <c r="K830" s="26" t="str">
        <f t="shared" si="1"/>
        <v>CCB</v>
      </c>
      <c r="L830" s="26" t="str">
        <f t="shared" si="2"/>
        <v>lercanidipine</v>
      </c>
      <c r="M830" s="26"/>
    </row>
    <row r="831" ht="17.25" customHeight="1">
      <c r="B831" s="25" t="s">
        <v>600</v>
      </c>
      <c r="C831" s="25" t="s">
        <v>1778</v>
      </c>
      <c r="D831" s="25" t="s">
        <v>935</v>
      </c>
      <c r="E831" s="25" t="s">
        <v>1790</v>
      </c>
      <c r="F831" s="25" t="s">
        <v>935</v>
      </c>
      <c r="G831" s="25">
        <v>4.357189673E7</v>
      </c>
      <c r="H831" s="25">
        <v>119703.03</v>
      </c>
      <c r="I831" s="26" t="s">
        <v>5441</v>
      </c>
      <c r="J831" s="26" t="s">
        <v>5442</v>
      </c>
      <c r="K831" s="26" t="str">
        <f t="shared" si="1"/>
        <v>CCB</v>
      </c>
      <c r="L831" s="26" t="str">
        <f t="shared" si="2"/>
        <v>lercanidipine</v>
      </c>
      <c r="M831" s="26"/>
    </row>
    <row r="832" ht="17.25" customHeight="1">
      <c r="B832" s="25" t="s">
        <v>600</v>
      </c>
      <c r="C832" s="25" t="s">
        <v>1778</v>
      </c>
      <c r="D832" s="25" t="s">
        <v>1791</v>
      </c>
      <c r="E832" s="25" t="s">
        <v>1792</v>
      </c>
      <c r="F832" s="25" t="s">
        <v>1791</v>
      </c>
      <c r="G832" s="25">
        <v>4.1116910625E8</v>
      </c>
      <c r="H832" s="25">
        <v>1132697.49</v>
      </c>
      <c r="I832" s="26" t="s">
        <v>5441</v>
      </c>
      <c r="J832" s="26" t="s">
        <v>5442</v>
      </c>
      <c r="K832" s="26" t="str">
        <f t="shared" si="1"/>
        <v>CCB</v>
      </c>
      <c r="L832" s="26" t="str">
        <f t="shared" si="2"/>
        <v>lercanidipine</v>
      </c>
      <c r="M832" s="26"/>
    </row>
    <row r="833" ht="17.25" customHeight="1">
      <c r="B833" s="25" t="s">
        <v>600</v>
      </c>
      <c r="C833" s="25" t="s">
        <v>1793</v>
      </c>
      <c r="D833" s="25" t="s">
        <v>722</v>
      </c>
      <c r="E833" s="25" t="s">
        <v>1794</v>
      </c>
      <c r="F833" s="25" t="s">
        <v>1139</v>
      </c>
      <c r="G833" s="25">
        <v>2.2476150257E8</v>
      </c>
      <c r="H833" s="25">
        <v>449760.57</v>
      </c>
      <c r="I833" s="26" t="s">
        <v>5441</v>
      </c>
      <c r="J833" s="26" t="s">
        <v>5442</v>
      </c>
      <c r="K833" s="26" t="str">
        <f t="shared" si="1"/>
        <v>CCB</v>
      </c>
      <c r="L833" s="26" t="str">
        <f t="shared" si="2"/>
        <v>manidipine</v>
      </c>
      <c r="M833" s="26"/>
    </row>
    <row r="834" ht="17.25" customHeight="1">
      <c r="B834" s="25" t="s">
        <v>600</v>
      </c>
      <c r="C834" s="25" t="s">
        <v>1796</v>
      </c>
      <c r="D834" s="25" t="s">
        <v>1478</v>
      </c>
      <c r="E834" s="25" t="s">
        <v>1797</v>
      </c>
      <c r="F834" s="25" t="s">
        <v>1473</v>
      </c>
      <c r="G834" s="25">
        <v>7.808099328E7</v>
      </c>
      <c r="H834" s="25">
        <v>271114.56</v>
      </c>
      <c r="I834" s="26" t="s">
        <v>5441</v>
      </c>
      <c r="J834" s="26" t="s">
        <v>5442</v>
      </c>
      <c r="K834" s="26" t="str">
        <f t="shared" si="1"/>
        <v>CCB</v>
      </c>
      <c r="L834" s="26" t="str">
        <f t="shared" si="2"/>
        <v>nifedipine</v>
      </c>
      <c r="M834" s="26"/>
    </row>
    <row r="835" ht="17.25" customHeight="1">
      <c r="B835" s="25" t="s">
        <v>600</v>
      </c>
      <c r="C835" s="25" t="s">
        <v>1796</v>
      </c>
      <c r="D835" s="25" t="s">
        <v>1478</v>
      </c>
      <c r="E835" s="25" t="s">
        <v>1798</v>
      </c>
      <c r="F835" s="25" t="s">
        <v>1473</v>
      </c>
      <c r="G835" s="25">
        <v>9.572077567E7</v>
      </c>
      <c r="H835" s="25">
        <v>284037.91</v>
      </c>
      <c r="I835" s="26" t="s">
        <v>5441</v>
      </c>
      <c r="J835" s="26" t="s">
        <v>5442</v>
      </c>
      <c r="K835" s="26" t="str">
        <f t="shared" si="1"/>
        <v>CCB</v>
      </c>
      <c r="L835" s="26" t="str">
        <f t="shared" si="2"/>
        <v>nifedipine</v>
      </c>
      <c r="M835" s="26"/>
    </row>
    <row r="836" ht="17.25" customHeight="1">
      <c r="B836" s="25" t="s">
        <v>600</v>
      </c>
      <c r="C836" s="25" t="s">
        <v>1796</v>
      </c>
      <c r="D836" s="25" t="s">
        <v>746</v>
      </c>
      <c r="E836" s="25" t="s">
        <v>1799</v>
      </c>
      <c r="F836" s="25" t="s">
        <v>746</v>
      </c>
      <c r="G836" s="25">
        <v>1.3697831355E8</v>
      </c>
      <c r="H836" s="25">
        <v>397038.59</v>
      </c>
      <c r="I836" s="26" t="s">
        <v>5441</v>
      </c>
      <c r="J836" s="26" t="s">
        <v>5442</v>
      </c>
      <c r="K836" s="26" t="str">
        <f t="shared" si="1"/>
        <v>CCB</v>
      </c>
      <c r="L836" s="26" t="str">
        <f t="shared" si="2"/>
        <v>nifedipine</v>
      </c>
      <c r="M836" s="26"/>
    </row>
    <row r="837" ht="17.25" customHeight="1">
      <c r="B837" s="25" t="s">
        <v>600</v>
      </c>
      <c r="C837" s="25" t="s">
        <v>1796</v>
      </c>
      <c r="D837" s="25" t="s">
        <v>1800</v>
      </c>
      <c r="E837" s="25" t="s">
        <v>1801</v>
      </c>
      <c r="F837" s="25" t="s">
        <v>1800</v>
      </c>
      <c r="G837" s="25">
        <v>1.01509267567E9</v>
      </c>
      <c r="H837" s="25">
        <v>3243107.59</v>
      </c>
      <c r="I837" s="26" t="s">
        <v>5441</v>
      </c>
      <c r="J837" s="26" t="s">
        <v>5442</v>
      </c>
      <c r="K837" s="26" t="str">
        <f t="shared" si="1"/>
        <v>CCB</v>
      </c>
      <c r="L837" s="26" t="str">
        <f t="shared" si="2"/>
        <v>nifedipine</v>
      </c>
      <c r="M837" s="26"/>
    </row>
    <row r="838" ht="17.25" customHeight="1">
      <c r="B838" s="25" t="s">
        <v>600</v>
      </c>
      <c r="C838" s="25" t="s">
        <v>1796</v>
      </c>
      <c r="D838" s="25" t="s">
        <v>1473</v>
      </c>
      <c r="E838" s="25" t="s">
        <v>1797</v>
      </c>
      <c r="F838" s="25" t="s">
        <v>1473</v>
      </c>
      <c r="G838" s="25">
        <v>1.468918947E7</v>
      </c>
      <c r="H838" s="25">
        <v>76109.79</v>
      </c>
      <c r="I838" s="26" t="s">
        <v>5441</v>
      </c>
      <c r="J838" s="26" t="s">
        <v>5442</v>
      </c>
      <c r="K838" s="26" t="str">
        <f t="shared" si="1"/>
        <v>CCB</v>
      </c>
      <c r="L838" s="26" t="str">
        <f t="shared" si="2"/>
        <v>nifedipine</v>
      </c>
      <c r="M838" s="26"/>
    </row>
    <row r="839" ht="17.25" customHeight="1">
      <c r="B839" s="25" t="s">
        <v>600</v>
      </c>
      <c r="C839" s="25" t="s">
        <v>1802</v>
      </c>
      <c r="D839" s="25" t="s">
        <v>695</v>
      </c>
      <c r="E839" s="25" t="s">
        <v>1803</v>
      </c>
      <c r="F839" s="25" t="s">
        <v>695</v>
      </c>
      <c r="G839" s="25">
        <v>5.817226081E7</v>
      </c>
      <c r="H839" s="25">
        <v>164624.16</v>
      </c>
      <c r="I839" s="26" t="s">
        <v>5441</v>
      </c>
      <c r="J839" s="26" t="s">
        <v>5442</v>
      </c>
      <c r="K839" s="26" t="str">
        <f t="shared" si="1"/>
        <v>CCB</v>
      </c>
      <c r="L839" s="26" t="str">
        <f t="shared" si="2"/>
        <v>S-amlodipine</v>
      </c>
      <c r="M839" s="26"/>
    </row>
    <row r="840" ht="17.25" customHeight="1">
      <c r="B840" s="25" t="s">
        <v>600</v>
      </c>
      <c r="C840" s="25" t="s">
        <v>1802</v>
      </c>
      <c r="D840" s="25" t="s">
        <v>746</v>
      </c>
      <c r="E840" s="25" t="s">
        <v>1805</v>
      </c>
      <c r="F840" s="25" t="s">
        <v>746</v>
      </c>
      <c r="G840" s="25">
        <v>1.22482932E7</v>
      </c>
      <c r="H840" s="25">
        <v>39257.35</v>
      </c>
      <c r="I840" s="26" t="s">
        <v>5441</v>
      </c>
      <c r="J840" s="26" t="s">
        <v>5442</v>
      </c>
      <c r="K840" s="26" t="str">
        <f t="shared" si="1"/>
        <v>CCB</v>
      </c>
      <c r="L840" s="26" t="str">
        <f t="shared" si="2"/>
        <v>S-amlodipine</v>
      </c>
      <c r="M840" s="26"/>
    </row>
    <row r="841" ht="17.25" customHeight="1">
      <c r="B841" s="25" t="s">
        <v>600</v>
      </c>
      <c r="C841" s="25" t="s">
        <v>1802</v>
      </c>
      <c r="D841" s="25" t="s">
        <v>751</v>
      </c>
      <c r="E841" s="25" t="s">
        <v>1806</v>
      </c>
      <c r="F841" s="25" t="s">
        <v>751</v>
      </c>
      <c r="G841" s="25">
        <v>1.438422024E7</v>
      </c>
      <c r="H841" s="25">
        <v>46103.27</v>
      </c>
      <c r="I841" s="26" t="s">
        <v>5441</v>
      </c>
      <c r="J841" s="26" t="s">
        <v>5442</v>
      </c>
      <c r="K841" s="26" t="str">
        <f t="shared" si="1"/>
        <v>CCB</v>
      </c>
      <c r="L841" s="26" t="str">
        <f t="shared" si="2"/>
        <v>S-amlodipine</v>
      </c>
      <c r="M841" s="26"/>
    </row>
    <row r="842" ht="17.25" customHeight="1">
      <c r="B842" s="25" t="s">
        <v>600</v>
      </c>
      <c r="C842" s="25" t="s">
        <v>1802</v>
      </c>
      <c r="D842" s="25" t="s">
        <v>761</v>
      </c>
      <c r="E842" s="25" t="s">
        <v>1807</v>
      </c>
      <c r="F842" s="25" t="s">
        <v>761</v>
      </c>
      <c r="G842" s="25">
        <v>1.8998292108E8</v>
      </c>
      <c r="H842" s="25">
        <v>517664.67</v>
      </c>
      <c r="I842" s="26" t="s">
        <v>5441</v>
      </c>
      <c r="J842" s="26" t="s">
        <v>5442</v>
      </c>
      <c r="K842" s="26" t="str">
        <f t="shared" si="1"/>
        <v>CCB</v>
      </c>
      <c r="L842" s="26" t="str">
        <f t="shared" si="2"/>
        <v>S-amlodipine</v>
      </c>
      <c r="M842" s="26"/>
    </row>
    <row r="843" ht="17.25" customHeight="1">
      <c r="B843" s="25" t="s">
        <v>600</v>
      </c>
      <c r="C843" s="25" t="s">
        <v>1802</v>
      </c>
      <c r="D843" s="25" t="s">
        <v>768</v>
      </c>
      <c r="E843" s="25" t="s">
        <v>1808</v>
      </c>
      <c r="F843" s="25" t="s">
        <v>768</v>
      </c>
      <c r="G843" s="25">
        <v>2.469072996E7</v>
      </c>
      <c r="H843" s="25">
        <v>79136.97</v>
      </c>
      <c r="I843" s="26" t="s">
        <v>5441</v>
      </c>
      <c r="J843" s="26" t="s">
        <v>5442</v>
      </c>
      <c r="K843" s="26" t="str">
        <f t="shared" si="1"/>
        <v>CCB</v>
      </c>
      <c r="L843" s="26" t="str">
        <f t="shared" si="2"/>
        <v>S-amlodipine</v>
      </c>
      <c r="M843" s="26"/>
    </row>
    <row r="844" ht="17.25" customHeight="1">
      <c r="B844" s="25" t="s">
        <v>600</v>
      </c>
      <c r="C844" s="25" t="s">
        <v>1802</v>
      </c>
      <c r="D844" s="25" t="s">
        <v>772</v>
      </c>
      <c r="E844" s="25" t="s">
        <v>1809</v>
      </c>
      <c r="F844" s="25" t="s">
        <v>772</v>
      </c>
      <c r="G844" s="25">
        <v>7.096538073E7</v>
      </c>
      <c r="H844" s="25">
        <v>193366.17</v>
      </c>
      <c r="I844" s="26" t="s">
        <v>5441</v>
      </c>
      <c r="J844" s="26" t="s">
        <v>5442</v>
      </c>
      <c r="K844" s="26" t="str">
        <f t="shared" si="1"/>
        <v>CCB</v>
      </c>
      <c r="L844" s="26" t="str">
        <f t="shared" si="2"/>
        <v>S-amlodipine</v>
      </c>
      <c r="M844" s="26"/>
    </row>
    <row r="845" ht="17.25" customHeight="1">
      <c r="B845" s="25" t="s">
        <v>600</v>
      </c>
      <c r="C845" s="25" t="s">
        <v>1802</v>
      </c>
      <c r="D845" s="25" t="s">
        <v>774</v>
      </c>
      <c r="E845" s="25" t="s">
        <v>1810</v>
      </c>
      <c r="F845" s="25" t="s">
        <v>774</v>
      </c>
      <c r="G845" s="25">
        <v>6.000963984E7</v>
      </c>
      <c r="H845" s="25">
        <v>163514.01</v>
      </c>
      <c r="I845" s="26" t="s">
        <v>5441</v>
      </c>
      <c r="J845" s="26" t="s">
        <v>5442</v>
      </c>
      <c r="K845" s="26" t="str">
        <f t="shared" si="1"/>
        <v>CCB</v>
      </c>
      <c r="L845" s="26" t="str">
        <f t="shared" si="2"/>
        <v>S-amlodipine</v>
      </c>
      <c r="M845" s="26"/>
    </row>
    <row r="846" ht="17.25" customHeight="1">
      <c r="B846" s="25" t="s">
        <v>600</v>
      </c>
      <c r="C846" s="25" t="s">
        <v>1802</v>
      </c>
      <c r="D846" s="25" t="s">
        <v>776</v>
      </c>
      <c r="E846" s="25" t="s">
        <v>1811</v>
      </c>
      <c r="F846" s="25" t="s">
        <v>776</v>
      </c>
      <c r="G846" s="25">
        <v>1.0236280838E8</v>
      </c>
      <c r="H846" s="25">
        <v>223108.97</v>
      </c>
      <c r="I846" s="26" t="s">
        <v>5441</v>
      </c>
      <c r="J846" s="26" t="s">
        <v>5442</v>
      </c>
      <c r="K846" s="26" t="str">
        <f t="shared" si="1"/>
        <v>CCB</v>
      </c>
      <c r="L846" s="26" t="str">
        <f t="shared" si="2"/>
        <v>S-amlodipine</v>
      </c>
      <c r="M846" s="26"/>
    </row>
    <row r="847" ht="17.25" customHeight="1">
      <c r="B847" s="25" t="s">
        <v>600</v>
      </c>
      <c r="C847" s="25" t="s">
        <v>1802</v>
      </c>
      <c r="D847" s="25" t="s">
        <v>779</v>
      </c>
      <c r="E847" s="25" t="s">
        <v>1812</v>
      </c>
      <c r="F847" s="25" t="s">
        <v>779</v>
      </c>
      <c r="G847" s="25">
        <v>2.626615992E7</v>
      </c>
      <c r="H847" s="25">
        <v>84186.41</v>
      </c>
      <c r="I847" s="26" t="s">
        <v>5441</v>
      </c>
      <c r="J847" s="26" t="s">
        <v>5442</v>
      </c>
      <c r="K847" s="26" t="str">
        <f t="shared" si="1"/>
        <v>CCB</v>
      </c>
      <c r="L847" s="26" t="str">
        <f t="shared" si="2"/>
        <v>S-amlodipine</v>
      </c>
      <c r="M847" s="26"/>
    </row>
    <row r="848" ht="17.25" customHeight="1">
      <c r="B848" s="25" t="s">
        <v>600</v>
      </c>
      <c r="C848" s="25" t="s">
        <v>1802</v>
      </c>
      <c r="D848" s="25" t="s">
        <v>783</v>
      </c>
      <c r="E848" s="25" t="s">
        <v>1813</v>
      </c>
      <c r="F848" s="25" t="s">
        <v>783</v>
      </c>
      <c r="G848" s="25">
        <v>5921588.4</v>
      </c>
      <c r="H848" s="25">
        <v>18979.45</v>
      </c>
      <c r="I848" s="26" t="s">
        <v>5441</v>
      </c>
      <c r="J848" s="26" t="s">
        <v>5442</v>
      </c>
      <c r="K848" s="26" t="str">
        <f t="shared" si="1"/>
        <v>CCB</v>
      </c>
      <c r="L848" s="26" t="str">
        <f t="shared" si="2"/>
        <v>S-amlodipine</v>
      </c>
      <c r="M848" s="26"/>
    </row>
    <row r="849" ht="17.25" customHeight="1">
      <c r="B849" s="25" t="s">
        <v>600</v>
      </c>
      <c r="C849" s="25" t="s">
        <v>1802</v>
      </c>
      <c r="D849" s="25" t="s">
        <v>790</v>
      </c>
      <c r="E849" s="25" t="s">
        <v>1814</v>
      </c>
      <c r="F849" s="25" t="s">
        <v>790</v>
      </c>
      <c r="G849" s="25">
        <v>4682957.76</v>
      </c>
      <c r="H849" s="25">
        <v>15009.48</v>
      </c>
      <c r="I849" s="26" t="s">
        <v>5441</v>
      </c>
      <c r="J849" s="26" t="s">
        <v>5442</v>
      </c>
      <c r="K849" s="26" t="str">
        <f t="shared" si="1"/>
        <v>CCB</v>
      </c>
      <c r="L849" s="26" t="str">
        <f t="shared" si="2"/>
        <v>S-amlodipine</v>
      </c>
      <c r="M849" s="26"/>
    </row>
    <row r="850" ht="17.25" customHeight="1">
      <c r="B850" s="25" t="s">
        <v>600</v>
      </c>
      <c r="C850" s="25" t="s">
        <v>1802</v>
      </c>
      <c r="D850" s="25" t="s">
        <v>792</v>
      </c>
      <c r="E850" s="25" t="s">
        <v>1815</v>
      </c>
      <c r="F850" s="25" t="s">
        <v>792</v>
      </c>
      <c r="G850" s="25">
        <v>2.913671904E7</v>
      </c>
      <c r="H850" s="25">
        <v>93386.92</v>
      </c>
      <c r="I850" s="26" t="s">
        <v>5441</v>
      </c>
      <c r="J850" s="26" t="s">
        <v>5442</v>
      </c>
      <c r="K850" s="26" t="str">
        <f t="shared" si="1"/>
        <v>CCB</v>
      </c>
      <c r="L850" s="26" t="str">
        <f t="shared" si="2"/>
        <v>S-amlodipine</v>
      </c>
      <c r="M850" s="26"/>
    </row>
    <row r="851" ht="17.25" customHeight="1">
      <c r="B851" s="25" t="s">
        <v>600</v>
      </c>
      <c r="C851" s="25" t="s">
        <v>1802</v>
      </c>
      <c r="D851" s="25" t="s">
        <v>953</v>
      </c>
      <c r="E851" s="25" t="s">
        <v>1816</v>
      </c>
      <c r="F851" s="25" t="s">
        <v>953</v>
      </c>
      <c r="G851" s="25">
        <v>7.396593037E7</v>
      </c>
      <c r="H851" s="25">
        <v>187296.16</v>
      </c>
      <c r="I851" s="26" t="s">
        <v>5441</v>
      </c>
      <c r="J851" s="26" t="s">
        <v>5442</v>
      </c>
      <c r="K851" s="26" t="str">
        <f t="shared" si="1"/>
        <v>CCB</v>
      </c>
      <c r="L851" s="26" t="str">
        <f t="shared" si="2"/>
        <v>S-amlodipine</v>
      </c>
      <c r="M851" s="26"/>
    </row>
    <row r="852" ht="17.25" customHeight="1">
      <c r="B852" s="25" t="s">
        <v>600</v>
      </c>
      <c r="C852" s="25" t="s">
        <v>1802</v>
      </c>
      <c r="D852" s="25" t="s">
        <v>818</v>
      </c>
      <c r="E852" s="25" t="s">
        <v>1817</v>
      </c>
      <c r="F852" s="25" t="s">
        <v>818</v>
      </c>
      <c r="G852" s="25">
        <v>2.131978524E7</v>
      </c>
      <c r="H852" s="25">
        <v>68332.65</v>
      </c>
      <c r="I852" s="26" t="s">
        <v>5441</v>
      </c>
      <c r="J852" s="26" t="s">
        <v>5442</v>
      </c>
      <c r="K852" s="26" t="str">
        <f t="shared" si="1"/>
        <v>CCB</v>
      </c>
      <c r="L852" s="26" t="str">
        <f t="shared" si="2"/>
        <v>S-amlodipine</v>
      </c>
      <c r="M852" s="26"/>
    </row>
    <row r="853" ht="17.25" customHeight="1">
      <c r="B853" s="25" t="s">
        <v>600</v>
      </c>
      <c r="C853" s="25" t="s">
        <v>1802</v>
      </c>
      <c r="D853" s="25" t="s">
        <v>828</v>
      </c>
      <c r="E853" s="25" t="s">
        <v>1818</v>
      </c>
      <c r="F853" s="25" t="s">
        <v>828</v>
      </c>
      <c r="G853" s="25">
        <v>1.76286633E7</v>
      </c>
      <c r="H853" s="25">
        <v>46954.66</v>
      </c>
      <c r="I853" s="26" t="s">
        <v>5441</v>
      </c>
      <c r="J853" s="26" t="s">
        <v>5442</v>
      </c>
      <c r="K853" s="26" t="str">
        <f t="shared" si="1"/>
        <v>CCB</v>
      </c>
      <c r="L853" s="26" t="str">
        <f t="shared" si="2"/>
        <v>S-amlodipine</v>
      </c>
      <c r="M853" s="26"/>
    </row>
    <row r="854" ht="17.25" customHeight="1">
      <c r="B854" s="25" t="s">
        <v>600</v>
      </c>
      <c r="C854" s="25" t="s">
        <v>1802</v>
      </c>
      <c r="D854" s="25" t="s">
        <v>830</v>
      </c>
      <c r="E854" s="25" t="s">
        <v>1819</v>
      </c>
      <c r="F854" s="25" t="s">
        <v>830</v>
      </c>
      <c r="G854" s="25">
        <v>2.30156935206E9</v>
      </c>
      <c r="H854" s="25">
        <v>5577499.36</v>
      </c>
      <c r="I854" s="26" t="s">
        <v>5441</v>
      </c>
      <c r="J854" s="26" t="s">
        <v>5442</v>
      </c>
      <c r="K854" s="26" t="str">
        <f t="shared" si="1"/>
        <v>CCB</v>
      </c>
      <c r="L854" s="26" t="str">
        <f t="shared" si="2"/>
        <v>S-amlodipine</v>
      </c>
      <c r="M854" s="26"/>
    </row>
    <row r="855" ht="17.25" customHeight="1">
      <c r="B855" s="25" t="s">
        <v>600</v>
      </c>
      <c r="C855" s="25" t="s">
        <v>1802</v>
      </c>
      <c r="D855" s="25" t="s">
        <v>710</v>
      </c>
      <c r="E855" s="25" t="s">
        <v>1820</v>
      </c>
      <c r="F855" s="25" t="s">
        <v>1101</v>
      </c>
      <c r="G855" s="25">
        <v>1.007113194E7</v>
      </c>
      <c r="H855" s="25">
        <v>23070.17</v>
      </c>
      <c r="I855" s="26" t="s">
        <v>5441</v>
      </c>
      <c r="J855" s="26" t="s">
        <v>5442</v>
      </c>
      <c r="K855" s="26" t="str">
        <f t="shared" si="1"/>
        <v>CCB</v>
      </c>
      <c r="L855" s="26" t="str">
        <f t="shared" si="2"/>
        <v>S-amlodipine</v>
      </c>
      <c r="M855" s="26"/>
    </row>
    <row r="856" ht="17.25" customHeight="1">
      <c r="B856" s="25" t="s">
        <v>600</v>
      </c>
      <c r="C856" s="25" t="s">
        <v>1802</v>
      </c>
      <c r="D856" s="25" t="s">
        <v>848</v>
      </c>
      <c r="E856" s="25" t="s">
        <v>1821</v>
      </c>
      <c r="F856" s="25" t="s">
        <v>848</v>
      </c>
      <c r="G856" s="25">
        <v>5.992120568E7</v>
      </c>
      <c r="H856" s="25">
        <v>163273.04</v>
      </c>
      <c r="I856" s="26" t="s">
        <v>5441</v>
      </c>
      <c r="J856" s="26" t="s">
        <v>5442</v>
      </c>
      <c r="K856" s="26" t="str">
        <f t="shared" si="1"/>
        <v>CCB</v>
      </c>
      <c r="L856" s="26" t="str">
        <f t="shared" si="2"/>
        <v>S-amlodipine</v>
      </c>
      <c r="M856" s="26"/>
    </row>
    <row r="857" ht="17.25" customHeight="1">
      <c r="B857" s="25" t="s">
        <v>600</v>
      </c>
      <c r="C857" s="25" t="s">
        <v>1802</v>
      </c>
      <c r="D857" s="25" t="s">
        <v>856</v>
      </c>
      <c r="E857" s="25" t="s">
        <v>1822</v>
      </c>
      <c r="F857" s="25" t="s">
        <v>856</v>
      </c>
      <c r="G857" s="25">
        <v>1.525496934E7</v>
      </c>
      <c r="H857" s="25">
        <v>48894.19</v>
      </c>
      <c r="I857" s="26" t="s">
        <v>5441</v>
      </c>
      <c r="J857" s="26" t="s">
        <v>5442</v>
      </c>
      <c r="K857" s="26" t="str">
        <f t="shared" si="1"/>
        <v>CCB</v>
      </c>
      <c r="L857" s="26" t="str">
        <f t="shared" si="2"/>
        <v>S-amlodipine</v>
      </c>
      <c r="M857" s="26"/>
    </row>
    <row r="858" ht="17.25" customHeight="1">
      <c r="B858" s="25" t="s">
        <v>600</v>
      </c>
      <c r="C858" s="25" t="s">
        <v>1802</v>
      </c>
      <c r="D858" s="25" t="s">
        <v>833</v>
      </c>
      <c r="E858" s="25" t="s">
        <v>1823</v>
      </c>
      <c r="F858" s="25" t="s">
        <v>833</v>
      </c>
      <c r="G858" s="25">
        <v>3.03064788E7</v>
      </c>
      <c r="H858" s="25">
        <v>97136.15</v>
      </c>
      <c r="I858" s="26" t="s">
        <v>5441</v>
      </c>
      <c r="J858" s="26" t="s">
        <v>5442</v>
      </c>
      <c r="K858" s="26" t="str">
        <f t="shared" si="1"/>
        <v>CCB</v>
      </c>
      <c r="L858" s="26" t="str">
        <f t="shared" si="2"/>
        <v>S-amlodipine</v>
      </c>
      <c r="M858" s="26"/>
    </row>
    <row r="859" ht="17.25" customHeight="1">
      <c r="B859" s="25" t="s">
        <v>600</v>
      </c>
      <c r="C859" s="25" t="s">
        <v>1802</v>
      </c>
      <c r="D859" s="25" t="s">
        <v>868</v>
      </c>
      <c r="E859" s="25" t="s">
        <v>1824</v>
      </c>
      <c r="F859" s="25" t="s">
        <v>868</v>
      </c>
      <c r="G859" s="25">
        <v>2.076073896E7</v>
      </c>
      <c r="H859" s="25">
        <v>66540.83</v>
      </c>
      <c r="I859" s="26" t="s">
        <v>5441</v>
      </c>
      <c r="J859" s="26" t="s">
        <v>5442</v>
      </c>
      <c r="K859" s="26" t="str">
        <f t="shared" si="1"/>
        <v>CCB</v>
      </c>
      <c r="L859" s="26" t="str">
        <f t="shared" si="2"/>
        <v>S-amlodipine</v>
      </c>
      <c r="M859" s="26"/>
    </row>
    <row r="860" ht="17.25" customHeight="1">
      <c r="B860" s="25" t="s">
        <v>600</v>
      </c>
      <c r="C860" s="25" t="s">
        <v>1802</v>
      </c>
      <c r="D860" s="25" t="s">
        <v>870</v>
      </c>
      <c r="E860" s="25" t="s">
        <v>1825</v>
      </c>
      <c r="F860" s="25" t="s">
        <v>870</v>
      </c>
      <c r="G860" s="25">
        <v>2.985842496E7</v>
      </c>
      <c r="H860" s="25">
        <v>95700.08</v>
      </c>
      <c r="I860" s="26" t="s">
        <v>5441</v>
      </c>
      <c r="J860" s="26" t="s">
        <v>5442</v>
      </c>
      <c r="K860" s="26" t="str">
        <f t="shared" si="1"/>
        <v>CCB</v>
      </c>
      <c r="L860" s="26" t="str">
        <f t="shared" si="2"/>
        <v>S-amlodipine</v>
      </c>
      <c r="M860" s="26"/>
    </row>
    <row r="861" ht="17.25" customHeight="1">
      <c r="B861" s="25" t="s">
        <v>600</v>
      </c>
      <c r="C861" s="25" t="s">
        <v>1802</v>
      </c>
      <c r="D861" s="25" t="s">
        <v>732</v>
      </c>
      <c r="E861" s="25" t="s">
        <v>1826</v>
      </c>
      <c r="F861" s="25" t="s">
        <v>732</v>
      </c>
      <c r="G861" s="25">
        <v>2.242101241E8</v>
      </c>
      <c r="H861" s="25">
        <v>535878.52</v>
      </c>
      <c r="I861" s="26" t="s">
        <v>5441</v>
      </c>
      <c r="J861" s="26" t="s">
        <v>5442</v>
      </c>
      <c r="K861" s="26" t="str">
        <f t="shared" si="1"/>
        <v>CCB</v>
      </c>
      <c r="L861" s="26" t="str">
        <f t="shared" si="2"/>
        <v>S-amlodipine</v>
      </c>
      <c r="M861" s="26"/>
    </row>
    <row r="862" ht="17.25" customHeight="1">
      <c r="B862" s="25" t="s">
        <v>600</v>
      </c>
      <c r="C862" s="25" t="s">
        <v>1802</v>
      </c>
      <c r="D862" s="25" t="s">
        <v>983</v>
      </c>
      <c r="E862" s="25" t="s">
        <v>1827</v>
      </c>
      <c r="F862" s="25" t="s">
        <v>983</v>
      </c>
      <c r="G862" s="25">
        <v>4694361.36</v>
      </c>
      <c r="H862" s="25">
        <v>15046.03</v>
      </c>
      <c r="I862" s="26" t="s">
        <v>5441</v>
      </c>
      <c r="J862" s="26" t="s">
        <v>5442</v>
      </c>
      <c r="K862" s="26" t="str">
        <f t="shared" si="1"/>
        <v>CCB</v>
      </c>
      <c r="L862" s="26" t="str">
        <f t="shared" si="2"/>
        <v>S-amlodipine</v>
      </c>
      <c r="M862" s="26"/>
    </row>
    <row r="863" ht="17.25" customHeight="1">
      <c r="B863" s="25" t="s">
        <v>600</v>
      </c>
      <c r="C863" s="25" t="s">
        <v>1802</v>
      </c>
      <c r="D863" s="25" t="s">
        <v>734</v>
      </c>
      <c r="E863" s="25" t="s">
        <v>1828</v>
      </c>
      <c r="F863" s="25" t="s">
        <v>734</v>
      </c>
      <c r="G863" s="25">
        <v>1459504.8</v>
      </c>
      <c r="H863" s="25">
        <v>4677.9</v>
      </c>
      <c r="I863" s="26" t="s">
        <v>5441</v>
      </c>
      <c r="J863" s="26" t="s">
        <v>5442</v>
      </c>
      <c r="K863" s="26" t="str">
        <f t="shared" si="1"/>
        <v>CCB</v>
      </c>
      <c r="L863" s="26" t="str">
        <f t="shared" si="2"/>
        <v>S-amlodipine</v>
      </c>
      <c r="M863" s="26"/>
    </row>
    <row r="864" ht="17.25" customHeight="1">
      <c r="B864" s="25" t="s">
        <v>600</v>
      </c>
      <c r="C864" s="25" t="s">
        <v>1802</v>
      </c>
      <c r="D864" s="25" t="s">
        <v>880</v>
      </c>
      <c r="E864" s="25" t="s">
        <v>1829</v>
      </c>
      <c r="F864" s="25" t="s">
        <v>880</v>
      </c>
      <c r="G864" s="25">
        <v>5.7309060972E8</v>
      </c>
      <c r="H864" s="25">
        <v>1442332.26</v>
      </c>
      <c r="I864" s="26" t="s">
        <v>5441</v>
      </c>
      <c r="J864" s="26" t="s">
        <v>5442</v>
      </c>
      <c r="K864" s="26" t="str">
        <f t="shared" si="1"/>
        <v>CCB</v>
      </c>
      <c r="L864" s="26" t="str">
        <f t="shared" si="2"/>
        <v>S-amlodipine</v>
      </c>
      <c r="M864" s="26"/>
    </row>
    <row r="865" ht="17.25" customHeight="1">
      <c r="B865" s="25" t="s">
        <v>600</v>
      </c>
      <c r="C865" s="25" t="s">
        <v>1802</v>
      </c>
      <c r="D865" s="25" t="s">
        <v>894</v>
      </c>
      <c r="E865" s="25" t="s">
        <v>1830</v>
      </c>
      <c r="F865" s="25" t="s">
        <v>894</v>
      </c>
      <c r="G865" s="25">
        <v>2563056.6</v>
      </c>
      <c r="H865" s="25">
        <v>8214.93</v>
      </c>
      <c r="I865" s="26" t="s">
        <v>5441</v>
      </c>
      <c r="J865" s="26" t="s">
        <v>5442</v>
      </c>
      <c r="K865" s="26" t="str">
        <f t="shared" si="1"/>
        <v>CCB</v>
      </c>
      <c r="L865" s="26" t="str">
        <f t="shared" si="2"/>
        <v>S-amlodipine</v>
      </c>
      <c r="M865" s="26"/>
    </row>
    <row r="866" ht="17.25" customHeight="1">
      <c r="B866" s="25" t="s">
        <v>600</v>
      </c>
      <c r="C866" s="25" t="s">
        <v>1802</v>
      </c>
      <c r="D866" s="25" t="s">
        <v>900</v>
      </c>
      <c r="E866" s="25" t="s">
        <v>1831</v>
      </c>
      <c r="F866" s="25" t="s">
        <v>900</v>
      </c>
      <c r="G866" s="25">
        <v>9.987970696E7</v>
      </c>
      <c r="H866" s="25">
        <v>277934.35</v>
      </c>
      <c r="I866" s="26" t="s">
        <v>5441</v>
      </c>
      <c r="J866" s="26" t="s">
        <v>5442</v>
      </c>
      <c r="K866" s="26" t="str">
        <f t="shared" si="1"/>
        <v>CCB</v>
      </c>
      <c r="L866" s="26" t="str">
        <f t="shared" si="2"/>
        <v>S-amlodipine</v>
      </c>
      <c r="M866" s="26"/>
    </row>
    <row r="867" ht="17.25" customHeight="1">
      <c r="B867" s="25" t="s">
        <v>600</v>
      </c>
      <c r="C867" s="25" t="s">
        <v>1802</v>
      </c>
      <c r="D867" s="25" t="s">
        <v>906</v>
      </c>
      <c r="E867" s="25" t="s">
        <v>1832</v>
      </c>
      <c r="F867" s="25" t="s">
        <v>906</v>
      </c>
      <c r="G867" s="25">
        <v>9.500790855E7</v>
      </c>
      <c r="H867" s="25">
        <v>258877.14</v>
      </c>
      <c r="I867" s="26" t="s">
        <v>5441</v>
      </c>
      <c r="J867" s="26" t="s">
        <v>5442</v>
      </c>
      <c r="K867" s="26" t="str">
        <f t="shared" si="1"/>
        <v>CCB</v>
      </c>
      <c r="L867" s="26" t="str">
        <f t="shared" si="2"/>
        <v>S-amlodipine</v>
      </c>
      <c r="M867" s="26"/>
    </row>
    <row r="868" ht="17.25" customHeight="1">
      <c r="B868" s="25" t="s">
        <v>600</v>
      </c>
      <c r="C868" s="25" t="s">
        <v>1802</v>
      </c>
      <c r="D868" s="25" t="s">
        <v>717</v>
      </c>
      <c r="E868" s="25" t="s">
        <v>1833</v>
      </c>
      <c r="F868" s="25" t="s">
        <v>717</v>
      </c>
      <c r="G868" s="25">
        <v>5.645152968E7</v>
      </c>
      <c r="H868" s="25">
        <v>180934.4</v>
      </c>
      <c r="I868" s="26" t="s">
        <v>5441</v>
      </c>
      <c r="J868" s="26" t="s">
        <v>5442</v>
      </c>
      <c r="K868" s="26" t="str">
        <f t="shared" si="1"/>
        <v>CCB</v>
      </c>
      <c r="L868" s="26" t="str">
        <f t="shared" si="2"/>
        <v>S-amlodipine</v>
      </c>
      <c r="M868" s="26"/>
    </row>
    <row r="869" ht="17.25" customHeight="1">
      <c r="B869" s="25" t="s">
        <v>600</v>
      </c>
      <c r="C869" s="25" t="s">
        <v>1802</v>
      </c>
      <c r="D869" s="25" t="s">
        <v>937</v>
      </c>
      <c r="E869" s="25" t="s">
        <v>1834</v>
      </c>
      <c r="F869" s="25" t="s">
        <v>937</v>
      </c>
      <c r="G869" s="25">
        <v>3.272211072E7</v>
      </c>
      <c r="H869" s="25">
        <v>104878.56</v>
      </c>
      <c r="I869" s="26" t="s">
        <v>5441</v>
      </c>
      <c r="J869" s="26" t="s">
        <v>5442</v>
      </c>
      <c r="K869" s="26" t="str">
        <f t="shared" si="1"/>
        <v>CCB</v>
      </c>
      <c r="L869" s="26" t="str">
        <f t="shared" si="2"/>
        <v>S-amlodipine</v>
      </c>
      <c r="M869" s="26"/>
    </row>
    <row r="870" ht="17.25" customHeight="1">
      <c r="B870" s="25" t="s">
        <v>600</v>
      </c>
      <c r="C870" s="25" t="s">
        <v>1802</v>
      </c>
      <c r="D870" s="25" t="s">
        <v>736</v>
      </c>
      <c r="E870" s="25" t="s">
        <v>1835</v>
      </c>
      <c r="F870" s="25" t="s">
        <v>736</v>
      </c>
      <c r="G870" s="25">
        <v>4.95204284E7</v>
      </c>
      <c r="H870" s="25">
        <v>132737.85</v>
      </c>
      <c r="I870" s="26" t="s">
        <v>5441</v>
      </c>
      <c r="J870" s="26" t="s">
        <v>5442</v>
      </c>
      <c r="K870" s="26" t="str">
        <f t="shared" si="1"/>
        <v>CCB</v>
      </c>
      <c r="L870" s="26" t="str">
        <f t="shared" si="2"/>
        <v>S-amlodipine</v>
      </c>
      <c r="M870" s="26"/>
    </row>
    <row r="871" ht="17.25" customHeight="1">
      <c r="B871" s="25" t="s">
        <v>600</v>
      </c>
      <c r="C871" s="25" t="s">
        <v>1836</v>
      </c>
      <c r="D871" s="25" t="s">
        <v>814</v>
      </c>
      <c r="E871" s="25" t="s">
        <v>1837</v>
      </c>
      <c r="F871" s="25" t="s">
        <v>814</v>
      </c>
      <c r="G871" s="25">
        <v>5.444306007E7</v>
      </c>
      <c r="H871" s="25">
        <v>153793.96</v>
      </c>
      <c r="I871" s="26" t="s">
        <v>5441</v>
      </c>
      <c r="J871" s="26" t="s">
        <v>5442</v>
      </c>
      <c r="K871" s="26" t="str">
        <f t="shared" si="1"/>
        <v>CCB</v>
      </c>
      <c r="L871" s="26" t="str">
        <f t="shared" si="2"/>
        <v>S-amlodipine</v>
      </c>
      <c r="M871" s="26"/>
    </row>
    <row r="872" ht="17.25" customHeight="1">
      <c r="B872" s="25" t="s">
        <v>600</v>
      </c>
      <c r="C872" s="25" t="s">
        <v>1836</v>
      </c>
      <c r="D872" s="25" t="s">
        <v>968</v>
      </c>
      <c r="E872" s="25" t="s">
        <v>1838</v>
      </c>
      <c r="F872" s="25" t="s">
        <v>968</v>
      </c>
      <c r="G872" s="25">
        <v>1.35694918802E9</v>
      </c>
      <c r="H872" s="25">
        <v>2990188.55</v>
      </c>
      <c r="I872" s="26" t="s">
        <v>5441</v>
      </c>
      <c r="J872" s="26" t="s">
        <v>5442</v>
      </c>
      <c r="K872" s="26" t="str">
        <f t="shared" si="1"/>
        <v>CCB</v>
      </c>
      <c r="L872" s="26" t="str">
        <f t="shared" si="2"/>
        <v>S-amlodipine</v>
      </c>
      <c r="M872" s="26"/>
    </row>
    <row r="873" ht="17.25" customHeight="1">
      <c r="B873" s="25" t="s">
        <v>600</v>
      </c>
      <c r="C873" s="25" t="s">
        <v>5712</v>
      </c>
      <c r="D873" s="25" t="s">
        <v>968</v>
      </c>
      <c r="E873" s="25" t="s">
        <v>1838</v>
      </c>
      <c r="F873" s="25" t="s">
        <v>968</v>
      </c>
      <c r="G873" s="25">
        <v>1.3374009851E8</v>
      </c>
      <c r="H873" s="25">
        <v>482816.27</v>
      </c>
      <c r="I873" s="26" t="s">
        <v>5441</v>
      </c>
      <c r="J873" s="26" t="s">
        <v>5442</v>
      </c>
      <c r="K873" s="26" t="str">
        <f t="shared" si="1"/>
        <v>CCB</v>
      </c>
      <c r="L873" s="26" t="str">
        <f t="shared" si="2"/>
        <v>S-amlodipine</v>
      </c>
      <c r="M873" s="26"/>
    </row>
    <row r="874" ht="17.25" customHeight="1">
      <c r="B874" s="25" t="s">
        <v>600</v>
      </c>
      <c r="C874" s="25" t="s">
        <v>1840</v>
      </c>
      <c r="D874" s="25" t="s">
        <v>732</v>
      </c>
      <c r="E874" s="25" t="s">
        <v>1841</v>
      </c>
      <c r="F874" s="25" t="s">
        <v>732</v>
      </c>
      <c r="G874" s="25">
        <v>1.8168508105E8</v>
      </c>
      <c r="H874" s="25">
        <v>889666.25</v>
      </c>
      <c r="I874" s="26" t="s">
        <v>5441</v>
      </c>
      <c r="J874" s="26" t="s">
        <v>5442</v>
      </c>
      <c r="K874" s="26" t="str">
        <f t="shared" si="1"/>
        <v>CCB</v>
      </c>
      <c r="L874" s="26" t="str">
        <f t="shared" si="2"/>
        <v>verapamil</v>
      </c>
      <c r="M874" s="26"/>
    </row>
    <row r="875" ht="17.25" customHeight="1">
      <c r="B875" s="25" t="s">
        <v>596</v>
      </c>
      <c r="C875" s="25" t="s">
        <v>1506</v>
      </c>
      <c r="D875" s="25" t="s">
        <v>798</v>
      </c>
      <c r="E875" s="25" t="s">
        <v>1507</v>
      </c>
      <c r="F875" s="25" t="s">
        <v>798</v>
      </c>
      <c r="G875" s="25">
        <v>1.022267296E7</v>
      </c>
      <c r="H875" s="25">
        <v>70649.84</v>
      </c>
      <c r="I875" s="26" t="s">
        <v>5441</v>
      </c>
      <c r="J875" s="26" t="s">
        <v>5442</v>
      </c>
      <c r="K875" s="26" t="str">
        <f t="shared" si="1"/>
        <v>BB</v>
      </c>
      <c r="L875" s="26" t="str">
        <f t="shared" si="2"/>
        <v>Arotinolol</v>
      </c>
      <c r="M875" s="26"/>
    </row>
    <row r="876" ht="17.25" customHeight="1">
      <c r="B876" s="25" t="s">
        <v>596</v>
      </c>
      <c r="C876" s="25" t="s">
        <v>1506</v>
      </c>
      <c r="D876" s="25" t="s">
        <v>1139</v>
      </c>
      <c r="E876" s="25" t="s">
        <v>1510</v>
      </c>
      <c r="F876" s="25" t="s">
        <v>1139</v>
      </c>
      <c r="G876" s="25">
        <v>3.2539939923E8</v>
      </c>
      <c r="H876" s="25">
        <v>1890451.28</v>
      </c>
      <c r="I876" s="26" t="s">
        <v>5441</v>
      </c>
      <c r="J876" s="26" t="s">
        <v>5442</v>
      </c>
      <c r="K876" s="26" t="str">
        <f t="shared" si="1"/>
        <v>BB</v>
      </c>
      <c r="L876" s="26" t="str">
        <f t="shared" si="2"/>
        <v>Arotinolol</v>
      </c>
      <c r="M876" s="26"/>
    </row>
    <row r="877" ht="17.25" customHeight="1">
      <c r="B877" s="25" t="s">
        <v>596</v>
      </c>
      <c r="C877" s="25" t="s">
        <v>1511</v>
      </c>
      <c r="D877" s="25" t="s">
        <v>695</v>
      </c>
      <c r="E877" s="25" t="s">
        <v>1512</v>
      </c>
      <c r="F877" s="25" t="s">
        <v>695</v>
      </c>
      <c r="G877" s="25">
        <v>2.214005038E7</v>
      </c>
      <c r="H877" s="25">
        <v>299189.9</v>
      </c>
      <c r="I877" s="26" t="s">
        <v>5441</v>
      </c>
      <c r="J877" s="26" t="s">
        <v>5442</v>
      </c>
      <c r="K877" s="26" t="str">
        <f t="shared" si="1"/>
        <v>BB</v>
      </c>
      <c r="L877" s="26" t="str">
        <f t="shared" si="2"/>
        <v>Atenolol</v>
      </c>
      <c r="M877" s="26"/>
    </row>
    <row r="878" ht="17.25" customHeight="1">
      <c r="B878" s="25" t="s">
        <v>596</v>
      </c>
      <c r="C878" s="25" t="s">
        <v>1511</v>
      </c>
      <c r="D878" s="25" t="s">
        <v>759</v>
      </c>
      <c r="E878" s="25" t="s">
        <v>1513</v>
      </c>
      <c r="F878" s="25" t="s">
        <v>759</v>
      </c>
      <c r="G878" s="25">
        <v>1002170.4</v>
      </c>
      <c r="H878" s="25">
        <v>11388.3</v>
      </c>
      <c r="I878" s="26" t="s">
        <v>5441</v>
      </c>
      <c r="J878" s="26" t="s">
        <v>5442</v>
      </c>
      <c r="K878" s="26" t="str">
        <f t="shared" si="1"/>
        <v>BB</v>
      </c>
      <c r="L878" s="26" t="str">
        <f t="shared" si="2"/>
        <v>Atenolol</v>
      </c>
      <c r="M878" s="26"/>
    </row>
    <row r="879" ht="17.25" customHeight="1">
      <c r="B879" s="25" t="s">
        <v>596</v>
      </c>
      <c r="C879" s="25" t="s">
        <v>1511</v>
      </c>
      <c r="D879" s="25" t="s">
        <v>783</v>
      </c>
      <c r="E879" s="25" t="s">
        <v>1514</v>
      </c>
      <c r="F879" s="25" t="s">
        <v>783</v>
      </c>
      <c r="G879" s="25">
        <v>1.279435795E7</v>
      </c>
      <c r="H879" s="25">
        <v>80467.67</v>
      </c>
      <c r="I879" s="26" t="s">
        <v>5441</v>
      </c>
      <c r="J879" s="26" t="s">
        <v>5442</v>
      </c>
      <c r="K879" s="26" t="str">
        <f t="shared" si="1"/>
        <v>BB</v>
      </c>
      <c r="L879" s="26" t="str">
        <f t="shared" si="2"/>
        <v>Atenolol</v>
      </c>
      <c r="M879" s="26"/>
    </row>
    <row r="880" ht="17.25" customHeight="1">
      <c r="B880" s="25" t="s">
        <v>596</v>
      </c>
      <c r="C880" s="25" t="s">
        <v>1511</v>
      </c>
      <c r="D880" s="25" t="s">
        <v>1024</v>
      </c>
      <c r="E880" s="25" t="s">
        <v>1515</v>
      </c>
      <c r="F880" s="25" t="s">
        <v>1024</v>
      </c>
      <c r="G880" s="25">
        <v>8610270.8</v>
      </c>
      <c r="H880" s="25">
        <v>46794.95</v>
      </c>
      <c r="I880" s="26" t="s">
        <v>5441</v>
      </c>
      <c r="J880" s="26" t="s">
        <v>5442</v>
      </c>
      <c r="K880" s="26" t="str">
        <f t="shared" si="1"/>
        <v>BB</v>
      </c>
      <c r="L880" s="26" t="str">
        <f t="shared" si="2"/>
        <v>Atenolol</v>
      </c>
      <c r="M880" s="26"/>
    </row>
    <row r="881" ht="17.25" customHeight="1">
      <c r="B881" s="25" t="s">
        <v>596</v>
      </c>
      <c r="C881" s="25" t="s">
        <v>1511</v>
      </c>
      <c r="D881" s="25" t="s">
        <v>812</v>
      </c>
      <c r="E881" s="25" t="s">
        <v>1516</v>
      </c>
      <c r="F881" s="25" t="s">
        <v>812</v>
      </c>
      <c r="G881" s="25">
        <v>295098.3</v>
      </c>
      <c r="H881" s="25">
        <v>1586.55</v>
      </c>
      <c r="I881" s="26" t="s">
        <v>5441</v>
      </c>
      <c r="J881" s="26" t="s">
        <v>5442</v>
      </c>
      <c r="K881" s="26" t="str">
        <f t="shared" si="1"/>
        <v>BB</v>
      </c>
      <c r="L881" s="26" t="str">
        <f t="shared" si="2"/>
        <v>Atenolol</v>
      </c>
      <c r="M881" s="26"/>
    </row>
    <row r="882" ht="17.25" customHeight="1">
      <c r="B882" s="25" t="s">
        <v>596</v>
      </c>
      <c r="C882" s="25" t="s">
        <v>1511</v>
      </c>
      <c r="D882" s="25" t="s">
        <v>816</v>
      </c>
      <c r="E882" s="25" t="s">
        <v>1517</v>
      </c>
      <c r="F882" s="25" t="s">
        <v>816</v>
      </c>
      <c r="G882" s="25">
        <v>3623273.72</v>
      </c>
      <c r="H882" s="25">
        <v>41173.57</v>
      </c>
      <c r="I882" s="26" t="s">
        <v>5441</v>
      </c>
      <c r="J882" s="26" t="s">
        <v>5442</v>
      </c>
      <c r="K882" s="26" t="str">
        <f t="shared" si="1"/>
        <v>BB</v>
      </c>
      <c r="L882" s="26" t="str">
        <f t="shared" si="2"/>
        <v>Atenolol</v>
      </c>
      <c r="M882" s="26"/>
    </row>
    <row r="883" ht="17.25" customHeight="1">
      <c r="B883" s="25" t="s">
        <v>596</v>
      </c>
      <c r="C883" s="25" t="s">
        <v>1511</v>
      </c>
      <c r="D883" s="25" t="s">
        <v>1038</v>
      </c>
      <c r="E883" s="25" t="s">
        <v>1518</v>
      </c>
      <c r="F883" s="25" t="s">
        <v>1038</v>
      </c>
      <c r="G883" s="25">
        <v>8075131.42</v>
      </c>
      <c r="H883" s="25">
        <v>50787.0</v>
      </c>
      <c r="I883" s="26" t="s">
        <v>5441</v>
      </c>
      <c r="J883" s="26" t="s">
        <v>5442</v>
      </c>
      <c r="K883" s="26" t="str">
        <f t="shared" si="1"/>
        <v>BB</v>
      </c>
      <c r="L883" s="26" t="str">
        <f t="shared" si="2"/>
        <v>Atenolol</v>
      </c>
      <c r="M883" s="26"/>
    </row>
    <row r="884" ht="17.25" customHeight="1">
      <c r="B884" s="25" t="s">
        <v>596</v>
      </c>
      <c r="C884" s="25" t="s">
        <v>1511</v>
      </c>
      <c r="D884" s="25" t="s">
        <v>874</v>
      </c>
      <c r="E884" s="25" t="s">
        <v>1519</v>
      </c>
      <c r="F884" s="25" t="s">
        <v>874</v>
      </c>
      <c r="G884" s="25">
        <v>3.303890472E7</v>
      </c>
      <c r="H884" s="25">
        <v>177628.53</v>
      </c>
      <c r="I884" s="26" t="s">
        <v>5441</v>
      </c>
      <c r="J884" s="26" t="s">
        <v>5442</v>
      </c>
      <c r="K884" s="26" t="str">
        <f t="shared" si="1"/>
        <v>BB</v>
      </c>
      <c r="L884" s="26" t="str">
        <f t="shared" si="2"/>
        <v>Atenolol</v>
      </c>
      <c r="M884" s="26"/>
    </row>
    <row r="885" ht="17.25" customHeight="1">
      <c r="B885" s="25" t="s">
        <v>596</v>
      </c>
      <c r="C885" s="25" t="s">
        <v>1511</v>
      </c>
      <c r="D885" s="25" t="s">
        <v>838</v>
      </c>
      <c r="E885" s="25" t="s">
        <v>1520</v>
      </c>
      <c r="F885" s="25" t="s">
        <v>838</v>
      </c>
      <c r="G885" s="25">
        <v>3013838.64</v>
      </c>
      <c r="H885" s="25">
        <v>18954.96</v>
      </c>
      <c r="I885" s="26" t="s">
        <v>5441</v>
      </c>
      <c r="J885" s="26" t="s">
        <v>5442</v>
      </c>
      <c r="K885" s="26" t="str">
        <f t="shared" si="1"/>
        <v>BB</v>
      </c>
      <c r="L885" s="26" t="str">
        <f t="shared" si="2"/>
        <v>Atenolol</v>
      </c>
      <c r="M885" s="26"/>
    </row>
    <row r="886" ht="17.25" customHeight="1">
      <c r="B886" s="25" t="s">
        <v>596</v>
      </c>
      <c r="C886" s="25" t="s">
        <v>1511</v>
      </c>
      <c r="D886" s="25" t="s">
        <v>900</v>
      </c>
      <c r="E886" s="25" t="s">
        <v>1521</v>
      </c>
      <c r="F886" s="25" t="s">
        <v>900</v>
      </c>
      <c r="G886" s="25">
        <v>670974.7</v>
      </c>
      <c r="H886" s="25">
        <v>3588.1</v>
      </c>
      <c r="I886" s="26" t="s">
        <v>5441</v>
      </c>
      <c r="J886" s="26" t="s">
        <v>5442</v>
      </c>
      <c r="K886" s="26" t="str">
        <f t="shared" si="1"/>
        <v>BB</v>
      </c>
      <c r="L886" s="26" t="str">
        <f t="shared" si="2"/>
        <v>Atenolol</v>
      </c>
      <c r="M886" s="26"/>
    </row>
    <row r="887" ht="17.25" customHeight="1">
      <c r="B887" s="25" t="s">
        <v>596</v>
      </c>
      <c r="C887" s="25" t="s">
        <v>1511</v>
      </c>
      <c r="D887" s="25" t="s">
        <v>925</v>
      </c>
      <c r="E887" s="25" t="s">
        <v>1522</v>
      </c>
      <c r="F887" s="25" t="s">
        <v>925</v>
      </c>
      <c r="G887" s="25">
        <v>3.2946940322E8</v>
      </c>
      <c r="H887" s="25">
        <v>2447381.49</v>
      </c>
      <c r="I887" s="26" t="s">
        <v>5441</v>
      </c>
      <c r="J887" s="26" t="s">
        <v>5442</v>
      </c>
      <c r="K887" s="26" t="str">
        <f t="shared" si="1"/>
        <v>BB</v>
      </c>
      <c r="L887" s="26" t="str">
        <f t="shared" si="2"/>
        <v>Atenolol</v>
      </c>
      <c r="M887" s="26"/>
    </row>
    <row r="888" ht="17.25" customHeight="1">
      <c r="B888" s="25" t="s">
        <v>596</v>
      </c>
      <c r="C888" s="25" t="s">
        <v>1523</v>
      </c>
      <c r="D888" s="25" t="s">
        <v>1274</v>
      </c>
      <c r="E888" s="25" t="s">
        <v>1524</v>
      </c>
      <c r="F888" s="25" t="s">
        <v>1274</v>
      </c>
      <c r="G888" s="25">
        <v>3853236.6</v>
      </c>
      <c r="H888" s="25">
        <v>10794.83</v>
      </c>
      <c r="I888" s="26" t="s">
        <v>5441</v>
      </c>
      <c r="J888" s="26" t="s">
        <v>5442</v>
      </c>
      <c r="K888" s="26" t="str">
        <f t="shared" si="1"/>
        <v>BB</v>
      </c>
      <c r="L888" s="26" t="str">
        <f t="shared" si="2"/>
        <v>Betaxolol</v>
      </c>
      <c r="M888" s="26"/>
    </row>
    <row r="889" ht="17.25" customHeight="1">
      <c r="B889" s="25" t="s">
        <v>596</v>
      </c>
      <c r="C889" s="25" t="s">
        <v>1526</v>
      </c>
      <c r="D889" s="25" t="s">
        <v>1478</v>
      </c>
      <c r="E889" s="25" t="s">
        <v>1527</v>
      </c>
      <c r="F889" s="25" t="s">
        <v>1473</v>
      </c>
      <c r="G889" s="25">
        <v>4.8165829123E8</v>
      </c>
      <c r="H889" s="25">
        <v>4817593.93</v>
      </c>
      <c r="I889" s="26" t="s">
        <v>5441</v>
      </c>
      <c r="J889" s="26" t="s">
        <v>5442</v>
      </c>
      <c r="K889" s="26" t="str">
        <f t="shared" si="1"/>
        <v>BB</v>
      </c>
      <c r="L889" s="26" t="str">
        <f t="shared" si="2"/>
        <v>Bisoprolol</v>
      </c>
      <c r="M889" s="26"/>
    </row>
    <row r="890" ht="17.25" customHeight="1">
      <c r="B890" s="25" t="s">
        <v>596</v>
      </c>
      <c r="C890" s="25" t="s">
        <v>1526</v>
      </c>
      <c r="D890" s="25" t="s">
        <v>705</v>
      </c>
      <c r="E890" s="25" t="s">
        <v>1529</v>
      </c>
      <c r="F890" s="25" t="s">
        <v>705</v>
      </c>
      <c r="G890" s="25">
        <v>660810.15</v>
      </c>
      <c r="H890" s="25">
        <v>3496.35</v>
      </c>
      <c r="I890" s="26" t="s">
        <v>5441</v>
      </c>
      <c r="J890" s="26" t="s">
        <v>5442</v>
      </c>
      <c r="K890" s="26" t="str">
        <f t="shared" si="1"/>
        <v>BB</v>
      </c>
      <c r="L890" s="26" t="str">
        <f t="shared" si="2"/>
        <v>Bisoprolol</v>
      </c>
      <c r="M890" s="26"/>
    </row>
    <row r="891" ht="17.25" customHeight="1">
      <c r="B891" s="25" t="s">
        <v>596</v>
      </c>
      <c r="C891" s="25" t="s">
        <v>1526</v>
      </c>
      <c r="D891" s="25" t="s">
        <v>763</v>
      </c>
      <c r="E891" s="25" t="s">
        <v>1530</v>
      </c>
      <c r="F891" s="25" t="s">
        <v>1531</v>
      </c>
      <c r="G891" s="25">
        <v>1.7243669643E9</v>
      </c>
      <c r="H891" s="25">
        <v>1.212890781E7</v>
      </c>
      <c r="I891" s="26" t="s">
        <v>5441</v>
      </c>
      <c r="J891" s="26" t="s">
        <v>5442</v>
      </c>
      <c r="K891" s="26" t="str">
        <f t="shared" si="1"/>
        <v>BB</v>
      </c>
      <c r="L891" s="26" t="str">
        <f t="shared" si="2"/>
        <v>Bisoprolol</v>
      </c>
      <c r="M891" s="26"/>
    </row>
    <row r="892" ht="17.25" customHeight="1">
      <c r="B892" s="25" t="s">
        <v>596</v>
      </c>
      <c r="C892" s="25" t="s">
        <v>1526</v>
      </c>
      <c r="D892" s="25" t="s">
        <v>953</v>
      </c>
      <c r="E892" s="25" t="s">
        <v>1532</v>
      </c>
      <c r="F892" s="25" t="s">
        <v>953</v>
      </c>
      <c r="G892" s="25">
        <v>1.525691257E7</v>
      </c>
      <c r="H892" s="25">
        <v>80724.43</v>
      </c>
      <c r="I892" s="26" t="s">
        <v>5441</v>
      </c>
      <c r="J892" s="26" t="s">
        <v>5442</v>
      </c>
      <c r="K892" s="26" t="str">
        <f t="shared" si="1"/>
        <v>BB</v>
      </c>
      <c r="L892" s="26" t="str">
        <f t="shared" si="2"/>
        <v>Bisoprolol</v>
      </c>
      <c r="M892" s="26"/>
    </row>
    <row r="893" ht="17.25" customHeight="1">
      <c r="B893" s="25" t="s">
        <v>596</v>
      </c>
      <c r="C893" s="25" t="s">
        <v>1526</v>
      </c>
      <c r="D893" s="25" t="s">
        <v>806</v>
      </c>
      <c r="E893" s="25" t="s">
        <v>1533</v>
      </c>
      <c r="F893" s="25" t="s">
        <v>806</v>
      </c>
      <c r="G893" s="25">
        <v>1.849841807E7</v>
      </c>
      <c r="H893" s="25">
        <v>83326.26</v>
      </c>
      <c r="I893" s="26" t="s">
        <v>5441</v>
      </c>
      <c r="J893" s="26" t="s">
        <v>5442</v>
      </c>
      <c r="K893" s="26" t="str">
        <f t="shared" si="1"/>
        <v>BB</v>
      </c>
      <c r="L893" s="26" t="str">
        <f t="shared" si="2"/>
        <v>Bisoprolol</v>
      </c>
      <c r="M893" s="26"/>
    </row>
    <row r="894" ht="17.25" customHeight="1">
      <c r="B894" s="25" t="s">
        <v>596</v>
      </c>
      <c r="C894" s="25" t="s">
        <v>1526</v>
      </c>
      <c r="D894" s="25" t="s">
        <v>1473</v>
      </c>
      <c r="E894" s="25" t="s">
        <v>1527</v>
      </c>
      <c r="F894" s="25" t="s">
        <v>1473</v>
      </c>
      <c r="G894" s="25">
        <v>3724098.8</v>
      </c>
      <c r="H894" s="25">
        <v>13444.4</v>
      </c>
      <c r="I894" s="26" t="s">
        <v>5441</v>
      </c>
      <c r="J894" s="26" t="s">
        <v>5442</v>
      </c>
      <c r="K894" s="26" t="str">
        <f t="shared" si="1"/>
        <v>BB</v>
      </c>
      <c r="L894" s="26" t="str">
        <f t="shared" si="2"/>
        <v>Bisoprolol</v>
      </c>
      <c r="M894" s="26"/>
    </row>
    <row r="895" ht="17.25" customHeight="1">
      <c r="B895" s="25" t="s">
        <v>596</v>
      </c>
      <c r="C895" s="25" t="s">
        <v>1526</v>
      </c>
      <c r="D895" s="25" t="s">
        <v>983</v>
      </c>
      <c r="E895" s="25" t="s">
        <v>1534</v>
      </c>
      <c r="F895" s="25" t="s">
        <v>983</v>
      </c>
      <c r="G895" s="25">
        <v>7639619.27</v>
      </c>
      <c r="H895" s="25">
        <v>50593.52</v>
      </c>
      <c r="I895" s="26" t="s">
        <v>5441</v>
      </c>
      <c r="J895" s="26" t="s">
        <v>5442</v>
      </c>
      <c r="K895" s="26" t="str">
        <f t="shared" si="1"/>
        <v>BB</v>
      </c>
      <c r="L895" s="26" t="str">
        <f t="shared" si="2"/>
        <v>Bisoprolol</v>
      </c>
      <c r="M895" s="26"/>
    </row>
    <row r="896" ht="17.25" customHeight="1">
      <c r="B896" s="25" t="s">
        <v>596</v>
      </c>
      <c r="C896" s="25" t="s">
        <v>1526</v>
      </c>
      <c r="D896" s="25" t="s">
        <v>734</v>
      </c>
      <c r="E896" s="25" t="s">
        <v>1535</v>
      </c>
      <c r="F896" s="25" t="s">
        <v>734</v>
      </c>
      <c r="G896" s="25">
        <v>4.063203568E7</v>
      </c>
      <c r="H896" s="25">
        <v>214984.46</v>
      </c>
      <c r="I896" s="26" t="s">
        <v>5441</v>
      </c>
      <c r="J896" s="26" t="s">
        <v>5442</v>
      </c>
      <c r="K896" s="26" t="str">
        <f t="shared" si="1"/>
        <v>BB</v>
      </c>
      <c r="L896" s="26" t="str">
        <f t="shared" si="2"/>
        <v>Bisoprolol</v>
      </c>
      <c r="M896" s="26"/>
    </row>
    <row r="897" ht="17.25" customHeight="1">
      <c r="B897" s="25" t="s">
        <v>596</v>
      </c>
      <c r="C897" s="25" t="s">
        <v>1526</v>
      </c>
      <c r="D897" s="25" t="s">
        <v>886</v>
      </c>
      <c r="E897" s="25" t="s">
        <v>1536</v>
      </c>
      <c r="F897" s="25" t="s">
        <v>886</v>
      </c>
      <c r="G897" s="25">
        <v>2.051911674E7</v>
      </c>
      <c r="H897" s="25">
        <v>108566.8</v>
      </c>
      <c r="I897" s="26" t="s">
        <v>5441</v>
      </c>
      <c r="J897" s="26" t="s">
        <v>5442</v>
      </c>
      <c r="K897" s="26" t="str">
        <f t="shared" si="1"/>
        <v>BB</v>
      </c>
      <c r="L897" s="26" t="str">
        <f t="shared" si="2"/>
        <v>Bisoprolol</v>
      </c>
      <c r="M897" s="26"/>
    </row>
    <row r="898" ht="17.25" customHeight="1">
      <c r="B898" s="25" t="s">
        <v>596</v>
      </c>
      <c r="C898" s="25" t="s">
        <v>1537</v>
      </c>
      <c r="D898" s="25" t="s">
        <v>1538</v>
      </c>
      <c r="E898" s="25" t="s">
        <v>1539</v>
      </c>
      <c r="F898" s="25" t="s">
        <v>1538</v>
      </c>
      <c r="G898" s="25">
        <v>637398.72</v>
      </c>
      <c r="H898" s="25">
        <v>5901.84</v>
      </c>
      <c r="I898" s="26" t="s">
        <v>5441</v>
      </c>
      <c r="J898" s="26" t="s">
        <v>5442</v>
      </c>
      <c r="K898" s="26" t="str">
        <f t="shared" si="1"/>
        <v>BB</v>
      </c>
      <c r="L898" s="26" t="str">
        <f t="shared" si="2"/>
        <v>Carteolol</v>
      </c>
      <c r="M898" s="26"/>
    </row>
    <row r="899" ht="17.25" customHeight="1">
      <c r="B899" s="25" t="s">
        <v>596</v>
      </c>
      <c r="C899" s="25" t="s">
        <v>1541</v>
      </c>
      <c r="D899" s="25" t="s">
        <v>739</v>
      </c>
      <c r="E899" s="25" t="s">
        <v>1542</v>
      </c>
      <c r="F899" s="25" t="s">
        <v>739</v>
      </c>
      <c r="G899" s="25">
        <v>5.645093978E7</v>
      </c>
      <c r="H899" s="25">
        <v>181007.83</v>
      </c>
      <c r="I899" s="26" t="s">
        <v>5441</v>
      </c>
      <c r="J899" s="26" t="s">
        <v>5442</v>
      </c>
      <c r="K899" s="26" t="str">
        <f t="shared" si="1"/>
        <v>BB</v>
      </c>
      <c r="L899" s="26" t="str">
        <f t="shared" si="2"/>
        <v>Carvedilol</v>
      </c>
      <c r="M899" s="26"/>
    </row>
    <row r="900" ht="17.25" customHeight="1">
      <c r="B900" s="25" t="s">
        <v>596</v>
      </c>
      <c r="C900" s="25" t="s">
        <v>1541</v>
      </c>
      <c r="D900" s="25" t="s">
        <v>695</v>
      </c>
      <c r="E900" s="25" t="s">
        <v>1543</v>
      </c>
      <c r="F900" s="25" t="s">
        <v>695</v>
      </c>
      <c r="G900" s="25">
        <v>1.8526324612E8</v>
      </c>
      <c r="H900" s="25">
        <v>483412.74</v>
      </c>
      <c r="I900" s="26" t="s">
        <v>5441</v>
      </c>
      <c r="J900" s="26" t="s">
        <v>5442</v>
      </c>
      <c r="K900" s="26" t="str">
        <f t="shared" si="1"/>
        <v>BB</v>
      </c>
      <c r="L900" s="26" t="str">
        <f t="shared" si="2"/>
        <v>Carvedilol</v>
      </c>
      <c r="M900" s="26"/>
    </row>
    <row r="901" ht="17.25" customHeight="1">
      <c r="B901" s="25" t="s">
        <v>596</v>
      </c>
      <c r="C901" s="25" t="s">
        <v>1541</v>
      </c>
      <c r="D901" s="25" t="s">
        <v>742</v>
      </c>
      <c r="E901" s="25" t="s">
        <v>1544</v>
      </c>
      <c r="F901" s="25" t="s">
        <v>742</v>
      </c>
      <c r="G901" s="25">
        <v>1.80459396E7</v>
      </c>
      <c r="H901" s="25">
        <v>50127.64</v>
      </c>
      <c r="I901" s="26" t="s">
        <v>5441</v>
      </c>
      <c r="J901" s="26" t="s">
        <v>5442</v>
      </c>
      <c r="K901" s="26" t="str">
        <f t="shared" si="1"/>
        <v>BB</v>
      </c>
      <c r="L901" s="26" t="str">
        <f t="shared" si="2"/>
        <v>Carvedilol</v>
      </c>
      <c r="M901" s="26"/>
    </row>
    <row r="902" ht="17.25" customHeight="1">
      <c r="B902" s="25" t="s">
        <v>596</v>
      </c>
      <c r="C902" s="25" t="s">
        <v>1541</v>
      </c>
      <c r="D902" s="25" t="s">
        <v>749</v>
      </c>
      <c r="E902" s="25" t="s">
        <v>1545</v>
      </c>
      <c r="F902" s="25" t="s">
        <v>749</v>
      </c>
      <c r="G902" s="25">
        <v>3.50387811E7</v>
      </c>
      <c r="H902" s="25">
        <v>97329.98</v>
      </c>
      <c r="I902" s="26" t="s">
        <v>5441</v>
      </c>
      <c r="J902" s="26" t="s">
        <v>5442</v>
      </c>
      <c r="K902" s="26" t="str">
        <f t="shared" si="1"/>
        <v>BB</v>
      </c>
      <c r="L902" s="26" t="str">
        <f t="shared" si="2"/>
        <v>Carvedilol</v>
      </c>
      <c r="M902" s="26"/>
    </row>
    <row r="903" ht="17.25" customHeight="1">
      <c r="B903" s="25" t="s">
        <v>596</v>
      </c>
      <c r="C903" s="25" t="s">
        <v>1541</v>
      </c>
      <c r="D903" s="25" t="s">
        <v>757</v>
      </c>
      <c r="E903" s="25" t="s">
        <v>1546</v>
      </c>
      <c r="F903" s="25" t="s">
        <v>757</v>
      </c>
      <c r="G903" s="25">
        <v>1.585871486E7</v>
      </c>
      <c r="H903" s="25">
        <v>46124.99</v>
      </c>
      <c r="I903" s="26" t="s">
        <v>5441</v>
      </c>
      <c r="J903" s="26" t="s">
        <v>5442</v>
      </c>
      <c r="K903" s="26" t="str">
        <f t="shared" si="1"/>
        <v>BB</v>
      </c>
      <c r="L903" s="26" t="str">
        <f t="shared" si="2"/>
        <v>Carvedilol</v>
      </c>
      <c r="M903" s="26"/>
    </row>
    <row r="904" ht="17.25" customHeight="1">
      <c r="B904" s="25" t="s">
        <v>596</v>
      </c>
      <c r="C904" s="25" t="s">
        <v>1541</v>
      </c>
      <c r="D904" s="25" t="s">
        <v>761</v>
      </c>
      <c r="E904" s="25" t="s">
        <v>1547</v>
      </c>
      <c r="F904" s="25" t="s">
        <v>761</v>
      </c>
      <c r="G904" s="25">
        <v>9.733298526E7</v>
      </c>
      <c r="H904" s="25">
        <v>230101.62</v>
      </c>
      <c r="I904" s="26" t="s">
        <v>5441</v>
      </c>
      <c r="J904" s="26" t="s">
        <v>5442</v>
      </c>
      <c r="K904" s="26" t="str">
        <f t="shared" si="1"/>
        <v>BB</v>
      </c>
      <c r="L904" s="26" t="str">
        <f t="shared" si="2"/>
        <v>Carvedilol</v>
      </c>
      <c r="M904" s="26"/>
    </row>
    <row r="905" ht="17.25" customHeight="1">
      <c r="B905" s="25" t="s">
        <v>596</v>
      </c>
      <c r="C905" s="25" t="s">
        <v>1541</v>
      </c>
      <c r="D905" s="25" t="s">
        <v>761</v>
      </c>
      <c r="E905" s="25" t="s">
        <v>1548</v>
      </c>
      <c r="F905" s="25" t="s">
        <v>763</v>
      </c>
      <c r="G905" s="25">
        <v>9.92723811E7</v>
      </c>
      <c r="H905" s="25">
        <v>279640.56</v>
      </c>
      <c r="I905" s="26" t="s">
        <v>5441</v>
      </c>
      <c r="J905" s="26" t="s">
        <v>5442</v>
      </c>
      <c r="K905" s="26" t="str">
        <f t="shared" si="1"/>
        <v>BB</v>
      </c>
      <c r="L905" s="26" t="str">
        <f t="shared" si="2"/>
        <v>Carvedilol</v>
      </c>
      <c r="M905" s="26"/>
    </row>
    <row r="906" ht="17.25" customHeight="1">
      <c r="B906" s="25" t="s">
        <v>596</v>
      </c>
      <c r="C906" s="25" t="s">
        <v>1541</v>
      </c>
      <c r="D906" s="25" t="s">
        <v>768</v>
      </c>
      <c r="E906" s="25" t="s">
        <v>1549</v>
      </c>
      <c r="F906" s="25" t="s">
        <v>768</v>
      </c>
      <c r="G906" s="25">
        <v>1.0457834665E8</v>
      </c>
      <c r="H906" s="25">
        <v>264662.05</v>
      </c>
      <c r="I906" s="26" t="s">
        <v>5441</v>
      </c>
      <c r="J906" s="26" t="s">
        <v>5442</v>
      </c>
      <c r="K906" s="26" t="str">
        <f t="shared" si="1"/>
        <v>BB</v>
      </c>
      <c r="L906" s="26" t="str">
        <f t="shared" si="2"/>
        <v>Carvedilol</v>
      </c>
      <c r="M906" s="26"/>
    </row>
    <row r="907" ht="17.25" customHeight="1">
      <c r="B907" s="25" t="s">
        <v>596</v>
      </c>
      <c r="C907" s="25" t="s">
        <v>1541</v>
      </c>
      <c r="D907" s="25" t="s">
        <v>774</v>
      </c>
      <c r="E907" s="25" t="s">
        <v>1550</v>
      </c>
      <c r="F907" s="25" t="s">
        <v>774</v>
      </c>
      <c r="G907" s="25">
        <v>1.88428428E7</v>
      </c>
      <c r="H907" s="25">
        <v>52341.23</v>
      </c>
      <c r="I907" s="26" t="s">
        <v>5441</v>
      </c>
      <c r="J907" s="26" t="s">
        <v>5442</v>
      </c>
      <c r="K907" s="26" t="str">
        <f t="shared" si="1"/>
        <v>BB</v>
      </c>
      <c r="L907" s="26" t="str">
        <f t="shared" si="2"/>
        <v>Carvedilol</v>
      </c>
      <c r="M907" s="26"/>
    </row>
    <row r="908" ht="17.25" customHeight="1">
      <c r="B908" s="25" t="s">
        <v>596</v>
      </c>
      <c r="C908" s="25" t="s">
        <v>1541</v>
      </c>
      <c r="D908" s="25" t="s">
        <v>1061</v>
      </c>
      <c r="E908" s="25" t="s">
        <v>1551</v>
      </c>
      <c r="F908" s="25" t="s">
        <v>1061</v>
      </c>
      <c r="G908" s="25">
        <v>6.815871379E7</v>
      </c>
      <c r="H908" s="25">
        <v>217102.65</v>
      </c>
      <c r="I908" s="26" t="s">
        <v>5441</v>
      </c>
      <c r="J908" s="26" t="s">
        <v>5442</v>
      </c>
      <c r="K908" s="26" t="str">
        <f t="shared" si="1"/>
        <v>BB</v>
      </c>
      <c r="L908" s="26" t="str">
        <f t="shared" si="2"/>
        <v>Carvedilol</v>
      </c>
      <c r="M908" s="26"/>
    </row>
    <row r="909" ht="17.25" customHeight="1">
      <c r="B909" s="25" t="s">
        <v>596</v>
      </c>
      <c r="C909" s="25" t="s">
        <v>1541</v>
      </c>
      <c r="D909" s="25" t="s">
        <v>779</v>
      </c>
      <c r="E909" s="25" t="s">
        <v>1552</v>
      </c>
      <c r="F909" s="25" t="s">
        <v>779</v>
      </c>
      <c r="G909" s="25">
        <v>2.88249876E7</v>
      </c>
      <c r="H909" s="25">
        <v>80069.42</v>
      </c>
      <c r="I909" s="26" t="s">
        <v>5441</v>
      </c>
      <c r="J909" s="26" t="s">
        <v>5442</v>
      </c>
      <c r="K909" s="26" t="str">
        <f t="shared" si="1"/>
        <v>BB</v>
      </c>
      <c r="L909" s="26" t="str">
        <f t="shared" si="2"/>
        <v>Carvedilol</v>
      </c>
      <c r="M909" s="26"/>
    </row>
    <row r="910" ht="17.25" customHeight="1">
      <c r="B910" s="25" t="s">
        <v>596</v>
      </c>
      <c r="C910" s="25" t="s">
        <v>1541</v>
      </c>
      <c r="D910" s="25" t="s">
        <v>783</v>
      </c>
      <c r="E910" s="25" t="s">
        <v>1553</v>
      </c>
      <c r="F910" s="25" t="s">
        <v>783</v>
      </c>
      <c r="G910" s="25">
        <v>4531492.8</v>
      </c>
      <c r="H910" s="25">
        <v>12587.48</v>
      </c>
      <c r="I910" s="26" t="s">
        <v>5441</v>
      </c>
      <c r="J910" s="26" t="s">
        <v>5442</v>
      </c>
      <c r="K910" s="26" t="str">
        <f t="shared" si="1"/>
        <v>BB</v>
      </c>
      <c r="L910" s="26" t="str">
        <f t="shared" si="2"/>
        <v>Carvedilol</v>
      </c>
      <c r="M910" s="26"/>
    </row>
    <row r="911" ht="17.25" customHeight="1">
      <c r="B911" s="25" t="s">
        <v>596</v>
      </c>
      <c r="C911" s="25" t="s">
        <v>1541</v>
      </c>
      <c r="D911" s="25" t="s">
        <v>1554</v>
      </c>
      <c r="E911" s="25" t="s">
        <v>1555</v>
      </c>
      <c r="F911" s="25" t="s">
        <v>1554</v>
      </c>
      <c r="G911" s="25">
        <v>1.428516932E7</v>
      </c>
      <c r="H911" s="25">
        <v>37910.1</v>
      </c>
      <c r="I911" s="26" t="s">
        <v>5441</v>
      </c>
      <c r="J911" s="26" t="s">
        <v>5442</v>
      </c>
      <c r="K911" s="26" t="str">
        <f t="shared" si="1"/>
        <v>BB</v>
      </c>
      <c r="L911" s="26" t="str">
        <f t="shared" si="2"/>
        <v>Carvedilol</v>
      </c>
      <c r="M911" s="26"/>
    </row>
    <row r="912" ht="17.25" customHeight="1">
      <c r="B912" s="25" t="s">
        <v>596</v>
      </c>
      <c r="C912" s="25" t="s">
        <v>1541</v>
      </c>
      <c r="D912" s="25" t="s">
        <v>786</v>
      </c>
      <c r="E912" s="25" t="s">
        <v>1556</v>
      </c>
      <c r="F912" s="25" t="s">
        <v>786</v>
      </c>
      <c r="G912" s="25">
        <v>6.698403193E7</v>
      </c>
      <c r="H912" s="25">
        <v>204700.04</v>
      </c>
      <c r="I912" s="26" t="s">
        <v>5441</v>
      </c>
      <c r="J912" s="26" t="s">
        <v>5442</v>
      </c>
      <c r="K912" s="26" t="str">
        <f t="shared" si="1"/>
        <v>BB</v>
      </c>
      <c r="L912" s="26" t="str">
        <f t="shared" si="2"/>
        <v>Carvedilol</v>
      </c>
      <c r="M912" s="26"/>
    </row>
    <row r="913" ht="17.25" customHeight="1">
      <c r="B913" s="25" t="s">
        <v>596</v>
      </c>
      <c r="C913" s="25" t="s">
        <v>1541</v>
      </c>
      <c r="D913" s="25" t="s">
        <v>1274</v>
      </c>
      <c r="E913" s="25" t="s">
        <v>1557</v>
      </c>
      <c r="F913" s="25" t="s">
        <v>1274</v>
      </c>
      <c r="G913" s="25">
        <v>3697382.76</v>
      </c>
      <c r="H913" s="25">
        <v>9504.84</v>
      </c>
      <c r="I913" s="26" t="s">
        <v>5441</v>
      </c>
      <c r="J913" s="26" t="s">
        <v>5442</v>
      </c>
      <c r="K913" s="26" t="str">
        <f t="shared" si="1"/>
        <v>BB</v>
      </c>
      <c r="L913" s="26" t="str">
        <f t="shared" si="2"/>
        <v>Carvedilol</v>
      </c>
      <c r="M913" s="26"/>
    </row>
    <row r="914" ht="17.25" customHeight="1">
      <c r="B914" s="25" t="s">
        <v>596</v>
      </c>
      <c r="C914" s="25" t="s">
        <v>1541</v>
      </c>
      <c r="D914" s="25" t="s">
        <v>1501</v>
      </c>
      <c r="E914" s="25" t="s">
        <v>1558</v>
      </c>
      <c r="F914" s="25" t="s">
        <v>1501</v>
      </c>
      <c r="G914" s="25">
        <v>2219508.0</v>
      </c>
      <c r="H914" s="25">
        <v>6165.3</v>
      </c>
      <c r="I914" s="26" t="s">
        <v>5441</v>
      </c>
      <c r="J914" s="26" t="s">
        <v>5442</v>
      </c>
      <c r="K914" s="26" t="str">
        <f t="shared" si="1"/>
        <v>BB</v>
      </c>
      <c r="L914" s="26" t="str">
        <f t="shared" si="2"/>
        <v>Carvedilol</v>
      </c>
      <c r="M914" s="26"/>
    </row>
    <row r="915" ht="17.25" customHeight="1">
      <c r="B915" s="25" t="s">
        <v>596</v>
      </c>
      <c r="C915" s="25" t="s">
        <v>1541</v>
      </c>
      <c r="D915" s="25" t="s">
        <v>796</v>
      </c>
      <c r="E915" s="25" t="s">
        <v>1559</v>
      </c>
      <c r="F915" s="25" t="s">
        <v>796</v>
      </c>
      <c r="G915" s="25">
        <v>2.427506782E7</v>
      </c>
      <c r="H915" s="25">
        <v>70009.21</v>
      </c>
      <c r="I915" s="26" t="s">
        <v>5441</v>
      </c>
      <c r="J915" s="26" t="s">
        <v>5442</v>
      </c>
      <c r="K915" s="26" t="str">
        <f t="shared" si="1"/>
        <v>BB</v>
      </c>
      <c r="L915" s="26" t="str">
        <f t="shared" si="2"/>
        <v>Carvedilol</v>
      </c>
      <c r="M915" s="26"/>
    </row>
    <row r="916" ht="17.25" customHeight="1">
      <c r="B916" s="25" t="s">
        <v>596</v>
      </c>
      <c r="C916" s="25" t="s">
        <v>1541</v>
      </c>
      <c r="D916" s="25" t="s">
        <v>800</v>
      </c>
      <c r="E916" s="25" t="s">
        <v>1560</v>
      </c>
      <c r="F916" s="25" t="s">
        <v>800</v>
      </c>
      <c r="G916" s="25">
        <v>9.781244806E7</v>
      </c>
      <c r="H916" s="25">
        <v>293364.02</v>
      </c>
      <c r="I916" s="26" t="s">
        <v>5441</v>
      </c>
      <c r="J916" s="26" t="s">
        <v>5442</v>
      </c>
      <c r="K916" s="26" t="str">
        <f t="shared" si="1"/>
        <v>BB</v>
      </c>
      <c r="L916" s="26" t="str">
        <f t="shared" si="2"/>
        <v>Carvedilol</v>
      </c>
      <c r="M916" s="26"/>
    </row>
    <row r="917" ht="17.25" customHeight="1">
      <c r="B917" s="25" t="s">
        <v>596</v>
      </c>
      <c r="C917" s="25" t="s">
        <v>1541</v>
      </c>
      <c r="D917" s="25" t="s">
        <v>953</v>
      </c>
      <c r="E917" s="25" t="s">
        <v>1561</v>
      </c>
      <c r="F917" s="25" t="s">
        <v>953</v>
      </c>
      <c r="G917" s="25">
        <v>1.25945982E7</v>
      </c>
      <c r="H917" s="25">
        <v>34985.0</v>
      </c>
      <c r="I917" s="26" t="s">
        <v>5441</v>
      </c>
      <c r="J917" s="26" t="s">
        <v>5442</v>
      </c>
      <c r="K917" s="26" t="str">
        <f t="shared" si="1"/>
        <v>BB</v>
      </c>
      <c r="L917" s="26" t="str">
        <f t="shared" si="2"/>
        <v>Carvedilol</v>
      </c>
      <c r="M917" s="26"/>
    </row>
    <row r="918" ht="17.25" customHeight="1">
      <c r="B918" s="25" t="s">
        <v>596</v>
      </c>
      <c r="C918" s="25" t="s">
        <v>1541</v>
      </c>
      <c r="D918" s="25" t="s">
        <v>814</v>
      </c>
      <c r="E918" s="25" t="s">
        <v>1562</v>
      </c>
      <c r="F918" s="25" t="s">
        <v>814</v>
      </c>
      <c r="G918" s="25">
        <v>6.515647871E7</v>
      </c>
      <c r="H918" s="25">
        <v>223905.46</v>
      </c>
      <c r="I918" s="26" t="s">
        <v>5441</v>
      </c>
      <c r="J918" s="26" t="s">
        <v>5442</v>
      </c>
      <c r="K918" s="26" t="str">
        <f t="shared" si="1"/>
        <v>BB</v>
      </c>
      <c r="L918" s="26" t="str">
        <f t="shared" si="2"/>
        <v>Carvedilol</v>
      </c>
      <c r="M918" s="26"/>
    </row>
    <row r="919" ht="17.25" customHeight="1">
      <c r="B919" s="25" t="s">
        <v>596</v>
      </c>
      <c r="C919" s="25" t="s">
        <v>1541</v>
      </c>
      <c r="D919" s="25" t="s">
        <v>816</v>
      </c>
      <c r="E919" s="25" t="s">
        <v>1563</v>
      </c>
      <c r="F919" s="25" t="s">
        <v>816</v>
      </c>
      <c r="G919" s="25">
        <v>9.643215715E7</v>
      </c>
      <c r="H919" s="25">
        <v>264139.72</v>
      </c>
      <c r="I919" s="26" t="s">
        <v>5441</v>
      </c>
      <c r="J919" s="26" t="s">
        <v>5442</v>
      </c>
      <c r="K919" s="26" t="str">
        <f t="shared" si="1"/>
        <v>BB</v>
      </c>
      <c r="L919" s="26" t="str">
        <f t="shared" si="2"/>
        <v>Carvedilol</v>
      </c>
      <c r="M919" s="26"/>
    </row>
    <row r="920" ht="17.25" customHeight="1">
      <c r="B920" s="25" t="s">
        <v>596</v>
      </c>
      <c r="C920" s="25" t="s">
        <v>1541</v>
      </c>
      <c r="D920" s="25" t="s">
        <v>818</v>
      </c>
      <c r="E920" s="25" t="s">
        <v>1564</v>
      </c>
      <c r="F920" s="25" t="s">
        <v>818</v>
      </c>
      <c r="G920" s="25">
        <v>2.369411949E7</v>
      </c>
      <c r="H920" s="25">
        <v>74043.9</v>
      </c>
      <c r="I920" s="26" t="s">
        <v>5441</v>
      </c>
      <c r="J920" s="26" t="s">
        <v>5442</v>
      </c>
      <c r="K920" s="26" t="str">
        <f t="shared" si="1"/>
        <v>BB</v>
      </c>
      <c r="L920" s="26" t="str">
        <f t="shared" si="2"/>
        <v>Carvedilol</v>
      </c>
      <c r="M920" s="26"/>
    </row>
    <row r="921" ht="17.25" customHeight="1">
      <c r="B921" s="25" t="s">
        <v>596</v>
      </c>
      <c r="C921" s="25" t="s">
        <v>1541</v>
      </c>
      <c r="D921" s="25" t="s">
        <v>828</v>
      </c>
      <c r="E921" s="25" t="s">
        <v>1565</v>
      </c>
      <c r="F921" s="25" t="s">
        <v>828</v>
      </c>
      <c r="G921" s="25">
        <v>6.498494372E7</v>
      </c>
      <c r="H921" s="25">
        <v>203022.35</v>
      </c>
      <c r="I921" s="26" t="s">
        <v>5441</v>
      </c>
      <c r="J921" s="26" t="s">
        <v>5442</v>
      </c>
      <c r="K921" s="26" t="str">
        <f t="shared" si="1"/>
        <v>BB</v>
      </c>
      <c r="L921" s="26" t="str">
        <f t="shared" si="2"/>
        <v>Carvedilol</v>
      </c>
      <c r="M921" s="26"/>
    </row>
    <row r="922" ht="17.25" customHeight="1">
      <c r="B922" s="25" t="s">
        <v>596</v>
      </c>
      <c r="C922" s="25" t="s">
        <v>1541</v>
      </c>
      <c r="D922" s="25" t="s">
        <v>830</v>
      </c>
      <c r="E922" s="25" t="s">
        <v>1566</v>
      </c>
      <c r="F922" s="25" t="s">
        <v>830</v>
      </c>
      <c r="G922" s="25">
        <v>9719482.44</v>
      </c>
      <c r="H922" s="25">
        <v>28988.32</v>
      </c>
      <c r="I922" s="26" t="s">
        <v>5441</v>
      </c>
      <c r="J922" s="26" t="s">
        <v>5442</v>
      </c>
      <c r="K922" s="26" t="str">
        <f t="shared" si="1"/>
        <v>BB</v>
      </c>
      <c r="L922" s="26" t="str">
        <f t="shared" si="2"/>
        <v>Carvedilol</v>
      </c>
      <c r="M922" s="26"/>
    </row>
    <row r="923" ht="17.25" customHeight="1">
      <c r="B923" s="25" t="s">
        <v>596</v>
      </c>
      <c r="C923" s="25" t="s">
        <v>1541</v>
      </c>
      <c r="D923" s="25" t="s">
        <v>834</v>
      </c>
      <c r="E923" s="25" t="s">
        <v>1567</v>
      </c>
      <c r="F923" s="25" t="s">
        <v>834</v>
      </c>
      <c r="G923" s="25">
        <v>658275.3</v>
      </c>
      <c r="H923" s="25">
        <v>1828.55</v>
      </c>
      <c r="I923" s="26" t="s">
        <v>5441</v>
      </c>
      <c r="J923" s="26" t="s">
        <v>5442</v>
      </c>
      <c r="K923" s="26" t="str">
        <f t="shared" si="1"/>
        <v>BB</v>
      </c>
      <c r="L923" s="26" t="str">
        <f t="shared" si="2"/>
        <v>Carvedilol</v>
      </c>
      <c r="M923" s="26"/>
    </row>
    <row r="924" ht="17.25" customHeight="1">
      <c r="B924" s="25" t="s">
        <v>596</v>
      </c>
      <c r="C924" s="25" t="s">
        <v>1541</v>
      </c>
      <c r="D924" s="25" t="s">
        <v>836</v>
      </c>
      <c r="E924" s="25" t="s">
        <v>1568</v>
      </c>
      <c r="F924" s="25" t="s">
        <v>836</v>
      </c>
      <c r="G924" s="25">
        <v>2.565746887E7</v>
      </c>
      <c r="H924" s="25">
        <v>66863.47</v>
      </c>
      <c r="I924" s="26" t="s">
        <v>5441</v>
      </c>
      <c r="J924" s="26" t="s">
        <v>5442</v>
      </c>
      <c r="K924" s="26" t="str">
        <f t="shared" si="1"/>
        <v>BB</v>
      </c>
      <c r="L924" s="26" t="str">
        <f t="shared" si="2"/>
        <v>Carvedilol</v>
      </c>
      <c r="M924" s="26"/>
    </row>
    <row r="925" ht="17.25" customHeight="1">
      <c r="B925" s="25" t="s">
        <v>596</v>
      </c>
      <c r="C925" s="25" t="s">
        <v>1541</v>
      </c>
      <c r="D925" s="25" t="s">
        <v>710</v>
      </c>
      <c r="E925" s="25" t="s">
        <v>1569</v>
      </c>
      <c r="F925" s="25" t="s">
        <v>710</v>
      </c>
      <c r="G925" s="25">
        <v>8.65777643E7</v>
      </c>
      <c r="H925" s="25">
        <v>263382.96</v>
      </c>
      <c r="I925" s="26" t="s">
        <v>5441</v>
      </c>
      <c r="J925" s="26" t="s">
        <v>5442</v>
      </c>
      <c r="K925" s="26" t="str">
        <f t="shared" si="1"/>
        <v>BB</v>
      </c>
      <c r="L925" s="26" t="str">
        <f t="shared" si="2"/>
        <v>Carvedilol</v>
      </c>
      <c r="M925" s="26"/>
    </row>
    <row r="926" ht="17.25" customHeight="1">
      <c r="B926" s="25" t="s">
        <v>596</v>
      </c>
      <c r="C926" s="25" t="s">
        <v>1541</v>
      </c>
      <c r="D926" s="25" t="s">
        <v>862</v>
      </c>
      <c r="E926" s="25" t="s">
        <v>1570</v>
      </c>
      <c r="F926" s="25" t="s">
        <v>862</v>
      </c>
      <c r="G926" s="25">
        <v>4.787151914E7</v>
      </c>
      <c r="H926" s="25">
        <v>113171.46</v>
      </c>
      <c r="I926" s="26" t="s">
        <v>5441</v>
      </c>
      <c r="J926" s="26" t="s">
        <v>5442</v>
      </c>
      <c r="K926" s="26" t="str">
        <f t="shared" si="1"/>
        <v>BB</v>
      </c>
      <c r="L926" s="26" t="str">
        <f t="shared" si="2"/>
        <v>Carvedilol</v>
      </c>
      <c r="M926" s="26"/>
    </row>
    <row r="927" ht="17.25" customHeight="1">
      <c r="B927" s="25" t="s">
        <v>596</v>
      </c>
      <c r="C927" s="25" t="s">
        <v>1541</v>
      </c>
      <c r="D927" s="25" t="s">
        <v>730</v>
      </c>
      <c r="E927" s="25" t="s">
        <v>1571</v>
      </c>
      <c r="F927" s="25" t="s">
        <v>730</v>
      </c>
      <c r="G927" s="25">
        <v>3.223943357E7</v>
      </c>
      <c r="H927" s="25">
        <v>76216.16</v>
      </c>
      <c r="I927" s="26" t="s">
        <v>5441</v>
      </c>
      <c r="J927" s="26" t="s">
        <v>5442</v>
      </c>
      <c r="K927" s="26" t="str">
        <f t="shared" si="1"/>
        <v>BB</v>
      </c>
      <c r="L927" s="26" t="str">
        <f t="shared" si="2"/>
        <v>Carvedilol</v>
      </c>
      <c r="M927" s="26"/>
    </row>
    <row r="928" ht="17.25" customHeight="1">
      <c r="B928" s="25" t="s">
        <v>596</v>
      </c>
      <c r="C928" s="25" t="s">
        <v>1541</v>
      </c>
      <c r="D928" s="25" t="s">
        <v>870</v>
      </c>
      <c r="E928" s="25" t="s">
        <v>1572</v>
      </c>
      <c r="F928" s="25" t="s">
        <v>870</v>
      </c>
      <c r="G928" s="25">
        <v>4.372168942E7</v>
      </c>
      <c r="H928" s="25">
        <v>112697.31</v>
      </c>
      <c r="I928" s="26" t="s">
        <v>5441</v>
      </c>
      <c r="J928" s="26" t="s">
        <v>5442</v>
      </c>
      <c r="K928" s="26" t="str">
        <f t="shared" si="1"/>
        <v>BB</v>
      </c>
      <c r="L928" s="26" t="str">
        <f t="shared" si="2"/>
        <v>Carvedilol</v>
      </c>
      <c r="M928" s="26"/>
    </row>
    <row r="929" ht="17.25" customHeight="1">
      <c r="B929" s="25" t="s">
        <v>596</v>
      </c>
      <c r="C929" s="25" t="s">
        <v>1541</v>
      </c>
      <c r="D929" s="25" t="s">
        <v>734</v>
      </c>
      <c r="E929" s="25" t="s">
        <v>1573</v>
      </c>
      <c r="F929" s="25" t="s">
        <v>734</v>
      </c>
      <c r="G929" s="25">
        <v>1.81823472E7</v>
      </c>
      <c r="H929" s="25">
        <v>50506.52</v>
      </c>
      <c r="I929" s="26" t="s">
        <v>5441</v>
      </c>
      <c r="J929" s="26" t="s">
        <v>5442</v>
      </c>
      <c r="K929" s="26" t="str">
        <f t="shared" si="1"/>
        <v>BB</v>
      </c>
      <c r="L929" s="26" t="str">
        <f t="shared" si="2"/>
        <v>Carvedilol</v>
      </c>
      <c r="M929" s="26"/>
    </row>
    <row r="930" ht="17.25" customHeight="1">
      <c r="B930" s="25" t="s">
        <v>596</v>
      </c>
      <c r="C930" s="25" t="s">
        <v>1541</v>
      </c>
      <c r="D930" s="25" t="s">
        <v>880</v>
      </c>
      <c r="E930" s="25" t="s">
        <v>1574</v>
      </c>
      <c r="F930" s="25" t="s">
        <v>880</v>
      </c>
      <c r="G930" s="25">
        <v>3.51709885185E9</v>
      </c>
      <c r="H930" s="25">
        <v>1.34230218E7</v>
      </c>
      <c r="I930" s="26" t="s">
        <v>5441</v>
      </c>
      <c r="J930" s="26" t="s">
        <v>5442</v>
      </c>
      <c r="K930" s="26" t="str">
        <f t="shared" si="1"/>
        <v>BB</v>
      </c>
      <c r="L930" s="26" t="str">
        <f t="shared" si="2"/>
        <v>Carvedilol</v>
      </c>
      <c r="M930" s="26"/>
    </row>
    <row r="931" ht="17.25" customHeight="1">
      <c r="B931" s="25" t="s">
        <v>596</v>
      </c>
      <c r="C931" s="25" t="s">
        <v>1541</v>
      </c>
      <c r="D931" s="25" t="s">
        <v>880</v>
      </c>
      <c r="E931" s="25" t="s">
        <v>1575</v>
      </c>
      <c r="F931" s="25" t="s">
        <v>880</v>
      </c>
      <c r="G931" s="25">
        <v>1.26852016172E9</v>
      </c>
      <c r="H931" s="25">
        <v>2536203.85</v>
      </c>
      <c r="I931" s="26" t="s">
        <v>5441</v>
      </c>
      <c r="J931" s="26" t="s">
        <v>5442</v>
      </c>
      <c r="K931" s="26" t="str">
        <f t="shared" si="1"/>
        <v>BB</v>
      </c>
      <c r="L931" s="26" t="str">
        <f t="shared" si="2"/>
        <v>Carvedilol</v>
      </c>
      <c r="M931" s="26"/>
    </row>
    <row r="932" ht="17.25" customHeight="1">
      <c r="B932" s="25" t="s">
        <v>596</v>
      </c>
      <c r="C932" s="25" t="s">
        <v>1541</v>
      </c>
      <c r="D932" s="25" t="s">
        <v>886</v>
      </c>
      <c r="E932" s="25" t="s">
        <v>1576</v>
      </c>
      <c r="F932" s="25" t="s">
        <v>886</v>
      </c>
      <c r="G932" s="25">
        <v>1.485611744E7</v>
      </c>
      <c r="H932" s="25">
        <v>35120.85</v>
      </c>
      <c r="I932" s="26" t="s">
        <v>5441</v>
      </c>
      <c r="J932" s="26" t="s">
        <v>5442</v>
      </c>
      <c r="K932" s="26" t="str">
        <f t="shared" si="1"/>
        <v>BB</v>
      </c>
      <c r="L932" s="26" t="str">
        <f t="shared" si="2"/>
        <v>Carvedilol</v>
      </c>
      <c r="M932" s="26"/>
    </row>
    <row r="933" ht="17.25" customHeight="1">
      <c r="B933" s="25" t="s">
        <v>596</v>
      </c>
      <c r="C933" s="25" t="s">
        <v>1541</v>
      </c>
      <c r="D933" s="25" t="s">
        <v>898</v>
      </c>
      <c r="E933" s="25" t="s">
        <v>1577</v>
      </c>
      <c r="F933" s="25" t="s">
        <v>898</v>
      </c>
      <c r="G933" s="25">
        <v>1.1888874E7</v>
      </c>
      <c r="H933" s="25">
        <v>33024.65</v>
      </c>
      <c r="I933" s="26" t="s">
        <v>5441</v>
      </c>
      <c r="J933" s="26" t="s">
        <v>5442</v>
      </c>
      <c r="K933" s="26" t="str">
        <f t="shared" si="1"/>
        <v>BB</v>
      </c>
      <c r="L933" s="26" t="str">
        <f t="shared" si="2"/>
        <v>Carvedilol</v>
      </c>
      <c r="M933" s="26"/>
    </row>
    <row r="934" ht="17.25" customHeight="1">
      <c r="B934" s="25" t="s">
        <v>596</v>
      </c>
      <c r="C934" s="25" t="s">
        <v>1541</v>
      </c>
      <c r="D934" s="25" t="s">
        <v>717</v>
      </c>
      <c r="E934" s="25" t="s">
        <v>1578</v>
      </c>
      <c r="F934" s="25" t="s">
        <v>717</v>
      </c>
      <c r="G934" s="25">
        <v>3.364246537E7</v>
      </c>
      <c r="H934" s="25">
        <v>79533.04</v>
      </c>
      <c r="I934" s="26" t="s">
        <v>5441</v>
      </c>
      <c r="J934" s="26" t="s">
        <v>5442</v>
      </c>
      <c r="K934" s="26" t="str">
        <f t="shared" si="1"/>
        <v>BB</v>
      </c>
      <c r="L934" s="26" t="str">
        <f t="shared" si="2"/>
        <v>Carvedilol</v>
      </c>
      <c r="M934" s="26"/>
    </row>
    <row r="935" ht="17.25" customHeight="1">
      <c r="B935" s="25" t="s">
        <v>596</v>
      </c>
      <c r="C935" s="25" t="s">
        <v>1541</v>
      </c>
      <c r="D935" s="25" t="s">
        <v>1176</v>
      </c>
      <c r="E935" s="25" t="s">
        <v>1579</v>
      </c>
      <c r="F935" s="25" t="s">
        <v>1176</v>
      </c>
      <c r="G935" s="25">
        <v>3192777.0</v>
      </c>
      <c r="H935" s="25">
        <v>8868.83</v>
      </c>
      <c r="I935" s="26" t="s">
        <v>5441</v>
      </c>
      <c r="J935" s="26" t="s">
        <v>5442</v>
      </c>
      <c r="K935" s="26" t="str">
        <f t="shared" si="1"/>
        <v>BB</v>
      </c>
      <c r="L935" s="26" t="str">
        <f t="shared" si="2"/>
        <v>Carvedilol</v>
      </c>
      <c r="M935" s="26"/>
    </row>
    <row r="936" ht="17.25" customHeight="1">
      <c r="B936" s="25" t="s">
        <v>596</v>
      </c>
      <c r="C936" s="25" t="s">
        <v>1541</v>
      </c>
      <c r="D936" s="25" t="s">
        <v>915</v>
      </c>
      <c r="E936" s="25" t="s">
        <v>1580</v>
      </c>
      <c r="F936" s="25" t="s">
        <v>915</v>
      </c>
      <c r="G936" s="25">
        <v>4.217683086E7</v>
      </c>
      <c r="H936" s="25">
        <v>99708.82</v>
      </c>
      <c r="I936" s="26" t="s">
        <v>5441</v>
      </c>
      <c r="J936" s="26" t="s">
        <v>5442</v>
      </c>
      <c r="K936" s="26" t="str">
        <f t="shared" si="1"/>
        <v>BB</v>
      </c>
      <c r="L936" s="26" t="str">
        <f t="shared" si="2"/>
        <v>Carvedilol</v>
      </c>
      <c r="M936" s="26"/>
    </row>
    <row r="937" ht="17.25" customHeight="1">
      <c r="B937" s="25" t="s">
        <v>596</v>
      </c>
      <c r="C937" s="25" t="s">
        <v>1541</v>
      </c>
      <c r="D937" s="25" t="s">
        <v>917</v>
      </c>
      <c r="E937" s="25" t="s">
        <v>1581</v>
      </c>
      <c r="F937" s="25" t="s">
        <v>917</v>
      </c>
      <c r="G937" s="25">
        <v>1.8213816487E8</v>
      </c>
      <c r="H937" s="25">
        <v>359561.46</v>
      </c>
      <c r="I937" s="26" t="s">
        <v>5441</v>
      </c>
      <c r="J937" s="26" t="s">
        <v>5442</v>
      </c>
      <c r="K937" s="26" t="str">
        <f t="shared" si="1"/>
        <v>BB</v>
      </c>
      <c r="L937" s="26" t="str">
        <f t="shared" si="2"/>
        <v>Carvedilol</v>
      </c>
      <c r="M937" s="26"/>
    </row>
    <row r="938" ht="17.25" customHeight="1">
      <c r="B938" s="25" t="s">
        <v>596</v>
      </c>
      <c r="C938" s="25" t="s">
        <v>1541</v>
      </c>
      <c r="D938" s="25" t="s">
        <v>917</v>
      </c>
      <c r="E938" s="25" t="s">
        <v>1582</v>
      </c>
      <c r="F938" s="25" t="s">
        <v>917</v>
      </c>
      <c r="G938" s="25">
        <v>1.5919930032E8</v>
      </c>
      <c r="H938" s="25">
        <v>427637.27</v>
      </c>
      <c r="I938" s="26" t="s">
        <v>5441</v>
      </c>
      <c r="J938" s="26" t="s">
        <v>5442</v>
      </c>
      <c r="K938" s="26" t="str">
        <f t="shared" si="1"/>
        <v>BB</v>
      </c>
      <c r="L938" s="26" t="str">
        <f t="shared" si="2"/>
        <v>Carvedilol</v>
      </c>
      <c r="M938" s="26"/>
    </row>
    <row r="939" ht="17.25" customHeight="1">
      <c r="B939" s="25" t="s">
        <v>596</v>
      </c>
      <c r="C939" s="25" t="s">
        <v>1541</v>
      </c>
      <c r="D939" s="25" t="s">
        <v>937</v>
      </c>
      <c r="E939" s="25" t="s">
        <v>1583</v>
      </c>
      <c r="F939" s="25" t="s">
        <v>937</v>
      </c>
      <c r="G939" s="25">
        <v>6103123.2</v>
      </c>
      <c r="H939" s="25">
        <v>16953.12</v>
      </c>
      <c r="I939" s="26" t="s">
        <v>5441</v>
      </c>
      <c r="J939" s="26" t="s">
        <v>5442</v>
      </c>
      <c r="K939" s="26" t="str">
        <f t="shared" si="1"/>
        <v>BB</v>
      </c>
      <c r="L939" s="26" t="str">
        <f t="shared" si="2"/>
        <v>Carvedilol</v>
      </c>
      <c r="M939" s="26"/>
    </row>
    <row r="940" ht="17.25" customHeight="1">
      <c r="B940" s="25" t="s">
        <v>596</v>
      </c>
      <c r="C940" s="25" t="s">
        <v>1541</v>
      </c>
      <c r="D940" s="25" t="s">
        <v>736</v>
      </c>
      <c r="E940" s="25" t="s">
        <v>1584</v>
      </c>
      <c r="F940" s="25" t="s">
        <v>736</v>
      </c>
      <c r="G940" s="25">
        <v>1.252548904E7</v>
      </c>
      <c r="H940" s="25">
        <v>37491.43</v>
      </c>
      <c r="I940" s="26" t="s">
        <v>5441</v>
      </c>
      <c r="J940" s="26" t="s">
        <v>5442</v>
      </c>
      <c r="K940" s="26" t="str">
        <f t="shared" si="1"/>
        <v>BB</v>
      </c>
      <c r="L940" s="26" t="str">
        <f t="shared" si="2"/>
        <v>Carvedilol</v>
      </c>
      <c r="M940" s="26"/>
    </row>
    <row r="941" ht="17.25" customHeight="1">
      <c r="B941" s="25" t="s">
        <v>596</v>
      </c>
      <c r="C941" s="25" t="s">
        <v>5743</v>
      </c>
      <c r="D941" s="25" t="s">
        <v>880</v>
      </c>
      <c r="E941" s="25" t="s">
        <v>1586</v>
      </c>
      <c r="F941" s="25" t="s">
        <v>880</v>
      </c>
      <c r="G941" s="25">
        <v>1.5100618929E9</v>
      </c>
      <c r="H941" s="25">
        <v>3065685.51</v>
      </c>
      <c r="I941" s="26" t="s">
        <v>5441</v>
      </c>
      <c r="J941" s="26" t="s">
        <v>5442</v>
      </c>
      <c r="K941" s="26" t="str">
        <f t="shared" si="1"/>
        <v>BB</v>
      </c>
      <c r="L941" s="26" t="str">
        <f t="shared" si="2"/>
        <v>Carvedilol</v>
      </c>
      <c r="M941" s="26"/>
    </row>
    <row r="942" ht="17.25" customHeight="1">
      <c r="B942" s="25" t="s">
        <v>596</v>
      </c>
      <c r="C942" s="25" t="s">
        <v>1587</v>
      </c>
      <c r="D942" s="25" t="s">
        <v>820</v>
      </c>
      <c r="E942" s="25" t="s">
        <v>1588</v>
      </c>
      <c r="F942" s="25" t="s">
        <v>701</v>
      </c>
      <c r="G942" s="25">
        <v>5407854.7</v>
      </c>
      <c r="H942" s="25">
        <v>40058.24</v>
      </c>
      <c r="I942" s="26" t="s">
        <v>5441</v>
      </c>
      <c r="J942" s="26" t="s">
        <v>5442</v>
      </c>
      <c r="K942" s="26" t="str">
        <f t="shared" si="1"/>
        <v>BB</v>
      </c>
      <c r="L942" s="26" t="str">
        <f t="shared" si="2"/>
        <v>Metoprolol</v>
      </c>
      <c r="M942" s="26"/>
    </row>
    <row r="943" ht="17.25" customHeight="1">
      <c r="B943" s="25" t="s">
        <v>596</v>
      </c>
      <c r="C943" s="25" t="s">
        <v>1590</v>
      </c>
      <c r="D943" s="25" t="s">
        <v>1591</v>
      </c>
      <c r="E943" s="25" t="s">
        <v>1592</v>
      </c>
      <c r="F943" s="25" t="s">
        <v>1591</v>
      </c>
      <c r="G943" s="25">
        <v>1.114468666E7</v>
      </c>
      <c r="H943" s="25">
        <v>54364.36</v>
      </c>
      <c r="I943" s="26" t="s">
        <v>5441</v>
      </c>
      <c r="J943" s="26" t="s">
        <v>5442</v>
      </c>
      <c r="K943" s="26" t="str">
        <f t="shared" si="1"/>
        <v>BB</v>
      </c>
      <c r="L943" s="26" t="str">
        <f t="shared" si="2"/>
        <v>Nadolol</v>
      </c>
      <c r="M943" s="26"/>
    </row>
    <row r="944" ht="17.25" customHeight="1">
      <c r="B944" s="25" t="s">
        <v>596</v>
      </c>
      <c r="C944" s="25" t="s">
        <v>5944</v>
      </c>
      <c r="D944" s="25" t="s">
        <v>1473</v>
      </c>
      <c r="E944" s="25" t="s">
        <v>1594</v>
      </c>
      <c r="F944" s="25" t="s">
        <v>1473</v>
      </c>
      <c r="G944" s="25">
        <v>6.714563446E7</v>
      </c>
      <c r="H944" s="25">
        <v>771789.06</v>
      </c>
      <c r="I944" s="26" t="s">
        <v>5441</v>
      </c>
      <c r="J944" s="26" t="s">
        <v>5442</v>
      </c>
      <c r="K944" s="26" t="str">
        <f t="shared" si="1"/>
        <v>BB</v>
      </c>
      <c r="L944" s="26" t="str">
        <f t="shared" si="2"/>
        <v>Nebivolol</v>
      </c>
      <c r="M944" s="26"/>
    </row>
    <row r="945" ht="17.25" customHeight="1">
      <c r="B945" s="25" t="s">
        <v>596</v>
      </c>
      <c r="C945" s="25" t="s">
        <v>5944</v>
      </c>
      <c r="D945" s="25" t="s">
        <v>1596</v>
      </c>
      <c r="E945" s="25" t="s">
        <v>1597</v>
      </c>
      <c r="F945" s="25" t="s">
        <v>746</v>
      </c>
      <c r="G945" s="25">
        <v>6.671735511E7</v>
      </c>
      <c r="H945" s="25">
        <v>766866.21</v>
      </c>
      <c r="I945" s="26" t="s">
        <v>5441</v>
      </c>
      <c r="J945" s="26" t="s">
        <v>5442</v>
      </c>
      <c r="K945" s="26" t="str">
        <f t="shared" si="1"/>
        <v>BB</v>
      </c>
      <c r="L945" s="26" t="str">
        <f t="shared" si="2"/>
        <v>Nebivolol</v>
      </c>
      <c r="M945" s="26"/>
    </row>
    <row r="946" ht="17.25" customHeight="1">
      <c r="B946" s="25" t="s">
        <v>596</v>
      </c>
      <c r="C946" s="25" t="s">
        <v>1598</v>
      </c>
      <c r="D946" s="25" t="s">
        <v>1478</v>
      </c>
      <c r="E946" s="25" t="s">
        <v>1594</v>
      </c>
      <c r="F946" s="25" t="s">
        <v>1473</v>
      </c>
      <c r="G946" s="25">
        <v>3.1961310695E8</v>
      </c>
      <c r="H946" s="25">
        <v>2283217.48</v>
      </c>
      <c r="I946" s="26" t="s">
        <v>5441</v>
      </c>
      <c r="J946" s="26" t="s">
        <v>5442</v>
      </c>
      <c r="K946" s="26" t="str">
        <f t="shared" si="1"/>
        <v>BB</v>
      </c>
      <c r="L946" s="26" t="str">
        <f t="shared" si="2"/>
        <v>Nebivolol</v>
      </c>
      <c r="M946" s="26"/>
    </row>
    <row r="947" ht="17.25" customHeight="1">
      <c r="B947" s="25" t="s">
        <v>596</v>
      </c>
      <c r="C947" s="25" t="s">
        <v>1598</v>
      </c>
      <c r="D947" s="25" t="s">
        <v>776</v>
      </c>
      <c r="E947" s="25" t="s">
        <v>1599</v>
      </c>
      <c r="F947" s="25" t="s">
        <v>776</v>
      </c>
      <c r="G947" s="25">
        <v>3.22366879E7</v>
      </c>
      <c r="H947" s="25">
        <v>168778.6</v>
      </c>
      <c r="I947" s="26" t="s">
        <v>5441</v>
      </c>
      <c r="J947" s="26" t="s">
        <v>5442</v>
      </c>
      <c r="K947" s="26" t="str">
        <f t="shared" si="1"/>
        <v>BB</v>
      </c>
      <c r="L947" s="26" t="str">
        <f t="shared" si="2"/>
        <v>Nebivolol</v>
      </c>
      <c r="M947" s="26"/>
    </row>
    <row r="948" ht="17.25" customHeight="1">
      <c r="B948" s="25" t="s">
        <v>596</v>
      </c>
      <c r="C948" s="25" t="s">
        <v>1598</v>
      </c>
      <c r="D948" s="25" t="s">
        <v>826</v>
      </c>
      <c r="E948" s="25" t="s">
        <v>1600</v>
      </c>
      <c r="F948" s="25" t="s">
        <v>826</v>
      </c>
      <c r="G948" s="25">
        <v>7.350501043E7</v>
      </c>
      <c r="H948" s="25">
        <v>326688.99</v>
      </c>
      <c r="I948" s="26" t="s">
        <v>5441</v>
      </c>
      <c r="J948" s="26" t="s">
        <v>5442</v>
      </c>
      <c r="K948" s="26" t="str">
        <f t="shared" si="1"/>
        <v>BB</v>
      </c>
      <c r="L948" s="26" t="str">
        <f t="shared" si="2"/>
        <v>Nebivolol</v>
      </c>
      <c r="M948" s="26"/>
    </row>
    <row r="949" ht="17.25" customHeight="1">
      <c r="B949" s="25" t="s">
        <v>596</v>
      </c>
      <c r="C949" s="25" t="s">
        <v>1598</v>
      </c>
      <c r="D949" s="25" t="s">
        <v>850</v>
      </c>
      <c r="E949" s="25" t="s">
        <v>1601</v>
      </c>
      <c r="F949" s="25" t="s">
        <v>850</v>
      </c>
      <c r="G949" s="25">
        <v>341737.2</v>
      </c>
      <c r="H949" s="25">
        <v>1789.2</v>
      </c>
      <c r="I949" s="26" t="s">
        <v>5441</v>
      </c>
      <c r="J949" s="26" t="s">
        <v>5442</v>
      </c>
      <c r="K949" s="26" t="str">
        <f t="shared" si="1"/>
        <v>BB</v>
      </c>
      <c r="L949" s="26" t="str">
        <f t="shared" si="2"/>
        <v>Nebivolol</v>
      </c>
      <c r="M949" s="26"/>
    </row>
    <row r="950" ht="17.25" customHeight="1">
      <c r="B950" s="25" t="s">
        <v>596</v>
      </c>
      <c r="C950" s="25" t="s">
        <v>1598</v>
      </c>
      <c r="D950" s="25" t="s">
        <v>1602</v>
      </c>
      <c r="E950" s="25" t="s">
        <v>1603</v>
      </c>
      <c r="F950" s="25" t="s">
        <v>1602</v>
      </c>
      <c r="G950" s="25">
        <v>7629103.46</v>
      </c>
      <c r="H950" s="25">
        <v>39942.96</v>
      </c>
      <c r="I950" s="26" t="s">
        <v>5441</v>
      </c>
      <c r="J950" s="26" t="s">
        <v>5442</v>
      </c>
      <c r="K950" s="26" t="str">
        <f t="shared" si="1"/>
        <v>BB</v>
      </c>
      <c r="L950" s="26" t="str">
        <f t="shared" si="2"/>
        <v>Nebivolol</v>
      </c>
      <c r="M950" s="26"/>
    </row>
    <row r="951" ht="17.25" customHeight="1">
      <c r="B951" s="25" t="s">
        <v>596</v>
      </c>
      <c r="C951" s="25" t="s">
        <v>1598</v>
      </c>
      <c r="D951" s="25" t="s">
        <v>1596</v>
      </c>
      <c r="E951" s="25" t="s">
        <v>1604</v>
      </c>
      <c r="F951" s="25" t="s">
        <v>1596</v>
      </c>
      <c r="G951" s="25">
        <v>7.8797688592E8</v>
      </c>
      <c r="H951" s="25">
        <v>3517755.11</v>
      </c>
      <c r="I951" s="26" t="s">
        <v>5441</v>
      </c>
      <c r="J951" s="26" t="s">
        <v>5442</v>
      </c>
      <c r="K951" s="26" t="str">
        <f t="shared" si="1"/>
        <v>BB</v>
      </c>
      <c r="L951" s="26" t="str">
        <f t="shared" si="2"/>
        <v>Nebivolol</v>
      </c>
      <c r="M951" s="26"/>
    </row>
    <row r="952" ht="17.25" customHeight="1">
      <c r="B952" s="25" t="s">
        <v>596</v>
      </c>
      <c r="C952" s="25" t="s">
        <v>1598</v>
      </c>
      <c r="D952" s="25" t="s">
        <v>1596</v>
      </c>
      <c r="E952" s="25" t="s">
        <v>1597</v>
      </c>
      <c r="F952" s="25" t="s">
        <v>746</v>
      </c>
      <c r="G952" s="25">
        <v>1.8015557142E8</v>
      </c>
      <c r="H952" s="25">
        <v>1364815.18</v>
      </c>
      <c r="I952" s="26" t="s">
        <v>5441</v>
      </c>
      <c r="J952" s="26" t="s">
        <v>5442</v>
      </c>
      <c r="K952" s="26" t="str">
        <f t="shared" si="1"/>
        <v>BB</v>
      </c>
      <c r="L952" s="26" t="str">
        <f t="shared" si="2"/>
        <v>Nebivolol</v>
      </c>
      <c r="M952" s="26"/>
    </row>
    <row r="953" ht="17.25" customHeight="1">
      <c r="B953" s="25" t="s">
        <v>596</v>
      </c>
      <c r="C953" s="25" t="s">
        <v>1598</v>
      </c>
      <c r="D953" s="25" t="s">
        <v>919</v>
      </c>
      <c r="E953" s="25" t="s">
        <v>1605</v>
      </c>
      <c r="F953" s="25" t="s">
        <v>919</v>
      </c>
      <c r="G953" s="25">
        <v>2.719997176E7</v>
      </c>
      <c r="H953" s="25">
        <v>120888.96</v>
      </c>
      <c r="I953" s="26" t="s">
        <v>5441</v>
      </c>
      <c r="J953" s="26" t="s">
        <v>5442</v>
      </c>
      <c r="K953" s="26" t="str">
        <f t="shared" si="1"/>
        <v>BB</v>
      </c>
      <c r="L953" s="26" t="str">
        <f t="shared" si="2"/>
        <v>Nebivolol</v>
      </c>
      <c r="M953" s="26"/>
    </row>
    <row r="954" ht="17.25" customHeight="1">
      <c r="B954" s="25" t="s">
        <v>596</v>
      </c>
      <c r="C954" s="25" t="s">
        <v>1606</v>
      </c>
      <c r="D954" s="25" t="s">
        <v>726</v>
      </c>
      <c r="E954" s="25" t="s">
        <v>1607</v>
      </c>
      <c r="F954" s="25" t="s">
        <v>726</v>
      </c>
      <c r="G954" s="25">
        <v>2.7684554027E8</v>
      </c>
      <c r="H954" s="25">
        <v>1.438959774E7</v>
      </c>
      <c r="I954" s="26" t="s">
        <v>5441</v>
      </c>
      <c r="J954" s="26" t="s">
        <v>5442</v>
      </c>
      <c r="K954" s="26" t="str">
        <f t="shared" si="1"/>
        <v>BB</v>
      </c>
      <c r="L954" s="26" t="str">
        <f t="shared" si="2"/>
        <v>Propranolol</v>
      </c>
      <c r="M954" s="26"/>
    </row>
    <row r="955" ht="17.25" customHeight="1">
      <c r="B955" s="25" t="s">
        <v>596</v>
      </c>
      <c r="C955" s="25" t="s">
        <v>1606</v>
      </c>
      <c r="D955" s="25" t="s">
        <v>919</v>
      </c>
      <c r="E955" s="25" t="s">
        <v>1609</v>
      </c>
      <c r="F955" s="25" t="s">
        <v>919</v>
      </c>
      <c r="G955" s="25">
        <v>911841.3</v>
      </c>
      <c r="H955" s="25">
        <v>30394.73</v>
      </c>
      <c r="I955" s="26" t="s">
        <v>5441</v>
      </c>
      <c r="J955" s="26" t="s">
        <v>5442</v>
      </c>
      <c r="K955" s="26" t="str">
        <f t="shared" si="1"/>
        <v>BB</v>
      </c>
      <c r="L955" s="26" t="str">
        <f t="shared" si="2"/>
        <v>Propranolol</v>
      </c>
      <c r="M955" s="26"/>
    </row>
    <row r="956" ht="17.25" customHeight="1">
      <c r="B956" s="25" t="s">
        <v>596</v>
      </c>
      <c r="C956" s="25" t="s">
        <v>5765</v>
      </c>
      <c r="D956" s="25" t="s">
        <v>830</v>
      </c>
      <c r="E956" s="25" t="s">
        <v>1610</v>
      </c>
      <c r="F956" s="25" t="s">
        <v>830</v>
      </c>
      <c r="G956" s="25">
        <v>34747.2</v>
      </c>
      <c r="H956" s="25">
        <v>228.6</v>
      </c>
      <c r="I956" s="26" t="s">
        <v>5441</v>
      </c>
      <c r="J956" s="26" t="s">
        <v>5442</v>
      </c>
      <c r="K956" s="26" t="str">
        <f t="shared" si="1"/>
        <v>BB</v>
      </c>
      <c r="L956" s="26" t="str">
        <f t="shared" si="2"/>
        <v>S-atenolol</v>
      </c>
      <c r="M956" s="26"/>
    </row>
    <row r="957" ht="17.25" customHeight="1">
      <c r="B957" s="25" t="s">
        <v>596</v>
      </c>
      <c r="C957" s="25" t="s">
        <v>1611</v>
      </c>
      <c r="D957" s="25" t="s">
        <v>1188</v>
      </c>
      <c r="E957" s="25" t="s">
        <v>1612</v>
      </c>
      <c r="F957" s="25" t="s">
        <v>1188</v>
      </c>
      <c r="G957" s="25">
        <v>2.438312503E7</v>
      </c>
      <c r="H957" s="25">
        <v>201513.43</v>
      </c>
      <c r="I957" s="26" t="s">
        <v>5441</v>
      </c>
      <c r="J957" s="26" t="s">
        <v>5442</v>
      </c>
      <c r="K957" s="26" t="str">
        <f t="shared" si="1"/>
        <v>BB</v>
      </c>
      <c r="L957" s="26" t="str">
        <f t="shared" si="2"/>
        <v>Sotalol</v>
      </c>
      <c r="M957" s="26"/>
    </row>
    <row r="958" ht="17.25" customHeight="1">
      <c r="B958" s="25" t="s">
        <v>604</v>
      </c>
      <c r="C958" s="25" t="s">
        <v>5887</v>
      </c>
      <c r="D958" s="25" t="s">
        <v>880</v>
      </c>
      <c r="E958" s="25" t="s">
        <v>6590</v>
      </c>
      <c r="F958" s="25" t="s">
        <v>880</v>
      </c>
      <c r="G958" s="25">
        <v>1.4258681091E8</v>
      </c>
      <c r="H958" s="25">
        <v>104429.49</v>
      </c>
      <c r="I958" s="26" t="s">
        <v>6591</v>
      </c>
      <c r="J958" s="26" t="s">
        <v>6152</v>
      </c>
      <c r="K958" s="26" t="str">
        <f t="shared" si="1"/>
        <v>Statin/ARB/CCB</v>
      </c>
      <c r="L958" s="26" t="str">
        <f t="shared" si="2"/>
        <v>Atorvastatin/Candesartan/Amlodipine </v>
      </c>
      <c r="M958" s="26"/>
    </row>
    <row r="959" ht="17.25" customHeight="1">
      <c r="B959" s="25" t="s">
        <v>604</v>
      </c>
      <c r="C959" s="25" t="s">
        <v>5890</v>
      </c>
      <c r="D959" s="25" t="s">
        <v>770</v>
      </c>
      <c r="E959" s="25" t="s">
        <v>6592</v>
      </c>
      <c r="F959" s="25" t="s">
        <v>770</v>
      </c>
      <c r="G959" s="25">
        <v>9.976196198E7</v>
      </c>
      <c r="H959" s="25">
        <v>65598.38</v>
      </c>
      <c r="I959" s="26" t="s">
        <v>6591</v>
      </c>
      <c r="J959" s="26" t="s">
        <v>6152</v>
      </c>
      <c r="K959" s="26" t="str">
        <f t="shared" si="1"/>
        <v>Statin/ARB/CCB</v>
      </c>
      <c r="L959" s="26" t="str">
        <f t="shared" si="2"/>
        <v>Atorvastatin/Valsartan/Amlodipine </v>
      </c>
      <c r="M959" s="26"/>
    </row>
    <row r="960" ht="17.25" customHeight="1">
      <c r="B960" s="25" t="s">
        <v>604</v>
      </c>
      <c r="C960" s="25" t="s">
        <v>5890</v>
      </c>
      <c r="D960" s="25" t="s">
        <v>774</v>
      </c>
      <c r="E960" s="25" t="s">
        <v>6593</v>
      </c>
      <c r="F960" s="25" t="s">
        <v>774</v>
      </c>
      <c r="G960" s="25">
        <v>9.633794711E7</v>
      </c>
      <c r="H960" s="25">
        <v>62514.99</v>
      </c>
      <c r="I960" s="26" t="s">
        <v>6591</v>
      </c>
      <c r="J960" s="26" t="s">
        <v>6152</v>
      </c>
      <c r="K960" s="26" t="str">
        <f t="shared" si="1"/>
        <v>Statin/ARB/CCB</v>
      </c>
      <c r="L960" s="26" t="str">
        <f t="shared" si="2"/>
        <v>Atorvastatin/Valsartan/Amlodipine </v>
      </c>
      <c r="M960" s="26"/>
    </row>
    <row r="961" ht="17.25" customHeight="1">
      <c r="B961" s="25" t="s">
        <v>604</v>
      </c>
      <c r="C961" s="25" t="s">
        <v>5890</v>
      </c>
      <c r="D961" s="25" t="s">
        <v>1139</v>
      </c>
      <c r="E961" s="25" t="s">
        <v>6594</v>
      </c>
      <c r="F961" s="25" t="s">
        <v>1139</v>
      </c>
      <c r="G961" s="25">
        <v>1.4859703149E8</v>
      </c>
      <c r="H961" s="25">
        <v>117719.81</v>
      </c>
      <c r="I961" s="26" t="s">
        <v>6591</v>
      </c>
      <c r="J961" s="26" t="s">
        <v>6152</v>
      </c>
      <c r="K961" s="26" t="str">
        <f t="shared" si="1"/>
        <v>Statin/ARB/CCB</v>
      </c>
      <c r="L961" s="26" t="str">
        <f t="shared" si="2"/>
        <v>Atorvastatin/Valsartan/Amlodipine </v>
      </c>
      <c r="M961" s="26"/>
    </row>
    <row r="962" ht="17.25" customHeight="1">
      <c r="B962" s="25" t="s">
        <v>604</v>
      </c>
      <c r="C962" s="25" t="s">
        <v>5890</v>
      </c>
      <c r="D962" s="25" t="s">
        <v>874</v>
      </c>
      <c r="E962" s="25" t="s">
        <v>6595</v>
      </c>
      <c r="F962" s="25" t="s">
        <v>874</v>
      </c>
      <c r="G962" s="25">
        <v>1.49787351E7</v>
      </c>
      <c r="H962" s="25">
        <v>9795.6</v>
      </c>
      <c r="I962" s="26" t="s">
        <v>6591</v>
      </c>
      <c r="J962" s="26" t="s">
        <v>6152</v>
      </c>
      <c r="K962" s="26" t="str">
        <f t="shared" si="1"/>
        <v>Statin/ARB/CCB</v>
      </c>
      <c r="L962" s="26" t="str">
        <f t="shared" si="2"/>
        <v>Atorvastatin/Valsartan/Amlodipine </v>
      </c>
      <c r="M962" s="26"/>
    </row>
    <row r="963" ht="17.25" customHeight="1">
      <c r="B963" s="25" t="s">
        <v>604</v>
      </c>
      <c r="C963" s="25" t="s">
        <v>5890</v>
      </c>
      <c r="D963" s="25" t="s">
        <v>736</v>
      </c>
      <c r="E963" s="25" t="s">
        <v>6596</v>
      </c>
      <c r="F963" s="25" t="s">
        <v>736</v>
      </c>
      <c r="G963" s="25">
        <v>6022778.28</v>
      </c>
      <c r="H963" s="25">
        <v>4102.71</v>
      </c>
      <c r="I963" s="26" t="s">
        <v>6591</v>
      </c>
      <c r="J963" s="26" t="s">
        <v>6152</v>
      </c>
      <c r="K963" s="26" t="str">
        <f t="shared" si="1"/>
        <v>Statin/ARB/CCB</v>
      </c>
      <c r="L963" s="26" t="str">
        <f t="shared" si="2"/>
        <v>Atorvastatin/Valsartan/Amlodipine </v>
      </c>
      <c r="M963" s="26"/>
    </row>
    <row r="964" ht="17.25" customHeight="1">
      <c r="B964" s="25" t="s">
        <v>604</v>
      </c>
      <c r="C964" s="25" t="s">
        <v>5893</v>
      </c>
      <c r="D964" s="25" t="s">
        <v>701</v>
      </c>
      <c r="E964" s="25" t="s">
        <v>6597</v>
      </c>
      <c r="F964" s="25" t="s">
        <v>701</v>
      </c>
      <c r="G964" s="25">
        <v>1.913204361E8</v>
      </c>
      <c r="H964" s="25">
        <v>113223.3</v>
      </c>
      <c r="I964" s="26" t="s">
        <v>6591</v>
      </c>
      <c r="J964" s="26" t="s">
        <v>6152</v>
      </c>
      <c r="K964" s="26" t="str">
        <f t="shared" si="1"/>
        <v>Statin/EZ/CCB</v>
      </c>
      <c r="L964" s="26" t="str">
        <f t="shared" si="2"/>
        <v>Atorvastatin/EZ/Amlodipine </v>
      </c>
      <c r="M964" s="26"/>
    </row>
    <row r="965" ht="17.25" customHeight="1">
      <c r="B965" s="25" t="s">
        <v>604</v>
      </c>
      <c r="C965" s="25" t="s">
        <v>5893</v>
      </c>
      <c r="D965" s="25" t="s">
        <v>1050</v>
      </c>
      <c r="E965" s="25" t="s">
        <v>6598</v>
      </c>
      <c r="F965" s="25" t="s">
        <v>1050</v>
      </c>
      <c r="G965" s="25">
        <v>6.40960798E7</v>
      </c>
      <c r="H965" s="25">
        <v>37904.82</v>
      </c>
      <c r="I965" s="26" t="s">
        <v>6591</v>
      </c>
      <c r="J965" s="26" t="s">
        <v>6152</v>
      </c>
      <c r="K965" s="26" t="str">
        <f t="shared" si="1"/>
        <v>Statin/EZ/CCB</v>
      </c>
      <c r="L965" s="26" t="str">
        <f t="shared" si="2"/>
        <v>Atorvastatin/EZ/Amlodipine </v>
      </c>
      <c r="M965" s="26"/>
    </row>
    <row r="966" ht="17.25" customHeight="1">
      <c r="B966" s="25" t="s">
        <v>604</v>
      </c>
      <c r="C966" s="25" t="s">
        <v>5896</v>
      </c>
      <c r="D966" s="25" t="s">
        <v>699</v>
      </c>
      <c r="E966" s="25" t="s">
        <v>6599</v>
      </c>
      <c r="F966" s="25" t="s">
        <v>699</v>
      </c>
      <c r="G966" s="25">
        <v>3.8454317441E8</v>
      </c>
      <c r="H966" s="25">
        <v>230918.4</v>
      </c>
      <c r="I966" s="26" t="s">
        <v>6591</v>
      </c>
      <c r="J966" s="26" t="s">
        <v>6152</v>
      </c>
      <c r="K966" s="26" t="str">
        <f t="shared" si="1"/>
        <v>Statin/EZ/ARB/CCB</v>
      </c>
      <c r="L966" s="26" t="str">
        <f t="shared" si="2"/>
        <v>Rosuvastatin/EZ/Telmisartan/Amlodipine </v>
      </c>
      <c r="M966" s="26"/>
    </row>
    <row r="967" ht="17.25" customHeight="1">
      <c r="B967" s="25" t="s">
        <v>604</v>
      </c>
      <c r="C967" s="25" t="s">
        <v>5896</v>
      </c>
      <c r="D967" s="25" t="s">
        <v>876</v>
      </c>
      <c r="E967" s="25" t="s">
        <v>6600</v>
      </c>
      <c r="F967" s="25" t="s">
        <v>876</v>
      </c>
      <c r="G967" s="25">
        <v>6.589275187E7</v>
      </c>
      <c r="H967" s="25">
        <v>34246.61</v>
      </c>
      <c r="I967" s="26" t="s">
        <v>6591</v>
      </c>
      <c r="J967" s="26" t="s">
        <v>6152</v>
      </c>
      <c r="K967" s="26" t="str">
        <f t="shared" si="1"/>
        <v>Statin/EZ/ARB/CCB</v>
      </c>
      <c r="L967" s="26" t="str">
        <f t="shared" si="2"/>
        <v>Rosuvastatin/EZ/Telmisartan/Amlodipine </v>
      </c>
      <c r="M967" s="26"/>
    </row>
    <row r="968" ht="17.25" customHeight="1">
      <c r="B968" s="25" t="s">
        <v>604</v>
      </c>
      <c r="C968" s="25" t="s">
        <v>5898</v>
      </c>
      <c r="D968" s="25" t="s">
        <v>917</v>
      </c>
      <c r="E968" s="25" t="s">
        <v>6601</v>
      </c>
      <c r="F968" s="25" t="s">
        <v>917</v>
      </c>
      <c r="G968" s="25">
        <v>1.04118544392E9</v>
      </c>
      <c r="H968" s="25">
        <v>585731.87</v>
      </c>
      <c r="I968" s="26" t="s">
        <v>6591</v>
      </c>
      <c r="J968" s="26" t="s">
        <v>6152</v>
      </c>
      <c r="K968" s="26" t="str">
        <f t="shared" si="1"/>
        <v>Statin/EZ/ARB/CCB</v>
      </c>
      <c r="L968" s="26" t="str">
        <f t="shared" si="2"/>
        <v>Rosuvastatin/EZ/Losartan/Amlodipine </v>
      </c>
      <c r="M968" s="26"/>
    </row>
    <row r="969" ht="17.25" customHeight="1">
      <c r="B969" s="25" t="s">
        <v>604</v>
      </c>
      <c r="C969" s="25" t="s">
        <v>6105</v>
      </c>
      <c r="D969" s="25" t="s">
        <v>810</v>
      </c>
      <c r="E969" s="25" t="s">
        <v>6602</v>
      </c>
      <c r="F969" s="25" t="s">
        <v>810</v>
      </c>
      <c r="G969" s="25">
        <v>7.835984184E7</v>
      </c>
      <c r="H969" s="25">
        <v>53121.9</v>
      </c>
      <c r="I969" s="26" t="s">
        <v>6591</v>
      </c>
      <c r="J969" s="26" t="s">
        <v>6152</v>
      </c>
      <c r="K969" s="26" t="str">
        <f t="shared" si="1"/>
        <v>Statin/EZ/CCB</v>
      </c>
      <c r="L969" s="26" t="str">
        <f t="shared" si="2"/>
        <v>Rosuvastatin/EZ/amlodipine </v>
      </c>
      <c r="M969" s="26"/>
    </row>
    <row r="970" ht="17.25" customHeight="1">
      <c r="B970" s="25" t="s">
        <v>604</v>
      </c>
      <c r="C970" s="25" t="s">
        <v>5901</v>
      </c>
      <c r="D970" s="25" t="s">
        <v>788</v>
      </c>
      <c r="E970" s="25" t="s">
        <v>6603</v>
      </c>
      <c r="F970" s="25" t="s">
        <v>788</v>
      </c>
      <c r="G970" s="25">
        <v>1.25273472335E9</v>
      </c>
      <c r="H970" s="25">
        <v>1200856.9</v>
      </c>
      <c r="I970" s="26" t="s">
        <v>6591</v>
      </c>
      <c r="J970" s="26" t="s">
        <v>6152</v>
      </c>
      <c r="K970" s="26" t="str">
        <f t="shared" si="1"/>
        <v>Statin/ARB/CCB</v>
      </c>
      <c r="L970" s="26" t="str">
        <f t="shared" si="2"/>
        <v>Rosuvastatin/Fimasartan/Amlodipine </v>
      </c>
      <c r="M970" s="26"/>
    </row>
    <row r="971" ht="17.25" customHeight="1">
      <c r="B971" s="25" t="s">
        <v>604</v>
      </c>
      <c r="C971" s="25" t="s">
        <v>5904</v>
      </c>
      <c r="D971" s="25" t="s">
        <v>763</v>
      </c>
      <c r="E971" s="25" t="s">
        <v>6604</v>
      </c>
      <c r="F971" s="25" t="s">
        <v>763</v>
      </c>
      <c r="G971" s="25">
        <v>5.4898186944E8</v>
      </c>
      <c r="H971" s="25">
        <v>468393.49</v>
      </c>
      <c r="I971" s="26" t="s">
        <v>6591</v>
      </c>
      <c r="J971" s="26" t="s">
        <v>6152</v>
      </c>
      <c r="K971" s="26" t="str">
        <f t="shared" si="1"/>
        <v>Statin/ARB/CCB</v>
      </c>
      <c r="L971" s="26" t="str">
        <f t="shared" si="2"/>
        <v>Rosuvastatin/Olmesartan/Amlodipine </v>
      </c>
      <c r="M971" s="26"/>
    </row>
    <row r="972" ht="17.25" customHeight="1">
      <c r="A972" s="74"/>
      <c r="B972" s="75" t="s">
        <v>604</v>
      </c>
      <c r="C972" s="75" t="s">
        <v>6109</v>
      </c>
      <c r="D972" s="75" t="s">
        <v>941</v>
      </c>
      <c r="E972" s="75" t="s">
        <v>6605</v>
      </c>
      <c r="F972" s="75" t="s">
        <v>941</v>
      </c>
      <c r="G972" s="75">
        <v>5.114178532E7</v>
      </c>
      <c r="H972" s="75">
        <v>33981.58</v>
      </c>
      <c r="I972" s="55" t="s">
        <v>6591</v>
      </c>
      <c r="J972" s="55" t="s">
        <v>6152</v>
      </c>
      <c r="K972" s="55" t="str">
        <f t="shared" si="1"/>
        <v>Statin/ARB/CCB</v>
      </c>
      <c r="L972" s="55" t="str">
        <f t="shared" si="2"/>
        <v>Pitavastatin/Valsartan/amlodipine </v>
      </c>
      <c r="M972" s="55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17.25" customHeight="1">
      <c r="A973" s="74"/>
      <c r="B973" s="75" t="s">
        <v>604</v>
      </c>
      <c r="C973" s="75" t="s">
        <v>6113</v>
      </c>
      <c r="D973" s="75" t="s">
        <v>941</v>
      </c>
      <c r="E973" s="75" t="s">
        <v>6605</v>
      </c>
      <c r="F973" s="75" t="s">
        <v>941</v>
      </c>
      <c r="G973" s="75">
        <v>606048.0</v>
      </c>
      <c r="H973" s="75">
        <v>377.6</v>
      </c>
      <c r="I973" s="55" t="s">
        <v>6591</v>
      </c>
      <c r="J973" s="55" t="s">
        <v>6152</v>
      </c>
      <c r="K973" s="55" t="str">
        <f t="shared" si="1"/>
        <v>Statin/ARB/CCB</v>
      </c>
      <c r="L973" s="55" t="str">
        <f t="shared" si="2"/>
        <v>Pitavastatin/Valsartan/amlodipine </v>
      </c>
      <c r="M973" s="55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17.25" customHeight="1">
      <c r="B974" s="25" t="s">
        <v>604</v>
      </c>
      <c r="C974" s="25" t="s">
        <v>5907</v>
      </c>
      <c r="D974" s="25" t="s">
        <v>695</v>
      </c>
      <c r="E974" s="25" t="s">
        <v>6606</v>
      </c>
      <c r="F974" s="25" t="s">
        <v>695</v>
      </c>
      <c r="G974" s="25">
        <v>8295764.56</v>
      </c>
      <c r="H974" s="25">
        <v>12566.08</v>
      </c>
      <c r="I974" s="26" t="s">
        <v>6591</v>
      </c>
      <c r="J974" s="26" t="s">
        <v>6152</v>
      </c>
      <c r="K974" s="26" t="str">
        <f t="shared" si="1"/>
        <v>Statin/CCB</v>
      </c>
      <c r="L974" s="26" t="str">
        <f t="shared" si="2"/>
        <v>Rosuvastatin/Amlodipine </v>
      </c>
      <c r="M974" s="26"/>
    </row>
    <row r="975" ht="17.25" customHeight="1">
      <c r="B975" s="25" t="s">
        <v>604</v>
      </c>
      <c r="C975" s="25" t="s">
        <v>5907</v>
      </c>
      <c r="D975" s="25" t="s">
        <v>701</v>
      </c>
      <c r="E975" s="25" t="s">
        <v>6607</v>
      </c>
      <c r="F975" s="25" t="s">
        <v>701</v>
      </c>
      <c r="G975" s="25">
        <v>4.7071884862E8</v>
      </c>
      <c r="H975" s="25">
        <v>621740.21</v>
      </c>
      <c r="I975" s="26" t="s">
        <v>6591</v>
      </c>
      <c r="J975" s="26" t="s">
        <v>6152</v>
      </c>
      <c r="K975" s="26" t="str">
        <f t="shared" si="1"/>
        <v>Statin/CCB</v>
      </c>
      <c r="L975" s="26" t="str">
        <f t="shared" si="2"/>
        <v>Rosuvastatin/Amlodipine </v>
      </c>
      <c r="M975" s="26"/>
    </row>
    <row r="976" ht="17.25" customHeight="1">
      <c r="B976" s="25" t="s">
        <v>604</v>
      </c>
      <c r="C976" s="25" t="s">
        <v>5910</v>
      </c>
      <c r="D976" s="25" t="s">
        <v>768</v>
      </c>
      <c r="E976" s="25" t="s">
        <v>6608</v>
      </c>
      <c r="F976" s="25" t="s">
        <v>768</v>
      </c>
      <c r="G976" s="25">
        <v>1.9316131043E8</v>
      </c>
      <c r="H976" s="25">
        <v>163665.63</v>
      </c>
      <c r="I976" s="26" t="s">
        <v>6591</v>
      </c>
      <c r="J976" s="26" t="s">
        <v>6152</v>
      </c>
      <c r="K976" s="26" t="str">
        <f t="shared" si="1"/>
        <v>Statin/ARB/CCB</v>
      </c>
      <c r="L976" s="26" t="str">
        <f t="shared" si="2"/>
        <v>Rosuvastatin/Telmisartan/Amlodipine </v>
      </c>
      <c r="M976" s="26"/>
    </row>
    <row r="977" ht="17.25" customHeight="1">
      <c r="B977" s="25" t="s">
        <v>604</v>
      </c>
      <c r="C977" s="25" t="s">
        <v>5910</v>
      </c>
      <c r="D977" s="25" t="s">
        <v>708</v>
      </c>
      <c r="E977" s="25" t="s">
        <v>6609</v>
      </c>
      <c r="F977" s="25" t="s">
        <v>708</v>
      </c>
      <c r="G977" s="25">
        <v>3.236725718E7</v>
      </c>
      <c r="H977" s="25">
        <v>29188.28</v>
      </c>
      <c r="I977" s="26" t="s">
        <v>6591</v>
      </c>
      <c r="J977" s="26" t="s">
        <v>6152</v>
      </c>
      <c r="K977" s="26" t="str">
        <f t="shared" si="1"/>
        <v>Statin/ARB/CCB</v>
      </c>
      <c r="L977" s="26" t="str">
        <f t="shared" si="2"/>
        <v>Rosuvastatin/Telmisartan/Amlodipine </v>
      </c>
      <c r="M977" s="26"/>
    </row>
    <row r="978" ht="17.25" customHeight="1">
      <c r="B978" s="25" t="s">
        <v>604</v>
      </c>
      <c r="C978" s="25" t="s">
        <v>5910</v>
      </c>
      <c r="D978" s="25" t="s">
        <v>810</v>
      </c>
      <c r="E978" s="25" t="s">
        <v>6610</v>
      </c>
      <c r="F978" s="25" t="s">
        <v>810</v>
      </c>
      <c r="G978" s="25">
        <v>9.959650142E7</v>
      </c>
      <c r="H978" s="25">
        <v>82828.59</v>
      </c>
      <c r="I978" s="26" t="s">
        <v>6591</v>
      </c>
      <c r="J978" s="26" t="s">
        <v>6152</v>
      </c>
      <c r="K978" s="26" t="str">
        <f t="shared" si="1"/>
        <v>Statin/ARB/CCB</v>
      </c>
      <c r="L978" s="26" t="str">
        <f t="shared" si="2"/>
        <v>Rosuvastatin/Telmisartan/Amlodipine </v>
      </c>
      <c r="M978" s="26"/>
    </row>
    <row r="979" ht="17.25" customHeight="1">
      <c r="B979" s="25" t="s">
        <v>604</v>
      </c>
      <c r="C979" s="25" t="s">
        <v>5910</v>
      </c>
      <c r="D979" s="25" t="s">
        <v>713</v>
      </c>
      <c r="E979" s="25" t="s">
        <v>6611</v>
      </c>
      <c r="F979" s="25" t="s">
        <v>713</v>
      </c>
      <c r="G979" s="25">
        <v>8605039.5</v>
      </c>
      <c r="H979" s="25">
        <v>6168.6</v>
      </c>
      <c r="I979" s="26" t="s">
        <v>6591</v>
      </c>
      <c r="J979" s="26" t="s">
        <v>6152</v>
      </c>
      <c r="K979" s="26" t="str">
        <f t="shared" si="1"/>
        <v>Statin/ARB/CCB</v>
      </c>
      <c r="L979" s="26" t="str">
        <f t="shared" si="2"/>
        <v>Rosuvastatin/Telmisartan/Amlodipine </v>
      </c>
      <c r="M979" s="26"/>
    </row>
    <row r="980" ht="17.25" customHeight="1">
      <c r="B980" s="25" t="s">
        <v>604</v>
      </c>
      <c r="C980" s="25" t="s">
        <v>5910</v>
      </c>
      <c r="D980" s="25" t="s">
        <v>701</v>
      </c>
      <c r="E980" s="25" t="s">
        <v>6612</v>
      </c>
      <c r="F980" s="25" t="s">
        <v>701</v>
      </c>
      <c r="G980" s="25">
        <v>2.8866081573E8</v>
      </c>
      <c r="H980" s="25">
        <v>244430.82</v>
      </c>
      <c r="I980" s="26" t="s">
        <v>6591</v>
      </c>
      <c r="J980" s="26" t="s">
        <v>6152</v>
      </c>
      <c r="K980" s="26" t="str">
        <f t="shared" si="1"/>
        <v>Statin/ARB/CCB</v>
      </c>
      <c r="L980" s="26" t="str">
        <f t="shared" si="2"/>
        <v>Rosuvastatin/Telmisartan/Amlodipine </v>
      </c>
      <c r="M980" s="26"/>
    </row>
    <row r="981" ht="17.25" customHeight="1">
      <c r="B981" s="25" t="s">
        <v>604</v>
      </c>
      <c r="C981" s="25" t="s">
        <v>5910</v>
      </c>
      <c r="D981" s="25" t="s">
        <v>1040</v>
      </c>
      <c r="E981" s="25" t="s">
        <v>6613</v>
      </c>
      <c r="F981" s="25" t="s">
        <v>1040</v>
      </c>
      <c r="G981" s="25">
        <v>3.4692434177E8</v>
      </c>
      <c r="H981" s="25">
        <v>283184.94</v>
      </c>
      <c r="I981" s="26" t="s">
        <v>6591</v>
      </c>
      <c r="J981" s="26" t="s">
        <v>6152</v>
      </c>
      <c r="K981" s="26" t="str">
        <f t="shared" si="1"/>
        <v>Statin/ARB/CCB</v>
      </c>
      <c r="L981" s="26" t="str">
        <f t="shared" si="2"/>
        <v>Rosuvastatin/Telmisartan/Amlodipine </v>
      </c>
      <c r="M981" s="26"/>
    </row>
    <row r="982" ht="17.25" customHeight="1">
      <c r="B982" s="25" t="s">
        <v>604</v>
      </c>
      <c r="C982" s="25" t="s">
        <v>5910</v>
      </c>
      <c r="D982" s="25" t="s">
        <v>876</v>
      </c>
      <c r="E982" s="25" t="s">
        <v>6614</v>
      </c>
      <c r="F982" s="25" t="s">
        <v>876</v>
      </c>
      <c r="G982" s="25">
        <v>1.284918567E8</v>
      </c>
      <c r="H982" s="25">
        <v>95613.28</v>
      </c>
      <c r="I982" s="26" t="s">
        <v>6591</v>
      </c>
      <c r="J982" s="26" t="s">
        <v>6152</v>
      </c>
      <c r="K982" s="26" t="str">
        <f t="shared" si="1"/>
        <v>Statin/ARB/CCB</v>
      </c>
      <c r="L982" s="26" t="str">
        <f t="shared" si="2"/>
        <v>Rosuvastatin/Telmisartan/Amlodipine </v>
      </c>
      <c r="M982" s="26"/>
    </row>
    <row r="983" ht="17.25" customHeight="1">
      <c r="B983" s="25" t="s">
        <v>604</v>
      </c>
      <c r="C983" s="25" t="s">
        <v>5913</v>
      </c>
      <c r="D983" s="25" t="s">
        <v>695</v>
      </c>
      <c r="E983" s="25" t="s">
        <v>6615</v>
      </c>
      <c r="F983" s="25" t="s">
        <v>695</v>
      </c>
      <c r="G983" s="25">
        <v>1.5643784913E8</v>
      </c>
      <c r="H983" s="25">
        <v>114749.76</v>
      </c>
      <c r="I983" s="26" t="s">
        <v>6591</v>
      </c>
      <c r="J983" s="26" t="s">
        <v>6152</v>
      </c>
      <c r="K983" s="26" t="str">
        <f t="shared" si="1"/>
        <v>Statin/ARB/CCB</v>
      </c>
      <c r="L983" s="26" t="str">
        <f t="shared" si="2"/>
        <v>Rosuvastatin/Valsartan/Amlodipine</v>
      </c>
      <c r="M983" s="26"/>
    </row>
    <row r="984" ht="17.25" customHeight="1">
      <c r="B984" s="25" t="s">
        <v>604</v>
      </c>
      <c r="C984" s="25" t="s">
        <v>5913</v>
      </c>
      <c r="D984" s="25" t="s">
        <v>761</v>
      </c>
      <c r="E984" s="25" t="s">
        <v>6616</v>
      </c>
      <c r="F984" s="25" t="s">
        <v>761</v>
      </c>
      <c r="G984" s="25">
        <v>2.0144492601E8</v>
      </c>
      <c r="H984" s="25">
        <v>163133.57</v>
      </c>
      <c r="I984" s="26" t="s">
        <v>6591</v>
      </c>
      <c r="J984" s="26" t="s">
        <v>6152</v>
      </c>
      <c r="K984" s="26" t="str">
        <f t="shared" si="1"/>
        <v>Statin/ARB/CCB</v>
      </c>
      <c r="L984" s="26" t="str">
        <f t="shared" si="2"/>
        <v>Rosuvastatin/Valsartan/Amlodipine</v>
      </c>
      <c r="M984" s="26"/>
    </row>
    <row r="985" ht="17.25" customHeight="1">
      <c r="B985" s="25" t="s">
        <v>604</v>
      </c>
      <c r="C985" s="25" t="s">
        <v>5913</v>
      </c>
      <c r="D985" s="25" t="s">
        <v>816</v>
      </c>
      <c r="E985" s="25" t="s">
        <v>6617</v>
      </c>
      <c r="F985" s="25" t="s">
        <v>816</v>
      </c>
      <c r="G985" s="25">
        <v>1.8175142E7</v>
      </c>
      <c r="H985" s="25">
        <v>14820.35</v>
      </c>
      <c r="I985" s="26" t="s">
        <v>6591</v>
      </c>
      <c r="J985" s="26" t="s">
        <v>6152</v>
      </c>
      <c r="K985" s="26" t="str">
        <f t="shared" si="1"/>
        <v>Statin/ARB/CCB</v>
      </c>
      <c r="L985" s="26" t="str">
        <f t="shared" si="2"/>
        <v>Rosuvastatin/Valsartan/Amlodipine</v>
      </c>
      <c r="M985" s="26"/>
    </row>
    <row r="986" ht="17.25" customHeight="1">
      <c r="B986" s="25" t="s">
        <v>604</v>
      </c>
      <c r="C986" s="25" t="s">
        <v>5913</v>
      </c>
      <c r="D986" s="25" t="s">
        <v>1139</v>
      </c>
      <c r="E986" s="25" t="s">
        <v>6618</v>
      </c>
      <c r="F986" s="25" t="s">
        <v>1139</v>
      </c>
      <c r="G986" s="25">
        <v>2.0759937317E8</v>
      </c>
      <c r="H986" s="25">
        <v>181585.64</v>
      </c>
      <c r="I986" s="26" t="s">
        <v>6591</v>
      </c>
      <c r="J986" s="26" t="s">
        <v>6152</v>
      </c>
      <c r="K986" s="26" t="str">
        <f t="shared" si="1"/>
        <v>Statin/ARB/CCB</v>
      </c>
      <c r="L986" s="26" t="str">
        <f t="shared" si="2"/>
        <v>Rosuvastatin/Valsartan/Amlodipine</v>
      </c>
      <c r="M986" s="26"/>
    </row>
    <row r="987" ht="17.25" customHeight="1">
      <c r="B987" s="25" t="s">
        <v>604</v>
      </c>
      <c r="C987" s="25" t="s">
        <v>5916</v>
      </c>
      <c r="D987" s="25" t="s">
        <v>739</v>
      </c>
      <c r="E987" s="25" t="s">
        <v>6619</v>
      </c>
      <c r="F987" s="25" t="s">
        <v>739</v>
      </c>
      <c r="G987" s="25">
        <v>1.664019917E7</v>
      </c>
      <c r="H987" s="25">
        <v>26709.79</v>
      </c>
      <c r="I987" s="26" t="s">
        <v>6591</v>
      </c>
      <c r="J987" s="26" t="s">
        <v>6152</v>
      </c>
      <c r="K987" s="26" t="str">
        <f t="shared" si="1"/>
        <v>Statin/CCB</v>
      </c>
      <c r="L987" s="26" t="str">
        <f t="shared" si="2"/>
        <v>Atorvastatin/Amlodipine </v>
      </c>
      <c r="M987" s="26"/>
    </row>
    <row r="988" ht="17.25" customHeight="1">
      <c r="B988" s="25" t="s">
        <v>604</v>
      </c>
      <c r="C988" s="25" t="s">
        <v>5916</v>
      </c>
      <c r="D988" s="25" t="s">
        <v>695</v>
      </c>
      <c r="E988" s="25" t="s">
        <v>6620</v>
      </c>
      <c r="F988" s="25" t="s">
        <v>695</v>
      </c>
      <c r="G988" s="25">
        <v>7.508489898E7</v>
      </c>
      <c r="H988" s="25">
        <v>102435.06</v>
      </c>
      <c r="I988" s="26" t="s">
        <v>6591</v>
      </c>
      <c r="J988" s="26" t="s">
        <v>6152</v>
      </c>
      <c r="K988" s="26" t="str">
        <f t="shared" si="1"/>
        <v>Statin/CCB</v>
      </c>
      <c r="L988" s="26" t="str">
        <f t="shared" si="2"/>
        <v>Atorvastatin/Amlodipine </v>
      </c>
      <c r="M988" s="26"/>
    </row>
    <row r="989" ht="17.25" customHeight="1">
      <c r="B989" s="25" t="s">
        <v>604</v>
      </c>
      <c r="C989" s="25" t="s">
        <v>5916</v>
      </c>
      <c r="D989" s="25" t="s">
        <v>761</v>
      </c>
      <c r="E989" s="25" t="s">
        <v>6621</v>
      </c>
      <c r="F989" s="25" t="s">
        <v>761</v>
      </c>
      <c r="G989" s="25">
        <v>3.032947162E7</v>
      </c>
      <c r="H989" s="25">
        <v>48682.94</v>
      </c>
      <c r="I989" s="26" t="s">
        <v>6591</v>
      </c>
      <c r="J989" s="26" t="s">
        <v>6152</v>
      </c>
      <c r="K989" s="26" t="str">
        <f t="shared" si="1"/>
        <v>Statin/CCB</v>
      </c>
      <c r="L989" s="26" t="str">
        <f t="shared" si="2"/>
        <v>Atorvastatin/Amlodipine </v>
      </c>
      <c r="M989" s="26"/>
    </row>
    <row r="990" ht="17.25" customHeight="1">
      <c r="B990" s="25" t="s">
        <v>604</v>
      </c>
      <c r="C990" s="25" t="s">
        <v>5916</v>
      </c>
      <c r="D990" s="25" t="s">
        <v>768</v>
      </c>
      <c r="E990" s="25" t="s">
        <v>6622</v>
      </c>
      <c r="F990" s="25" t="s">
        <v>768</v>
      </c>
      <c r="G990" s="25">
        <v>1.960116865E7</v>
      </c>
      <c r="H990" s="25">
        <v>31462.55</v>
      </c>
      <c r="I990" s="26" t="s">
        <v>6591</v>
      </c>
      <c r="J990" s="26" t="s">
        <v>6152</v>
      </c>
      <c r="K990" s="26" t="str">
        <f t="shared" si="1"/>
        <v>Statin/CCB</v>
      </c>
      <c r="L990" s="26" t="str">
        <f t="shared" si="2"/>
        <v>Atorvastatin/Amlodipine </v>
      </c>
      <c r="M990" s="26"/>
    </row>
    <row r="991" ht="17.25" customHeight="1">
      <c r="B991" s="25" t="s">
        <v>604</v>
      </c>
      <c r="C991" s="25" t="s">
        <v>5916</v>
      </c>
      <c r="D991" s="25" t="s">
        <v>774</v>
      </c>
      <c r="E991" s="25" t="s">
        <v>6623</v>
      </c>
      <c r="F991" s="25" t="s">
        <v>774</v>
      </c>
      <c r="G991" s="25">
        <v>2475988.9</v>
      </c>
      <c r="H991" s="25">
        <v>3974.3</v>
      </c>
      <c r="I991" s="26" t="s">
        <v>6591</v>
      </c>
      <c r="J991" s="26" t="s">
        <v>6152</v>
      </c>
      <c r="K991" s="26" t="str">
        <f t="shared" si="1"/>
        <v>Statin/CCB</v>
      </c>
      <c r="L991" s="26" t="str">
        <f t="shared" si="2"/>
        <v>Atorvastatin/Amlodipine </v>
      </c>
      <c r="M991" s="26"/>
    </row>
    <row r="992" ht="17.25" customHeight="1">
      <c r="B992" s="25" t="s">
        <v>604</v>
      </c>
      <c r="C992" s="25" t="s">
        <v>5916</v>
      </c>
      <c r="D992" s="25" t="s">
        <v>1098</v>
      </c>
      <c r="E992" s="25" t="s">
        <v>6624</v>
      </c>
      <c r="F992" s="25" t="s">
        <v>1098</v>
      </c>
      <c r="G992" s="25">
        <v>8246736.56</v>
      </c>
      <c r="H992" s="25">
        <v>12676.42</v>
      </c>
      <c r="I992" s="26" t="s">
        <v>6591</v>
      </c>
      <c r="J992" s="26" t="s">
        <v>6152</v>
      </c>
      <c r="K992" s="26" t="str">
        <f t="shared" si="1"/>
        <v>Statin/CCB</v>
      </c>
      <c r="L992" s="26" t="str">
        <f t="shared" si="2"/>
        <v>Atorvastatin/Amlodipine </v>
      </c>
      <c r="M992" s="26"/>
    </row>
    <row r="993" ht="17.25" customHeight="1">
      <c r="B993" s="25" t="s">
        <v>604</v>
      </c>
      <c r="C993" s="25" t="s">
        <v>5916</v>
      </c>
      <c r="D993" s="25" t="s">
        <v>1554</v>
      </c>
      <c r="E993" s="25" t="s">
        <v>6625</v>
      </c>
      <c r="F993" s="25" t="s">
        <v>1554</v>
      </c>
      <c r="G993" s="25">
        <v>3.065816842E7</v>
      </c>
      <c r="H993" s="25">
        <v>43196.14</v>
      </c>
      <c r="I993" s="26" t="s">
        <v>6591</v>
      </c>
      <c r="J993" s="26" t="s">
        <v>6152</v>
      </c>
      <c r="K993" s="26" t="str">
        <f t="shared" si="1"/>
        <v>Statin/CCB</v>
      </c>
      <c r="L993" s="26" t="str">
        <f t="shared" si="2"/>
        <v>Atorvastatin/Amlodipine </v>
      </c>
      <c r="M993" s="26"/>
    </row>
    <row r="994" ht="17.25" customHeight="1">
      <c r="B994" s="25" t="s">
        <v>604</v>
      </c>
      <c r="C994" s="25" t="s">
        <v>5916</v>
      </c>
      <c r="D994" s="25" t="s">
        <v>792</v>
      </c>
      <c r="E994" s="25" t="s">
        <v>6626</v>
      </c>
      <c r="F994" s="25" t="s">
        <v>792</v>
      </c>
      <c r="G994" s="25">
        <v>1559269.32</v>
      </c>
      <c r="H994" s="25">
        <v>2502.84</v>
      </c>
      <c r="I994" s="26" t="s">
        <v>6591</v>
      </c>
      <c r="J994" s="26" t="s">
        <v>6152</v>
      </c>
      <c r="K994" s="26" t="str">
        <f t="shared" si="1"/>
        <v>Statin/CCB</v>
      </c>
      <c r="L994" s="26" t="str">
        <f t="shared" si="2"/>
        <v>Atorvastatin/Amlodipine </v>
      </c>
      <c r="M994" s="26"/>
    </row>
    <row r="995" ht="17.25" customHeight="1">
      <c r="B995" s="25" t="s">
        <v>604</v>
      </c>
      <c r="C995" s="25" t="s">
        <v>5916</v>
      </c>
      <c r="D995" s="25" t="s">
        <v>1637</v>
      </c>
      <c r="E995" s="25" t="s">
        <v>6627</v>
      </c>
      <c r="F995" s="25" t="s">
        <v>1637</v>
      </c>
      <c r="G995" s="25">
        <v>1.04278779E7</v>
      </c>
      <c r="H995" s="25">
        <v>14226.3</v>
      </c>
      <c r="I995" s="26" t="s">
        <v>6591</v>
      </c>
      <c r="J995" s="26" t="s">
        <v>6152</v>
      </c>
      <c r="K995" s="26" t="str">
        <f t="shared" si="1"/>
        <v>Statin/CCB</v>
      </c>
      <c r="L995" s="26" t="str">
        <f t="shared" si="2"/>
        <v>Atorvastatin/Amlodipine </v>
      </c>
      <c r="M995" s="26"/>
    </row>
    <row r="996" ht="17.25" customHeight="1">
      <c r="B996" s="25" t="s">
        <v>604</v>
      </c>
      <c r="C996" s="25" t="s">
        <v>5916</v>
      </c>
      <c r="D996" s="25" t="s">
        <v>1639</v>
      </c>
      <c r="E996" s="25" t="s">
        <v>6628</v>
      </c>
      <c r="F996" s="25" t="s">
        <v>1639</v>
      </c>
      <c r="G996" s="25">
        <v>1.40028953656E9</v>
      </c>
      <c r="H996" s="25">
        <v>1767322.1</v>
      </c>
      <c r="I996" s="26" t="s">
        <v>6591</v>
      </c>
      <c r="J996" s="26" t="s">
        <v>6152</v>
      </c>
      <c r="K996" s="26" t="str">
        <f t="shared" si="1"/>
        <v>Statin/CCB</v>
      </c>
      <c r="L996" s="26" t="str">
        <f t="shared" si="2"/>
        <v>Atorvastatin/Amlodipine </v>
      </c>
      <c r="M996" s="26"/>
    </row>
    <row r="997" ht="17.25" customHeight="1">
      <c r="B997" s="25" t="s">
        <v>604</v>
      </c>
      <c r="C997" s="25" t="s">
        <v>5916</v>
      </c>
      <c r="D997" s="25" t="s">
        <v>800</v>
      </c>
      <c r="E997" s="25" t="s">
        <v>6629</v>
      </c>
      <c r="F997" s="25" t="s">
        <v>800</v>
      </c>
      <c r="G997" s="25">
        <v>4.352624388E7</v>
      </c>
      <c r="H997" s="25">
        <v>69865.56</v>
      </c>
      <c r="I997" s="26" t="s">
        <v>6591</v>
      </c>
      <c r="J997" s="26" t="s">
        <v>6152</v>
      </c>
      <c r="K997" s="26" t="str">
        <f t="shared" si="1"/>
        <v>Statin/CCB</v>
      </c>
      <c r="L997" s="26" t="str">
        <f t="shared" si="2"/>
        <v>Atorvastatin/Amlodipine </v>
      </c>
      <c r="M997" s="26"/>
    </row>
    <row r="998" ht="17.25" customHeight="1">
      <c r="B998" s="25" t="s">
        <v>604</v>
      </c>
      <c r="C998" s="25" t="s">
        <v>5916</v>
      </c>
      <c r="D998" s="25" t="s">
        <v>953</v>
      </c>
      <c r="E998" s="25" t="s">
        <v>6630</v>
      </c>
      <c r="F998" s="25" t="s">
        <v>953</v>
      </c>
      <c r="G998" s="25">
        <v>1.535561678E7</v>
      </c>
      <c r="H998" s="25">
        <v>24647.86</v>
      </c>
      <c r="I998" s="26" t="s">
        <v>6591</v>
      </c>
      <c r="J998" s="26" t="s">
        <v>6152</v>
      </c>
      <c r="K998" s="26" t="str">
        <f t="shared" si="1"/>
        <v>Statin/CCB</v>
      </c>
      <c r="L998" s="26" t="str">
        <f t="shared" si="2"/>
        <v>Atorvastatin/Amlodipine </v>
      </c>
      <c r="M998" s="26"/>
    </row>
    <row r="999" ht="17.25" customHeight="1">
      <c r="B999" s="25" t="s">
        <v>604</v>
      </c>
      <c r="C999" s="25" t="s">
        <v>5916</v>
      </c>
      <c r="D999" s="25" t="s">
        <v>804</v>
      </c>
      <c r="E999" s="25" t="s">
        <v>6631</v>
      </c>
      <c r="F999" s="25" t="s">
        <v>804</v>
      </c>
      <c r="G999" s="25">
        <v>1.021012895E7</v>
      </c>
      <c r="H999" s="25">
        <v>16388.65</v>
      </c>
      <c r="I999" s="26" t="s">
        <v>6591</v>
      </c>
      <c r="J999" s="26" t="s">
        <v>6152</v>
      </c>
      <c r="K999" s="26" t="str">
        <f t="shared" si="1"/>
        <v>Statin/CCB</v>
      </c>
      <c r="L999" s="26" t="str">
        <f t="shared" si="2"/>
        <v>Atorvastatin/Amlodipine </v>
      </c>
      <c r="M999" s="26"/>
    </row>
    <row r="1000" ht="17.25" customHeight="1">
      <c r="B1000" s="25" t="s">
        <v>604</v>
      </c>
      <c r="C1000" s="25" t="s">
        <v>5916</v>
      </c>
      <c r="D1000" s="25" t="s">
        <v>810</v>
      </c>
      <c r="E1000" s="25" t="s">
        <v>6632</v>
      </c>
      <c r="F1000" s="25" t="s">
        <v>810</v>
      </c>
      <c r="G1000" s="25">
        <v>1.1156853444E8</v>
      </c>
      <c r="H1000" s="25">
        <v>180426.76</v>
      </c>
      <c r="I1000" s="26" t="s">
        <v>6591</v>
      </c>
      <c r="J1000" s="26" t="s">
        <v>6152</v>
      </c>
      <c r="K1000" s="26" t="str">
        <f t="shared" si="1"/>
        <v>Statin/CCB</v>
      </c>
      <c r="L1000" s="26" t="str">
        <f t="shared" si="2"/>
        <v>Atorvastatin/Amlodipine </v>
      </c>
      <c r="M1000" s="26"/>
    </row>
    <row r="1001" ht="17.25" customHeight="1">
      <c r="B1001" s="25" t="s">
        <v>604</v>
      </c>
      <c r="C1001" s="25" t="s">
        <v>5916</v>
      </c>
      <c r="D1001" s="25" t="s">
        <v>826</v>
      </c>
      <c r="E1001" s="25" t="s">
        <v>6633</v>
      </c>
      <c r="F1001" s="25" t="s">
        <v>826</v>
      </c>
      <c r="G1001" s="25">
        <v>4.440821736E7</v>
      </c>
      <c r="H1001" s="25">
        <v>67048.3</v>
      </c>
      <c r="I1001" s="26" t="s">
        <v>6591</v>
      </c>
      <c r="J1001" s="26" t="s">
        <v>6152</v>
      </c>
      <c r="K1001" s="26" t="str">
        <f t="shared" si="1"/>
        <v>Statin/CCB</v>
      </c>
      <c r="L1001" s="26" t="str">
        <f t="shared" si="2"/>
        <v>Atorvastatin/Amlodipine </v>
      </c>
      <c r="M1001" s="26"/>
    </row>
    <row r="1002" ht="17.25" customHeight="1">
      <c r="B1002" s="25" t="s">
        <v>604</v>
      </c>
      <c r="C1002" s="25" t="s">
        <v>5916</v>
      </c>
      <c r="D1002" s="25" t="s">
        <v>710</v>
      </c>
      <c r="E1002" s="25" t="s">
        <v>6634</v>
      </c>
      <c r="F1002" s="25" t="s">
        <v>710</v>
      </c>
      <c r="G1002" s="25">
        <v>4355436.61</v>
      </c>
      <c r="H1002" s="25">
        <v>6991.07</v>
      </c>
      <c r="I1002" s="26" t="s">
        <v>6591</v>
      </c>
      <c r="J1002" s="26" t="s">
        <v>6152</v>
      </c>
      <c r="K1002" s="26" t="str">
        <f t="shared" si="1"/>
        <v>Statin/CCB</v>
      </c>
      <c r="L1002" s="26" t="str">
        <f t="shared" si="2"/>
        <v>Atorvastatin/Amlodipine </v>
      </c>
      <c r="M1002" s="26"/>
    </row>
    <row r="1003" ht="17.25" customHeight="1">
      <c r="B1003" s="25" t="s">
        <v>604</v>
      </c>
      <c r="C1003" s="25" t="s">
        <v>5916</v>
      </c>
      <c r="D1003" s="25" t="s">
        <v>856</v>
      </c>
      <c r="E1003" s="25" t="s">
        <v>6635</v>
      </c>
      <c r="F1003" s="25" t="s">
        <v>856</v>
      </c>
      <c r="G1003" s="25">
        <v>4323806.9</v>
      </c>
      <c r="H1003" s="25">
        <v>6940.3</v>
      </c>
      <c r="I1003" s="26" t="s">
        <v>6591</v>
      </c>
      <c r="J1003" s="26" t="s">
        <v>6152</v>
      </c>
      <c r="K1003" s="26" t="str">
        <f t="shared" si="1"/>
        <v>Statin/CCB</v>
      </c>
      <c r="L1003" s="26" t="str">
        <f t="shared" si="2"/>
        <v>Atorvastatin/Amlodipine </v>
      </c>
      <c r="M1003" s="26"/>
    </row>
    <row r="1004" ht="17.25" customHeight="1">
      <c r="B1004" s="25" t="s">
        <v>604</v>
      </c>
      <c r="C1004" s="25" t="s">
        <v>5916</v>
      </c>
      <c r="D1004" s="25" t="s">
        <v>862</v>
      </c>
      <c r="E1004" s="25" t="s">
        <v>6636</v>
      </c>
      <c r="F1004" s="25" t="s">
        <v>862</v>
      </c>
      <c r="G1004" s="25">
        <v>8.628379372E7</v>
      </c>
      <c r="H1004" s="25">
        <v>109135.16</v>
      </c>
      <c r="I1004" s="26" t="s">
        <v>6591</v>
      </c>
      <c r="J1004" s="26" t="s">
        <v>6152</v>
      </c>
      <c r="K1004" s="26" t="str">
        <f t="shared" si="1"/>
        <v>Statin/CCB</v>
      </c>
      <c r="L1004" s="26" t="str">
        <f t="shared" si="2"/>
        <v>Atorvastatin/Amlodipine </v>
      </c>
      <c r="M1004" s="26"/>
    </row>
    <row r="1005" ht="17.25" customHeight="1">
      <c r="B1005" s="25" t="s">
        <v>604</v>
      </c>
      <c r="C1005" s="25" t="s">
        <v>5916</v>
      </c>
      <c r="D1005" s="25" t="s">
        <v>730</v>
      </c>
      <c r="E1005" s="25" t="s">
        <v>6637</v>
      </c>
      <c r="F1005" s="25" t="s">
        <v>730</v>
      </c>
      <c r="G1005" s="25">
        <v>1.668908888E7</v>
      </c>
      <c r="H1005" s="25">
        <v>22037.36</v>
      </c>
      <c r="I1005" s="26" t="s">
        <v>6591</v>
      </c>
      <c r="J1005" s="26" t="s">
        <v>6152</v>
      </c>
      <c r="K1005" s="26" t="str">
        <f t="shared" si="1"/>
        <v>Statin/CCB</v>
      </c>
      <c r="L1005" s="26" t="str">
        <f t="shared" si="2"/>
        <v>Atorvastatin/Amlodipine </v>
      </c>
      <c r="M1005" s="26"/>
    </row>
    <row r="1006" ht="17.25" customHeight="1">
      <c r="B1006" s="25" t="s">
        <v>604</v>
      </c>
      <c r="C1006" s="25" t="s">
        <v>5916</v>
      </c>
      <c r="D1006" s="25" t="s">
        <v>868</v>
      </c>
      <c r="E1006" s="25" t="s">
        <v>6638</v>
      </c>
      <c r="F1006" s="25" t="s">
        <v>868</v>
      </c>
      <c r="G1006" s="25">
        <v>5572610.4</v>
      </c>
      <c r="H1006" s="25">
        <v>8944.8</v>
      </c>
      <c r="I1006" s="26" t="s">
        <v>6591</v>
      </c>
      <c r="J1006" s="26" t="s">
        <v>6152</v>
      </c>
      <c r="K1006" s="26" t="str">
        <f t="shared" si="1"/>
        <v>Statin/CCB</v>
      </c>
      <c r="L1006" s="26" t="str">
        <f t="shared" si="2"/>
        <v>Atorvastatin/Amlodipine </v>
      </c>
      <c r="M1006" s="26"/>
    </row>
    <row r="1007" ht="17.25" customHeight="1">
      <c r="B1007" s="25" t="s">
        <v>604</v>
      </c>
      <c r="C1007" s="25" t="s">
        <v>5916</v>
      </c>
      <c r="D1007" s="25" t="s">
        <v>870</v>
      </c>
      <c r="E1007" s="25" t="s">
        <v>6639</v>
      </c>
      <c r="F1007" s="25" t="s">
        <v>870</v>
      </c>
      <c r="G1007" s="25">
        <v>5324718.7</v>
      </c>
      <c r="H1007" s="25">
        <v>8546.9</v>
      </c>
      <c r="I1007" s="26" t="s">
        <v>6591</v>
      </c>
      <c r="J1007" s="26" t="s">
        <v>6152</v>
      </c>
      <c r="K1007" s="26" t="str">
        <f t="shared" si="1"/>
        <v>Statin/CCB</v>
      </c>
      <c r="L1007" s="26" t="str">
        <f t="shared" si="2"/>
        <v>Atorvastatin/Amlodipine </v>
      </c>
      <c r="M1007" s="26"/>
    </row>
    <row r="1008" ht="17.25" customHeight="1">
      <c r="B1008" s="25" t="s">
        <v>604</v>
      </c>
      <c r="C1008" s="25" t="s">
        <v>5916</v>
      </c>
      <c r="D1008" s="25" t="s">
        <v>874</v>
      </c>
      <c r="E1008" s="25" t="s">
        <v>6640</v>
      </c>
      <c r="F1008" s="25" t="s">
        <v>874</v>
      </c>
      <c r="G1008" s="25">
        <v>9367461.46</v>
      </c>
      <c r="H1008" s="25">
        <v>12779.62</v>
      </c>
      <c r="I1008" s="26" t="s">
        <v>6591</v>
      </c>
      <c r="J1008" s="26" t="s">
        <v>6152</v>
      </c>
      <c r="K1008" s="26" t="str">
        <f t="shared" si="1"/>
        <v>Statin/CCB</v>
      </c>
      <c r="L1008" s="26" t="str">
        <f t="shared" si="2"/>
        <v>Atorvastatin/Amlodipine </v>
      </c>
      <c r="M1008" s="26"/>
    </row>
    <row r="1009" ht="17.25" customHeight="1">
      <c r="B1009" s="25" t="s">
        <v>604</v>
      </c>
      <c r="C1009" s="25" t="s">
        <v>5916</v>
      </c>
      <c r="D1009" s="25" t="s">
        <v>880</v>
      </c>
      <c r="E1009" s="25" t="s">
        <v>6641</v>
      </c>
      <c r="F1009" s="25" t="s">
        <v>880</v>
      </c>
      <c r="G1009" s="25">
        <v>5.748030604E7</v>
      </c>
      <c r="H1009" s="25">
        <v>78417.88</v>
      </c>
      <c r="I1009" s="26" t="s">
        <v>6591</v>
      </c>
      <c r="J1009" s="26" t="s">
        <v>6152</v>
      </c>
      <c r="K1009" s="26" t="str">
        <f t="shared" si="1"/>
        <v>Statin/CCB</v>
      </c>
      <c r="L1009" s="26" t="str">
        <f t="shared" si="2"/>
        <v>Atorvastatin/Amlodipine </v>
      </c>
      <c r="M1009" s="26"/>
    </row>
    <row r="1010" ht="17.25" customHeight="1">
      <c r="B1010" s="25" t="s">
        <v>604</v>
      </c>
      <c r="C1010" s="25" t="s">
        <v>5916</v>
      </c>
      <c r="D1010" s="25" t="s">
        <v>898</v>
      </c>
      <c r="E1010" s="25" t="s">
        <v>6642</v>
      </c>
      <c r="F1010" s="25" t="s">
        <v>898</v>
      </c>
      <c r="G1010" s="25">
        <v>2106120.03</v>
      </c>
      <c r="H1010" s="25">
        <v>3380.61</v>
      </c>
      <c r="I1010" s="26" t="s">
        <v>6591</v>
      </c>
      <c r="J1010" s="26" t="s">
        <v>6152</v>
      </c>
      <c r="K1010" s="26" t="str">
        <f t="shared" si="1"/>
        <v>Statin/CCB</v>
      </c>
      <c r="L1010" s="26" t="str">
        <f t="shared" si="2"/>
        <v>Atorvastatin/Amlodipine </v>
      </c>
      <c r="M1010" s="26"/>
    </row>
    <row r="1011" ht="17.25" customHeight="1">
      <c r="B1011" s="25" t="s">
        <v>604</v>
      </c>
      <c r="C1011" s="25" t="s">
        <v>5916</v>
      </c>
      <c r="D1011" s="25" t="s">
        <v>908</v>
      </c>
      <c r="E1011" s="25" t="s">
        <v>6643</v>
      </c>
      <c r="F1011" s="25" t="s">
        <v>908</v>
      </c>
      <c r="G1011" s="25">
        <v>6066848.76</v>
      </c>
      <c r="H1011" s="25">
        <v>9738.12</v>
      </c>
      <c r="I1011" s="26" t="s">
        <v>6591</v>
      </c>
      <c r="J1011" s="26" t="s">
        <v>6152</v>
      </c>
      <c r="K1011" s="26" t="str">
        <f t="shared" si="1"/>
        <v>Statin/CCB</v>
      </c>
      <c r="L1011" s="26" t="str">
        <f t="shared" si="2"/>
        <v>Atorvastatin/Amlodipine </v>
      </c>
      <c r="M1011" s="26"/>
    </row>
    <row r="1012" ht="17.25" customHeight="1">
      <c r="B1012" s="25" t="s">
        <v>604</v>
      </c>
      <c r="C1012" s="25" t="s">
        <v>5916</v>
      </c>
      <c r="D1012" s="25" t="s">
        <v>717</v>
      </c>
      <c r="E1012" s="25" t="s">
        <v>6644</v>
      </c>
      <c r="F1012" s="25" t="s">
        <v>717</v>
      </c>
      <c r="G1012" s="25">
        <v>1.664623942E7</v>
      </c>
      <c r="H1012" s="25">
        <v>22709.74</v>
      </c>
      <c r="I1012" s="26" t="s">
        <v>6591</v>
      </c>
      <c r="J1012" s="26" t="s">
        <v>6152</v>
      </c>
      <c r="K1012" s="26" t="str">
        <f t="shared" si="1"/>
        <v>Statin/CCB</v>
      </c>
      <c r="L1012" s="26" t="str">
        <f t="shared" si="2"/>
        <v>Atorvastatin/Amlodipine </v>
      </c>
      <c r="M1012" s="26"/>
    </row>
    <row r="1013" ht="17.25" customHeight="1">
      <c r="B1013" s="25" t="s">
        <v>604</v>
      </c>
      <c r="C1013" s="25" t="s">
        <v>5916</v>
      </c>
      <c r="D1013" s="25" t="s">
        <v>736</v>
      </c>
      <c r="E1013" s="25" t="s">
        <v>6645</v>
      </c>
      <c r="F1013" s="25" t="s">
        <v>736</v>
      </c>
      <c r="G1013" s="25">
        <v>1.544233215E7</v>
      </c>
      <c r="H1013" s="25">
        <v>24787.05</v>
      </c>
      <c r="I1013" s="26" t="s">
        <v>6591</v>
      </c>
      <c r="J1013" s="26" t="s">
        <v>6152</v>
      </c>
      <c r="K1013" s="26" t="str">
        <f t="shared" si="1"/>
        <v>Statin/CCB</v>
      </c>
      <c r="L1013" s="26" t="str">
        <f t="shared" si="2"/>
        <v>Atorvastatin/Amlodipine </v>
      </c>
      <c r="M1013" s="26"/>
    </row>
    <row r="1014" ht="17.25" customHeight="1">
      <c r="B1014" s="25" t="s">
        <v>604</v>
      </c>
      <c r="C1014" s="25" t="s">
        <v>5919</v>
      </c>
      <c r="D1014" s="25" t="s">
        <v>917</v>
      </c>
      <c r="E1014" s="25" t="s">
        <v>6646</v>
      </c>
      <c r="F1014" s="25" t="s">
        <v>917</v>
      </c>
      <c r="G1014" s="25">
        <v>9.2129993557E8</v>
      </c>
      <c r="H1014" s="25">
        <v>802142.97</v>
      </c>
      <c r="I1014" s="26" t="s">
        <v>6591</v>
      </c>
      <c r="J1014" s="26" t="s">
        <v>6152</v>
      </c>
      <c r="K1014" s="26" t="str">
        <f t="shared" si="1"/>
        <v>Statin/ARB/CCB</v>
      </c>
      <c r="L1014" s="26" t="str">
        <f t="shared" si="2"/>
        <v>Rosuvastatin/Losartan/Amlodipine </v>
      </c>
      <c r="M1014" s="26"/>
    </row>
    <row r="1015" ht="17.25" customHeight="1">
      <c r="B1015" s="25" t="s">
        <v>604</v>
      </c>
      <c r="C1015" s="25" t="s">
        <v>5922</v>
      </c>
      <c r="D1015" s="25" t="s">
        <v>917</v>
      </c>
      <c r="E1015" s="25" t="s">
        <v>6647</v>
      </c>
      <c r="F1015" s="25" t="s">
        <v>917</v>
      </c>
      <c r="G1015" s="25">
        <v>8.6315093581E8</v>
      </c>
      <c r="H1015" s="25">
        <v>784468.87</v>
      </c>
      <c r="I1015" s="26" t="s">
        <v>6591</v>
      </c>
      <c r="J1015" s="26" t="s">
        <v>6152</v>
      </c>
      <c r="K1015" s="26" t="str">
        <f t="shared" si="1"/>
        <v>Statin/ARB</v>
      </c>
      <c r="L1015" s="26" t="str">
        <f t="shared" si="2"/>
        <v>Atorvastatin/Irbesartan</v>
      </c>
      <c r="M1015" s="26"/>
    </row>
    <row r="1016" ht="17.25" customHeight="1">
      <c r="B1016" s="25" t="s">
        <v>604</v>
      </c>
      <c r="C1016" s="25" t="s">
        <v>5928</v>
      </c>
      <c r="D1016" s="25" t="s">
        <v>788</v>
      </c>
      <c r="E1016" s="25" t="s">
        <v>6648</v>
      </c>
      <c r="F1016" s="25" t="s">
        <v>788</v>
      </c>
      <c r="G1016" s="25">
        <v>5.6178780907E8</v>
      </c>
      <c r="H1016" s="25">
        <v>594395.3</v>
      </c>
      <c r="I1016" s="26" t="s">
        <v>6591</v>
      </c>
      <c r="J1016" s="26" t="s">
        <v>6152</v>
      </c>
      <c r="K1016" s="26" t="str">
        <f t="shared" si="1"/>
        <v>Statin/ARB</v>
      </c>
      <c r="L1016" s="26" t="str">
        <f t="shared" si="2"/>
        <v>Atorvastatin/Fimasartan </v>
      </c>
      <c r="M1016" s="26"/>
    </row>
    <row r="1017" ht="17.25" customHeight="1">
      <c r="B1017" s="25" t="s">
        <v>604</v>
      </c>
      <c r="C1017" s="25" t="s">
        <v>5931</v>
      </c>
      <c r="D1017" s="25" t="s">
        <v>739</v>
      </c>
      <c r="E1017" s="25" t="s">
        <v>6649</v>
      </c>
      <c r="F1017" s="25" t="s">
        <v>739</v>
      </c>
      <c r="G1017" s="25">
        <v>3.318066939E7</v>
      </c>
      <c r="H1017" s="25">
        <v>37059.54</v>
      </c>
      <c r="I1017" s="26" t="s">
        <v>6591</v>
      </c>
      <c r="J1017" s="26" t="s">
        <v>6152</v>
      </c>
      <c r="K1017" s="26" t="str">
        <f t="shared" si="1"/>
        <v>Statin/ARB</v>
      </c>
      <c r="L1017" s="26" t="str">
        <f t="shared" si="2"/>
        <v>Rosuvastatin/Candesartan </v>
      </c>
      <c r="M1017" s="26"/>
    </row>
    <row r="1018" ht="17.25" customHeight="1">
      <c r="B1018" s="25" t="s">
        <v>604</v>
      </c>
      <c r="C1018" s="25" t="s">
        <v>5931</v>
      </c>
      <c r="D1018" s="25" t="s">
        <v>699</v>
      </c>
      <c r="E1018" s="25" t="s">
        <v>6650</v>
      </c>
      <c r="F1018" s="25" t="s">
        <v>699</v>
      </c>
      <c r="G1018" s="25">
        <v>3.8556387537E8</v>
      </c>
      <c r="H1018" s="25">
        <v>420003.4</v>
      </c>
      <c r="I1018" s="26" t="s">
        <v>6591</v>
      </c>
      <c r="J1018" s="26" t="s">
        <v>6152</v>
      </c>
      <c r="K1018" s="26" t="str">
        <f t="shared" si="1"/>
        <v>Statin/ARB</v>
      </c>
      <c r="L1018" s="26" t="str">
        <f t="shared" si="2"/>
        <v>Rosuvastatin/Candesartan </v>
      </c>
      <c r="M1018" s="26"/>
    </row>
    <row r="1019" ht="17.25" customHeight="1">
      <c r="B1019" s="25" t="s">
        <v>604</v>
      </c>
      <c r="C1019" s="25" t="s">
        <v>5931</v>
      </c>
      <c r="D1019" s="25" t="s">
        <v>761</v>
      </c>
      <c r="E1019" s="25" t="s">
        <v>6651</v>
      </c>
      <c r="F1019" s="25" t="s">
        <v>761</v>
      </c>
      <c r="G1019" s="25">
        <v>5.493226264E7</v>
      </c>
      <c r="H1019" s="25">
        <v>58505.17</v>
      </c>
      <c r="I1019" s="26" t="s">
        <v>6591</v>
      </c>
      <c r="J1019" s="26" t="s">
        <v>6152</v>
      </c>
      <c r="K1019" s="26" t="str">
        <f t="shared" si="1"/>
        <v>Statin/ARB</v>
      </c>
      <c r="L1019" s="26" t="str">
        <f t="shared" si="2"/>
        <v>Rosuvastatin/Candesartan </v>
      </c>
      <c r="M1019" s="26"/>
    </row>
    <row r="1020" ht="17.25" customHeight="1">
      <c r="B1020" s="25" t="s">
        <v>604</v>
      </c>
      <c r="C1020" s="25" t="s">
        <v>5931</v>
      </c>
      <c r="D1020" s="25" t="s">
        <v>836</v>
      </c>
      <c r="E1020" s="25" t="s">
        <v>6652</v>
      </c>
      <c r="F1020" s="25" t="s">
        <v>836</v>
      </c>
      <c r="G1020" s="25">
        <v>5.372647819E7</v>
      </c>
      <c r="H1020" s="25">
        <v>58322.35</v>
      </c>
      <c r="I1020" s="26" t="s">
        <v>6591</v>
      </c>
      <c r="J1020" s="26" t="s">
        <v>6152</v>
      </c>
      <c r="K1020" s="26" t="str">
        <f t="shared" si="1"/>
        <v>Statin/ARB</v>
      </c>
      <c r="L1020" s="26" t="str">
        <f t="shared" si="2"/>
        <v>Rosuvastatin/Candesartan </v>
      </c>
      <c r="M1020" s="26"/>
    </row>
    <row r="1021" ht="17.25" customHeight="1">
      <c r="B1021" s="25" t="s">
        <v>604</v>
      </c>
      <c r="C1021" s="25" t="s">
        <v>5931</v>
      </c>
      <c r="D1021" s="25" t="s">
        <v>931</v>
      </c>
      <c r="E1021" s="25" t="s">
        <v>6653</v>
      </c>
      <c r="F1021" s="25" t="s">
        <v>931</v>
      </c>
      <c r="G1021" s="25">
        <v>1.260090698E8</v>
      </c>
      <c r="H1021" s="25">
        <v>118828.84</v>
      </c>
      <c r="I1021" s="26" t="s">
        <v>6591</v>
      </c>
      <c r="J1021" s="26" t="s">
        <v>6152</v>
      </c>
      <c r="K1021" s="26" t="str">
        <f t="shared" si="1"/>
        <v>Statin/ARB</v>
      </c>
      <c r="L1021" s="26" t="str">
        <f t="shared" si="2"/>
        <v>Rosuvastatin/Candesartan </v>
      </c>
      <c r="M1021" s="26"/>
    </row>
    <row r="1022" ht="17.25" customHeight="1">
      <c r="B1022" s="25" t="s">
        <v>604</v>
      </c>
      <c r="C1022" s="25" t="s">
        <v>5931</v>
      </c>
      <c r="D1022" s="25" t="s">
        <v>736</v>
      </c>
      <c r="E1022" s="25" t="s">
        <v>6654</v>
      </c>
      <c r="F1022" s="25" t="s">
        <v>736</v>
      </c>
      <c r="G1022" s="25">
        <v>1.074952016E7</v>
      </c>
      <c r="H1022" s="25">
        <v>10940.96</v>
      </c>
      <c r="I1022" s="26" t="s">
        <v>6591</v>
      </c>
      <c r="J1022" s="26" t="s">
        <v>6152</v>
      </c>
      <c r="K1022" s="26" t="str">
        <f t="shared" si="1"/>
        <v>Statin/ARB</v>
      </c>
      <c r="L1022" s="26" t="str">
        <f t="shared" si="2"/>
        <v>Rosuvastatin/Candesartan </v>
      </c>
      <c r="M1022" s="26"/>
    </row>
    <row r="1023" ht="17.25" customHeight="1">
      <c r="B1023" s="25" t="s">
        <v>604</v>
      </c>
      <c r="C1023" s="25" t="s">
        <v>5934</v>
      </c>
      <c r="D1023" s="25" t="s">
        <v>880</v>
      </c>
      <c r="E1023" s="25" t="s">
        <v>6655</v>
      </c>
      <c r="F1023" s="25" t="s">
        <v>880</v>
      </c>
      <c r="G1023" s="25">
        <v>2.270556239E8</v>
      </c>
      <c r="H1023" s="25">
        <v>141596.18</v>
      </c>
      <c r="I1023" s="26" t="s">
        <v>6591</v>
      </c>
      <c r="J1023" s="26" t="s">
        <v>6152</v>
      </c>
      <c r="K1023" s="26" t="str">
        <f t="shared" si="1"/>
        <v>Statin/EZ/ARB/CCB</v>
      </c>
      <c r="L1023" s="26" t="str">
        <f t="shared" si="2"/>
        <v>Rosuvastatin/EZ/Telmisartan/S-amlodipine </v>
      </c>
      <c r="M1023" s="26"/>
    </row>
    <row r="1024" ht="17.25" customHeight="1">
      <c r="B1024" s="25" t="s">
        <v>604</v>
      </c>
      <c r="C1024" s="25" t="s">
        <v>5937</v>
      </c>
      <c r="D1024" s="25" t="s">
        <v>699</v>
      </c>
      <c r="E1024" s="25" t="s">
        <v>6656</v>
      </c>
      <c r="F1024" s="25" t="s">
        <v>699</v>
      </c>
      <c r="G1024" s="25">
        <v>3.9229365741E8</v>
      </c>
      <c r="H1024" s="25">
        <v>286153.91</v>
      </c>
      <c r="I1024" s="26" t="s">
        <v>6591</v>
      </c>
      <c r="J1024" s="26" t="s">
        <v>6152</v>
      </c>
      <c r="K1024" s="26" t="str">
        <f t="shared" si="1"/>
        <v>Statin/EZ/ARB</v>
      </c>
      <c r="L1024" s="26" t="str">
        <f t="shared" si="2"/>
        <v>Rosuvastatin/EZ/Telmisartan </v>
      </c>
      <c r="M1024" s="26"/>
    </row>
    <row r="1025" ht="17.25" customHeight="1">
      <c r="B1025" s="25" t="s">
        <v>604</v>
      </c>
      <c r="C1025" s="25" t="s">
        <v>5937</v>
      </c>
      <c r="D1025" s="25" t="s">
        <v>701</v>
      </c>
      <c r="E1025" s="25" t="s">
        <v>6657</v>
      </c>
      <c r="F1025" s="25" t="s">
        <v>701</v>
      </c>
      <c r="G1025" s="25">
        <v>2.9873128232E8</v>
      </c>
      <c r="H1025" s="25">
        <v>198266.64</v>
      </c>
      <c r="I1025" s="26" t="s">
        <v>6591</v>
      </c>
      <c r="J1025" s="26" t="s">
        <v>6152</v>
      </c>
      <c r="K1025" s="26" t="str">
        <f t="shared" si="1"/>
        <v>Statin/EZ/ARB</v>
      </c>
      <c r="L1025" s="26" t="str">
        <f t="shared" si="2"/>
        <v>Rosuvastatin/EZ/Telmisartan </v>
      </c>
      <c r="M1025" s="26"/>
    </row>
    <row r="1026" ht="17.25" customHeight="1">
      <c r="B1026" s="25" t="s">
        <v>604</v>
      </c>
      <c r="C1026" s="25" t="s">
        <v>5937</v>
      </c>
      <c r="D1026" s="25" t="s">
        <v>880</v>
      </c>
      <c r="E1026" s="25" t="s">
        <v>6658</v>
      </c>
      <c r="F1026" s="25" t="s">
        <v>880</v>
      </c>
      <c r="G1026" s="25">
        <v>1.6799097008E8</v>
      </c>
      <c r="H1026" s="25">
        <v>115455.64</v>
      </c>
      <c r="I1026" s="26" t="s">
        <v>6591</v>
      </c>
      <c r="J1026" s="26" t="s">
        <v>6152</v>
      </c>
      <c r="K1026" s="26" t="str">
        <f t="shared" si="1"/>
        <v>Statin/EZ/ARB</v>
      </c>
      <c r="L1026" s="26" t="str">
        <f t="shared" si="2"/>
        <v>Rosuvastatin/EZ/Telmisartan </v>
      </c>
      <c r="M1026" s="26"/>
    </row>
    <row r="1027" ht="17.25" customHeight="1">
      <c r="B1027" s="25" t="s">
        <v>604</v>
      </c>
      <c r="C1027" s="25" t="s">
        <v>6116</v>
      </c>
      <c r="D1027" s="25" t="s">
        <v>880</v>
      </c>
      <c r="E1027" s="25" t="s">
        <v>6655</v>
      </c>
      <c r="F1027" s="25" t="s">
        <v>880</v>
      </c>
      <c r="G1027" s="25">
        <v>371616.0</v>
      </c>
      <c r="H1027" s="25">
        <v>168.0</v>
      </c>
      <c r="I1027" s="26" t="s">
        <v>6591</v>
      </c>
      <c r="J1027" s="26" t="s">
        <v>6152</v>
      </c>
      <c r="K1027" s="26" t="str">
        <f t="shared" si="1"/>
        <v>Statin/EZ/ARB/CCB</v>
      </c>
      <c r="L1027" s="26" t="str">
        <f t="shared" si="2"/>
        <v>Rosuvastatin/EZ/Telmisartan/S-amlodipine</v>
      </c>
      <c r="M1027" s="26"/>
    </row>
    <row r="1028" ht="17.25" customHeight="1">
      <c r="B1028" s="25" t="s">
        <v>604</v>
      </c>
      <c r="C1028" s="25" t="s">
        <v>6120</v>
      </c>
      <c r="D1028" s="25" t="s">
        <v>880</v>
      </c>
      <c r="E1028" s="25" t="s">
        <v>6655</v>
      </c>
      <c r="F1028" s="25" t="s">
        <v>880</v>
      </c>
      <c r="G1028" s="25">
        <v>2204428.8</v>
      </c>
      <c r="H1028" s="25">
        <v>1132.8</v>
      </c>
      <c r="I1028" s="26" t="s">
        <v>6591</v>
      </c>
      <c r="J1028" s="26" t="s">
        <v>6152</v>
      </c>
      <c r="K1028" s="26" t="str">
        <f t="shared" si="1"/>
        <v>Statin/EZ/ARB/CCB</v>
      </c>
      <c r="L1028" s="26" t="str">
        <f t="shared" si="2"/>
        <v>Rosuvastatin/EZ/Telmisartan/S-amlodipine</v>
      </c>
      <c r="M1028" s="26"/>
    </row>
    <row r="1029" ht="17.25" customHeight="1">
      <c r="B1029" s="25" t="s">
        <v>604</v>
      </c>
      <c r="C1029" s="25" t="s">
        <v>5941</v>
      </c>
      <c r="D1029" s="25" t="s">
        <v>788</v>
      </c>
      <c r="E1029" s="25" t="s">
        <v>6659</v>
      </c>
      <c r="F1029" s="25" t="s">
        <v>788</v>
      </c>
      <c r="G1029" s="25">
        <v>4.6199175692E8</v>
      </c>
      <c r="H1029" s="25">
        <v>624613.64</v>
      </c>
      <c r="I1029" s="26" t="s">
        <v>6591</v>
      </c>
      <c r="J1029" s="26" t="s">
        <v>6152</v>
      </c>
      <c r="K1029" s="26" t="str">
        <f t="shared" si="1"/>
        <v>Statin/ARB</v>
      </c>
      <c r="L1029" s="26" t="str">
        <f t="shared" si="2"/>
        <v>Rosuvastatin/Fimasartan</v>
      </c>
      <c r="M1029" s="26"/>
    </row>
    <row r="1030" ht="17.25" customHeight="1">
      <c r="B1030" s="25" t="s">
        <v>604</v>
      </c>
      <c r="C1030" s="25" t="s">
        <v>5756</v>
      </c>
      <c r="D1030" s="25" t="s">
        <v>1478</v>
      </c>
      <c r="E1030" s="25" t="s">
        <v>6660</v>
      </c>
      <c r="F1030" s="25" t="s">
        <v>1473</v>
      </c>
      <c r="G1030" s="25">
        <v>5.0519588192E8</v>
      </c>
      <c r="H1030" s="25">
        <v>688035.46</v>
      </c>
      <c r="I1030" s="26" t="s">
        <v>6591</v>
      </c>
      <c r="J1030" s="26" t="s">
        <v>6152</v>
      </c>
      <c r="K1030" s="26" t="str">
        <f t="shared" si="1"/>
        <v>Statin/BB</v>
      </c>
      <c r="L1030" s="26" t="str">
        <f t="shared" si="2"/>
        <v>Rosuvastatin/Nebivolol </v>
      </c>
      <c r="M1030" s="26"/>
    </row>
    <row r="1031" ht="17.25" customHeight="1">
      <c r="B1031" s="25" t="s">
        <v>604</v>
      </c>
      <c r="C1031" s="25" t="s">
        <v>5759</v>
      </c>
      <c r="D1031" s="25" t="s">
        <v>1473</v>
      </c>
      <c r="E1031" s="25" t="s">
        <v>6660</v>
      </c>
      <c r="F1031" s="25" t="s">
        <v>1473</v>
      </c>
      <c r="G1031" s="25">
        <v>1.278584238E7</v>
      </c>
      <c r="H1031" s="25">
        <v>18291.62</v>
      </c>
      <c r="I1031" s="26" t="s">
        <v>6591</v>
      </c>
      <c r="J1031" s="26" t="s">
        <v>6152</v>
      </c>
      <c r="K1031" s="26" t="str">
        <f t="shared" si="1"/>
        <v>Statin/BB</v>
      </c>
      <c r="L1031" s="26" t="str">
        <f t="shared" si="2"/>
        <v>Rosuvastatin/Nebivolol</v>
      </c>
      <c r="M1031" s="26"/>
    </row>
    <row r="1032" ht="17.25" customHeight="1">
      <c r="B1032" s="25" t="s">
        <v>604</v>
      </c>
      <c r="C1032" s="25" t="s">
        <v>5950</v>
      </c>
      <c r="D1032" s="25" t="s">
        <v>763</v>
      </c>
      <c r="E1032" s="25" t="s">
        <v>6661</v>
      </c>
      <c r="F1032" s="25" t="s">
        <v>763</v>
      </c>
      <c r="G1032" s="25">
        <v>5.6523575618E8</v>
      </c>
      <c r="H1032" s="25">
        <v>635849.82</v>
      </c>
      <c r="I1032" s="26" t="s">
        <v>6591</v>
      </c>
      <c r="J1032" s="26" t="s">
        <v>6152</v>
      </c>
      <c r="K1032" s="26" t="str">
        <f t="shared" si="1"/>
        <v>Statin/ARB</v>
      </c>
      <c r="L1032" s="26" t="str">
        <f t="shared" si="2"/>
        <v>Rosuvastatin/Olmesartan</v>
      </c>
      <c r="M1032" s="26"/>
    </row>
    <row r="1033" ht="17.25" customHeight="1">
      <c r="A1033" s="74"/>
      <c r="B1033" s="75" t="s">
        <v>604</v>
      </c>
      <c r="C1033" s="75" t="s">
        <v>5953</v>
      </c>
      <c r="D1033" s="75" t="s">
        <v>941</v>
      </c>
      <c r="E1033" s="75" t="s">
        <v>6662</v>
      </c>
      <c r="F1033" s="75" t="s">
        <v>941</v>
      </c>
      <c r="G1033" s="75">
        <v>3.8284186836E8</v>
      </c>
      <c r="H1033" s="75">
        <v>309136.35</v>
      </c>
      <c r="I1033" s="55" t="s">
        <v>6591</v>
      </c>
      <c r="J1033" s="55" t="s">
        <v>6152</v>
      </c>
      <c r="K1033" s="55" t="str">
        <f t="shared" si="1"/>
        <v>Statin/ARB</v>
      </c>
      <c r="L1033" s="55" t="str">
        <f t="shared" si="2"/>
        <v>Pitavastatin/Valsartan</v>
      </c>
      <c r="M1033" s="55"/>
      <c r="N1033" s="74"/>
      <c r="O1033" s="74"/>
      <c r="P1033" s="74"/>
      <c r="Q1033" s="74"/>
      <c r="R1033" s="74"/>
      <c r="S1033" s="74"/>
      <c r="T1033" s="74"/>
      <c r="U1033" s="74"/>
      <c r="V1033" s="74"/>
      <c r="W1033" s="74"/>
      <c r="X1033" s="74"/>
      <c r="Y1033" s="74"/>
      <c r="Z1033" s="74"/>
    </row>
    <row r="1034" ht="17.25" customHeight="1">
      <c r="B1034" s="25" t="s">
        <v>604</v>
      </c>
      <c r="C1034" s="25" t="s">
        <v>5956</v>
      </c>
      <c r="D1034" s="25" t="s">
        <v>708</v>
      </c>
      <c r="E1034" s="25" t="s">
        <v>6663</v>
      </c>
      <c r="F1034" s="25" t="s">
        <v>708</v>
      </c>
      <c r="G1034" s="25">
        <v>4.148470365E7</v>
      </c>
      <c r="H1034" s="25">
        <v>56665.8</v>
      </c>
      <c r="I1034" s="26" t="s">
        <v>6591</v>
      </c>
      <c r="J1034" s="26" t="s">
        <v>6152</v>
      </c>
      <c r="K1034" s="26" t="str">
        <f t="shared" si="1"/>
        <v>Statin/ARB</v>
      </c>
      <c r="L1034" s="26" t="str">
        <f t="shared" si="2"/>
        <v>Rosuvastatin/Telmisartan</v>
      </c>
      <c r="M1034" s="26"/>
    </row>
    <row r="1035" ht="17.25" customHeight="1">
      <c r="B1035" s="25" t="s">
        <v>604</v>
      </c>
      <c r="C1035" s="25" t="s">
        <v>5956</v>
      </c>
      <c r="D1035" s="25" t="s">
        <v>953</v>
      </c>
      <c r="E1035" s="25" t="s">
        <v>6664</v>
      </c>
      <c r="F1035" s="25" t="s">
        <v>953</v>
      </c>
      <c r="G1035" s="25">
        <v>4.680796536E7</v>
      </c>
      <c r="H1035" s="25">
        <v>61568.72</v>
      </c>
      <c r="I1035" s="26" t="s">
        <v>6591</v>
      </c>
      <c r="J1035" s="26" t="s">
        <v>6152</v>
      </c>
      <c r="K1035" s="26" t="str">
        <f t="shared" si="1"/>
        <v>Statin/ARB</v>
      </c>
      <c r="L1035" s="26" t="str">
        <f t="shared" si="2"/>
        <v>Rosuvastatin/Telmisartan</v>
      </c>
      <c r="M1035" s="26"/>
    </row>
    <row r="1036" ht="17.25" customHeight="1">
      <c r="B1036" s="25" t="s">
        <v>604</v>
      </c>
      <c r="C1036" s="25" t="s">
        <v>5956</v>
      </c>
      <c r="D1036" s="25" t="s">
        <v>810</v>
      </c>
      <c r="E1036" s="25" t="s">
        <v>6665</v>
      </c>
      <c r="F1036" s="25" t="s">
        <v>810</v>
      </c>
      <c r="G1036" s="25">
        <v>5.350556862E7</v>
      </c>
      <c r="H1036" s="25">
        <v>72306.76</v>
      </c>
      <c r="I1036" s="26" t="s">
        <v>6591</v>
      </c>
      <c r="J1036" s="26" t="s">
        <v>6152</v>
      </c>
      <c r="K1036" s="26" t="str">
        <f t="shared" si="1"/>
        <v>Statin/ARB</v>
      </c>
      <c r="L1036" s="26" t="str">
        <f t="shared" si="2"/>
        <v>Rosuvastatin/Telmisartan</v>
      </c>
      <c r="M1036" s="26"/>
    </row>
    <row r="1037" ht="17.25" customHeight="1">
      <c r="B1037" s="25" t="s">
        <v>604</v>
      </c>
      <c r="C1037" s="25" t="s">
        <v>5956</v>
      </c>
      <c r="D1037" s="25" t="s">
        <v>862</v>
      </c>
      <c r="E1037" s="25" t="s">
        <v>6666</v>
      </c>
      <c r="F1037" s="25" t="s">
        <v>862</v>
      </c>
      <c r="G1037" s="25">
        <v>6404719.31</v>
      </c>
      <c r="H1037" s="25">
        <v>15155.21</v>
      </c>
      <c r="I1037" s="26" t="s">
        <v>6591</v>
      </c>
      <c r="J1037" s="26" t="s">
        <v>6152</v>
      </c>
      <c r="K1037" s="26" t="str">
        <f t="shared" si="1"/>
        <v>Statin/ARB</v>
      </c>
      <c r="L1037" s="26" t="str">
        <f t="shared" si="2"/>
        <v>Rosuvastatin/Telmisartan</v>
      </c>
      <c r="M1037" s="26"/>
    </row>
    <row r="1038" ht="17.25" customHeight="1">
      <c r="B1038" s="25" t="s">
        <v>604</v>
      </c>
      <c r="C1038" s="25" t="s">
        <v>5956</v>
      </c>
      <c r="D1038" s="25" t="s">
        <v>701</v>
      </c>
      <c r="E1038" s="25" t="s">
        <v>6667</v>
      </c>
      <c r="F1038" s="25" t="s">
        <v>701</v>
      </c>
      <c r="G1038" s="25">
        <v>1.06766220991E9</v>
      </c>
      <c r="H1038" s="25">
        <v>1162044.28</v>
      </c>
      <c r="I1038" s="26" t="s">
        <v>6591</v>
      </c>
      <c r="J1038" s="26" t="s">
        <v>6152</v>
      </c>
      <c r="K1038" s="26" t="str">
        <f t="shared" si="1"/>
        <v>Statin/ARB</v>
      </c>
      <c r="L1038" s="26" t="str">
        <f t="shared" si="2"/>
        <v>Rosuvastatin/Telmisartan</v>
      </c>
      <c r="M1038" s="26"/>
    </row>
    <row r="1039" ht="17.25" customHeight="1">
      <c r="B1039" s="25" t="s">
        <v>604</v>
      </c>
      <c r="C1039" s="25" t="s">
        <v>5956</v>
      </c>
      <c r="D1039" s="25" t="s">
        <v>870</v>
      </c>
      <c r="E1039" s="25" t="s">
        <v>6668</v>
      </c>
      <c r="F1039" s="25" t="s">
        <v>870</v>
      </c>
      <c r="G1039" s="25">
        <v>1.496702844E7</v>
      </c>
      <c r="H1039" s="25">
        <v>21641.98</v>
      </c>
      <c r="I1039" s="26" t="s">
        <v>6591</v>
      </c>
      <c r="J1039" s="26" t="s">
        <v>6152</v>
      </c>
      <c r="K1039" s="26" t="str">
        <f t="shared" si="1"/>
        <v>Statin/ARB</v>
      </c>
      <c r="L1039" s="26" t="str">
        <f t="shared" si="2"/>
        <v>Rosuvastatin/Telmisartan</v>
      </c>
      <c r="M1039" s="26"/>
    </row>
    <row r="1040" ht="17.25" customHeight="1">
      <c r="B1040" s="25" t="s">
        <v>604</v>
      </c>
      <c r="C1040" s="25" t="s">
        <v>5956</v>
      </c>
      <c r="D1040" s="25" t="s">
        <v>1040</v>
      </c>
      <c r="E1040" s="25" t="s">
        <v>6669</v>
      </c>
      <c r="F1040" s="25" t="s">
        <v>1040</v>
      </c>
      <c r="G1040" s="25">
        <v>3.005600462E8</v>
      </c>
      <c r="H1040" s="25">
        <v>354971.63</v>
      </c>
      <c r="I1040" s="26" t="s">
        <v>6591</v>
      </c>
      <c r="J1040" s="26" t="s">
        <v>6152</v>
      </c>
      <c r="K1040" s="26" t="str">
        <f t="shared" si="1"/>
        <v>Statin/ARB</v>
      </c>
      <c r="L1040" s="26" t="str">
        <f t="shared" si="2"/>
        <v>Rosuvastatin/Telmisartan</v>
      </c>
      <c r="M1040" s="26"/>
    </row>
    <row r="1041" ht="17.25" customHeight="1">
      <c r="B1041" s="25" t="s">
        <v>604</v>
      </c>
      <c r="C1041" s="25" t="s">
        <v>5956</v>
      </c>
      <c r="D1041" s="25" t="s">
        <v>983</v>
      </c>
      <c r="E1041" s="25" t="s">
        <v>6670</v>
      </c>
      <c r="F1041" s="25" t="s">
        <v>983</v>
      </c>
      <c r="G1041" s="25">
        <v>1.481766061E7</v>
      </c>
      <c r="H1041" s="25">
        <v>20227.47</v>
      </c>
      <c r="I1041" s="26" t="s">
        <v>6591</v>
      </c>
      <c r="J1041" s="26" t="s">
        <v>6152</v>
      </c>
      <c r="K1041" s="26" t="str">
        <f t="shared" si="1"/>
        <v>Statin/ARB</v>
      </c>
      <c r="L1041" s="26" t="str">
        <f t="shared" si="2"/>
        <v>Rosuvastatin/Telmisartan</v>
      </c>
      <c r="M1041" s="26"/>
    </row>
    <row r="1042" ht="17.25" customHeight="1">
      <c r="B1042" s="25" t="s">
        <v>604</v>
      </c>
      <c r="C1042" s="25" t="s">
        <v>5956</v>
      </c>
      <c r="D1042" s="25" t="s">
        <v>999</v>
      </c>
      <c r="E1042" s="25" t="s">
        <v>6671</v>
      </c>
      <c r="F1042" s="25" t="s">
        <v>999</v>
      </c>
      <c r="G1042" s="25">
        <v>1.442948325E7</v>
      </c>
      <c r="H1042" s="25">
        <v>25475.55</v>
      </c>
      <c r="I1042" s="26" t="s">
        <v>6591</v>
      </c>
      <c r="J1042" s="26" t="s">
        <v>6152</v>
      </c>
      <c r="K1042" s="26" t="str">
        <f t="shared" si="1"/>
        <v>Statin/ARB</v>
      </c>
      <c r="L1042" s="26" t="str">
        <f t="shared" si="2"/>
        <v>Rosuvastatin/Telmisartan</v>
      </c>
      <c r="M1042" s="26"/>
    </row>
    <row r="1043" ht="17.25" customHeight="1">
      <c r="B1043" s="25" t="s">
        <v>604</v>
      </c>
      <c r="C1043" s="25" t="s">
        <v>5956</v>
      </c>
      <c r="D1043" s="25" t="s">
        <v>886</v>
      </c>
      <c r="E1043" s="25" t="s">
        <v>6672</v>
      </c>
      <c r="F1043" s="25" t="s">
        <v>886</v>
      </c>
      <c r="G1043" s="25">
        <v>5.51833656E7</v>
      </c>
      <c r="H1043" s="25">
        <v>78251.25</v>
      </c>
      <c r="I1043" s="26" t="s">
        <v>6591</v>
      </c>
      <c r="J1043" s="26" t="s">
        <v>6152</v>
      </c>
      <c r="K1043" s="26" t="str">
        <f t="shared" si="1"/>
        <v>Statin/ARB</v>
      </c>
      <c r="L1043" s="26" t="str">
        <f t="shared" si="2"/>
        <v>Rosuvastatin/Telmisartan</v>
      </c>
      <c r="M1043" s="26"/>
    </row>
    <row r="1044" ht="17.25" customHeight="1">
      <c r="B1044" s="25" t="s">
        <v>604</v>
      </c>
      <c r="C1044" s="25" t="s">
        <v>5956</v>
      </c>
      <c r="D1044" s="25" t="s">
        <v>717</v>
      </c>
      <c r="E1044" s="25" t="s">
        <v>6673</v>
      </c>
      <c r="F1044" s="25" t="s">
        <v>717</v>
      </c>
      <c r="G1044" s="25">
        <v>1.085296296E7</v>
      </c>
      <c r="H1044" s="25">
        <v>14765.63</v>
      </c>
      <c r="I1044" s="26" t="s">
        <v>6591</v>
      </c>
      <c r="J1044" s="26" t="s">
        <v>6152</v>
      </c>
      <c r="K1044" s="26" t="str">
        <f t="shared" si="1"/>
        <v>Statin/ARB</v>
      </c>
      <c r="L1044" s="26" t="str">
        <f t="shared" si="2"/>
        <v>Rosuvastatin/Telmisartan</v>
      </c>
      <c r="M1044" s="26"/>
    </row>
    <row r="1045" ht="17.25" customHeight="1">
      <c r="B1045" s="25" t="s">
        <v>604</v>
      </c>
      <c r="C1045" s="25" t="s">
        <v>5959</v>
      </c>
      <c r="D1045" s="25" t="s">
        <v>726</v>
      </c>
      <c r="E1045" s="25" t="s">
        <v>6674</v>
      </c>
      <c r="F1045" s="25" t="s">
        <v>726</v>
      </c>
      <c r="G1045" s="25">
        <v>7.109143532E7</v>
      </c>
      <c r="H1045" s="25">
        <v>70261.2</v>
      </c>
      <c r="I1045" s="26" t="s">
        <v>6591</v>
      </c>
      <c r="J1045" s="26" t="s">
        <v>6152</v>
      </c>
      <c r="K1045" s="26" t="str">
        <f t="shared" si="1"/>
        <v>Statin/ARB</v>
      </c>
      <c r="L1045" s="26" t="str">
        <f t="shared" si="2"/>
        <v>Rosuvastatin/Valsartan</v>
      </c>
      <c r="M1045" s="26"/>
    </row>
    <row r="1046" ht="17.25" customHeight="1">
      <c r="B1046" s="25" t="s">
        <v>604</v>
      </c>
      <c r="C1046" s="25" t="s">
        <v>5959</v>
      </c>
      <c r="D1046" s="25" t="s">
        <v>708</v>
      </c>
      <c r="E1046" s="25" t="s">
        <v>6675</v>
      </c>
      <c r="F1046" s="25" t="s">
        <v>708</v>
      </c>
      <c r="G1046" s="25">
        <v>2.849726886E7</v>
      </c>
      <c r="H1046" s="25">
        <v>27841.27</v>
      </c>
      <c r="I1046" s="26" t="s">
        <v>6591</v>
      </c>
      <c r="J1046" s="26" t="s">
        <v>6152</v>
      </c>
      <c r="K1046" s="26" t="str">
        <f t="shared" si="1"/>
        <v>Statin/ARB</v>
      </c>
      <c r="L1046" s="26" t="str">
        <f t="shared" si="2"/>
        <v>Rosuvastatin/Valsartan</v>
      </c>
      <c r="M1046" s="26"/>
    </row>
    <row r="1047" ht="17.25" customHeight="1">
      <c r="B1047" s="25" t="s">
        <v>604</v>
      </c>
      <c r="C1047" s="25" t="s">
        <v>5959</v>
      </c>
      <c r="D1047" s="25" t="s">
        <v>874</v>
      </c>
      <c r="E1047" s="25" t="s">
        <v>6676</v>
      </c>
      <c r="F1047" s="25" t="s">
        <v>874</v>
      </c>
      <c r="G1047" s="25">
        <v>1.766476992E7</v>
      </c>
      <c r="H1047" s="25">
        <v>20993.32</v>
      </c>
      <c r="I1047" s="26" t="s">
        <v>6591</v>
      </c>
      <c r="J1047" s="26" t="s">
        <v>6152</v>
      </c>
      <c r="K1047" s="26" t="str">
        <f t="shared" si="1"/>
        <v>Statin/ARB</v>
      </c>
      <c r="L1047" s="26" t="str">
        <f t="shared" si="2"/>
        <v>Rosuvastatin/Valsartan</v>
      </c>
      <c r="M1047" s="26"/>
    </row>
    <row r="1048" ht="17.25" customHeight="1">
      <c r="B1048" s="25" t="s">
        <v>604</v>
      </c>
      <c r="C1048" s="25" t="s">
        <v>5959</v>
      </c>
      <c r="D1048" s="25" t="s">
        <v>1791</v>
      </c>
      <c r="E1048" s="25" t="s">
        <v>6677</v>
      </c>
      <c r="F1048" s="25" t="s">
        <v>1791</v>
      </c>
      <c r="G1048" s="25">
        <v>3.2567936651E8</v>
      </c>
      <c r="H1048" s="25">
        <v>291530.58</v>
      </c>
      <c r="I1048" s="26" t="s">
        <v>6591</v>
      </c>
      <c r="J1048" s="26" t="s">
        <v>6152</v>
      </c>
      <c r="K1048" s="26" t="str">
        <f t="shared" si="1"/>
        <v>Statin/ARB</v>
      </c>
      <c r="L1048" s="26" t="str">
        <f t="shared" si="2"/>
        <v>Rosuvastatin/Valsartan</v>
      </c>
      <c r="M1048" s="26"/>
    </row>
    <row r="1049" ht="17.25" customHeight="1">
      <c r="B1049" s="25" t="s">
        <v>605</v>
      </c>
      <c r="C1049" s="25" t="s">
        <v>5775</v>
      </c>
      <c r="D1049" s="25" t="s">
        <v>2065</v>
      </c>
      <c r="E1049" s="25" t="s">
        <v>6678</v>
      </c>
      <c r="F1049" s="25" t="s">
        <v>2065</v>
      </c>
      <c r="G1049" s="25">
        <v>8635309.77</v>
      </c>
      <c r="H1049" s="25">
        <v>176230.89</v>
      </c>
      <c r="I1049" s="26" t="s">
        <v>5441</v>
      </c>
      <c r="J1049" s="26" t="s">
        <v>5442</v>
      </c>
      <c r="K1049" s="26" t="str">
        <f t="shared" si="1"/>
        <v>DU</v>
      </c>
      <c r="L1049" s="26" t="str">
        <f t="shared" si="2"/>
        <v>Amiloride</v>
      </c>
      <c r="M1049" s="26"/>
    </row>
    <row r="1050" ht="17.25" customHeight="1">
      <c r="B1050" s="25" t="s">
        <v>605</v>
      </c>
      <c r="C1050" s="25" t="s">
        <v>5780</v>
      </c>
      <c r="D1050" s="25" t="s">
        <v>1800</v>
      </c>
      <c r="E1050" s="25" t="s">
        <v>6679</v>
      </c>
      <c r="F1050" s="25" t="s">
        <v>1800</v>
      </c>
      <c r="G1050" s="25">
        <v>4.553732119E8</v>
      </c>
      <c r="H1050" s="25">
        <v>272678.6</v>
      </c>
      <c r="I1050" s="26" t="s">
        <v>5441</v>
      </c>
      <c r="J1050" s="26" t="s">
        <v>5442</v>
      </c>
      <c r="K1050" s="26" t="str">
        <f t="shared" si="1"/>
        <v>DU</v>
      </c>
      <c r="L1050" s="26" t="str">
        <f t="shared" si="2"/>
        <v>Finerenone</v>
      </c>
      <c r="M1050" s="26"/>
    </row>
    <row r="1051" ht="17.25" customHeight="1">
      <c r="B1051" s="25" t="s">
        <v>605</v>
      </c>
      <c r="C1051" s="25" t="s">
        <v>5784</v>
      </c>
      <c r="D1051" s="25" t="s">
        <v>1800</v>
      </c>
      <c r="E1051" s="25" t="s">
        <v>6679</v>
      </c>
      <c r="F1051" s="25" t="s">
        <v>1800</v>
      </c>
      <c r="G1051" s="25">
        <v>1.86092970139E9</v>
      </c>
      <c r="H1051" s="25">
        <v>1114329.36</v>
      </c>
      <c r="I1051" s="26" t="s">
        <v>5441</v>
      </c>
      <c r="J1051" s="26" t="s">
        <v>5442</v>
      </c>
      <c r="K1051" s="26" t="str">
        <f t="shared" si="1"/>
        <v>DU</v>
      </c>
      <c r="L1051" s="26" t="str">
        <f t="shared" si="2"/>
        <v>Finerenone</v>
      </c>
      <c r="M1051" s="26"/>
    </row>
    <row r="1052" ht="17.25" customHeight="1">
      <c r="B1052" s="25" t="s">
        <v>605</v>
      </c>
      <c r="C1052" s="25" t="s">
        <v>5787</v>
      </c>
      <c r="D1052" s="25" t="s">
        <v>705</v>
      </c>
      <c r="E1052" s="25" t="s">
        <v>6680</v>
      </c>
      <c r="F1052" s="25" t="s">
        <v>705</v>
      </c>
      <c r="G1052" s="25">
        <v>7.634952281E7</v>
      </c>
      <c r="H1052" s="25">
        <v>1413881.58</v>
      </c>
      <c r="I1052" s="26" t="s">
        <v>5441</v>
      </c>
      <c r="J1052" s="26" t="s">
        <v>5442</v>
      </c>
      <c r="K1052" s="26" t="str">
        <f t="shared" si="1"/>
        <v>DU</v>
      </c>
      <c r="L1052" s="26" t="str">
        <f t="shared" si="2"/>
        <v>Spironolactone</v>
      </c>
      <c r="M1052" s="26"/>
    </row>
    <row r="1053" ht="17.25" customHeight="1">
      <c r="B1053" s="25" t="s">
        <v>605</v>
      </c>
      <c r="C1053" s="25" t="s">
        <v>5787</v>
      </c>
      <c r="D1053" s="25" t="s">
        <v>768</v>
      </c>
      <c r="E1053" s="25" t="s">
        <v>6681</v>
      </c>
      <c r="F1053" s="25" t="s">
        <v>768</v>
      </c>
      <c r="G1053" s="25">
        <v>3.3771462184E8</v>
      </c>
      <c r="H1053" s="25">
        <v>3377149.73</v>
      </c>
      <c r="I1053" s="26" t="s">
        <v>5441</v>
      </c>
      <c r="J1053" s="26" t="s">
        <v>5442</v>
      </c>
      <c r="K1053" s="26" t="str">
        <f t="shared" si="1"/>
        <v>DU</v>
      </c>
      <c r="L1053" s="26" t="str">
        <f t="shared" si="2"/>
        <v>Spironolactone</v>
      </c>
      <c r="M1053" s="26"/>
    </row>
    <row r="1054" ht="17.25" customHeight="1">
      <c r="B1054" s="25" t="s">
        <v>605</v>
      </c>
      <c r="C1054" s="25" t="s">
        <v>5787</v>
      </c>
      <c r="D1054" s="25" t="s">
        <v>6682</v>
      </c>
      <c r="E1054" s="25" t="s">
        <v>6683</v>
      </c>
      <c r="F1054" s="25" t="s">
        <v>6682</v>
      </c>
      <c r="G1054" s="25">
        <v>3.3627429673E8</v>
      </c>
      <c r="H1054" s="25">
        <v>6004905.57</v>
      </c>
      <c r="I1054" s="26" t="s">
        <v>5441</v>
      </c>
      <c r="J1054" s="26" t="s">
        <v>5442</v>
      </c>
      <c r="K1054" s="26" t="str">
        <f t="shared" si="1"/>
        <v>DU</v>
      </c>
      <c r="L1054" s="26" t="str">
        <f t="shared" si="2"/>
        <v>Spironolactone</v>
      </c>
      <c r="M1054" s="26"/>
    </row>
    <row r="1055" ht="17.25" customHeight="1">
      <c r="B1055" s="25" t="s">
        <v>606</v>
      </c>
      <c r="C1055" s="25" t="s">
        <v>5791</v>
      </c>
      <c r="D1055" s="25" t="s">
        <v>800</v>
      </c>
      <c r="E1055" s="25" t="s">
        <v>6684</v>
      </c>
      <c r="F1055" s="25" t="s">
        <v>800</v>
      </c>
      <c r="G1055" s="25">
        <v>2.182990355E7</v>
      </c>
      <c r="H1055" s="25">
        <v>119944.79</v>
      </c>
      <c r="I1055" s="26" t="s">
        <v>5441</v>
      </c>
      <c r="J1055" s="26" t="s">
        <v>5442</v>
      </c>
      <c r="K1055" s="26" t="str">
        <f t="shared" si="1"/>
        <v>DU</v>
      </c>
      <c r="L1055" s="26" t="str">
        <f t="shared" si="2"/>
        <v>Azosemide</v>
      </c>
      <c r="M1055" s="26"/>
    </row>
    <row r="1056" ht="17.25" customHeight="1">
      <c r="B1056" s="25" t="s">
        <v>606</v>
      </c>
      <c r="C1056" s="25" t="s">
        <v>5795</v>
      </c>
      <c r="D1056" s="25" t="s">
        <v>983</v>
      </c>
      <c r="E1056" s="25" t="s">
        <v>6685</v>
      </c>
      <c r="F1056" s="25" t="s">
        <v>983</v>
      </c>
      <c r="G1056" s="25">
        <v>3.801343946E7</v>
      </c>
      <c r="H1056" s="25">
        <v>1267116.74</v>
      </c>
      <c r="I1056" s="26" t="s">
        <v>5441</v>
      </c>
      <c r="J1056" s="26" t="s">
        <v>5442</v>
      </c>
      <c r="K1056" s="26" t="str">
        <f t="shared" si="1"/>
        <v>DU</v>
      </c>
      <c r="L1056" s="26" t="str">
        <f t="shared" si="2"/>
        <v>Furosemide</v>
      </c>
      <c r="M1056" s="26"/>
    </row>
    <row r="1057" ht="17.25" customHeight="1">
      <c r="B1057" s="25" t="s">
        <v>606</v>
      </c>
      <c r="C1057" s="25" t="s">
        <v>5795</v>
      </c>
      <c r="D1057" s="25" t="s">
        <v>1445</v>
      </c>
      <c r="E1057" s="25" t="s">
        <v>6686</v>
      </c>
      <c r="F1057" s="25" t="s">
        <v>1445</v>
      </c>
      <c r="G1057" s="25">
        <v>2.9981889206E8</v>
      </c>
      <c r="H1057" s="25">
        <v>6118765.58</v>
      </c>
      <c r="I1057" s="26" t="s">
        <v>5441</v>
      </c>
      <c r="J1057" s="26" t="s">
        <v>5442</v>
      </c>
      <c r="K1057" s="26" t="str">
        <f t="shared" si="1"/>
        <v>DU</v>
      </c>
      <c r="L1057" s="26" t="str">
        <f t="shared" si="2"/>
        <v>Furosemide</v>
      </c>
      <c r="M1057" s="26"/>
    </row>
    <row r="1058" ht="17.25" customHeight="1">
      <c r="B1058" s="25" t="s">
        <v>606</v>
      </c>
      <c r="C1058" s="25" t="s">
        <v>5799</v>
      </c>
      <c r="D1058" s="25" t="s">
        <v>788</v>
      </c>
      <c r="E1058" s="25" t="s">
        <v>6687</v>
      </c>
      <c r="F1058" s="25" t="s">
        <v>788</v>
      </c>
      <c r="G1058" s="25">
        <v>8.581116448E7</v>
      </c>
      <c r="H1058" s="25">
        <v>531912.14</v>
      </c>
      <c r="I1058" s="26" t="s">
        <v>5441</v>
      </c>
      <c r="J1058" s="26" t="s">
        <v>5442</v>
      </c>
      <c r="K1058" s="26" t="str">
        <f t="shared" si="1"/>
        <v>DU</v>
      </c>
      <c r="L1058" s="26" t="str">
        <f t="shared" si="2"/>
        <v>Torasemide</v>
      </c>
      <c r="M1058" s="26"/>
    </row>
    <row r="1059" ht="17.25" customHeight="1">
      <c r="B1059" s="25" t="s">
        <v>606</v>
      </c>
      <c r="C1059" s="25" t="s">
        <v>5799</v>
      </c>
      <c r="D1059" s="25" t="s">
        <v>856</v>
      </c>
      <c r="E1059" s="25" t="s">
        <v>6688</v>
      </c>
      <c r="F1059" s="25" t="s">
        <v>856</v>
      </c>
      <c r="G1059" s="25">
        <v>2.341980879E7</v>
      </c>
      <c r="H1059" s="25">
        <v>163544.97</v>
      </c>
      <c r="I1059" s="26" t="s">
        <v>5441</v>
      </c>
      <c r="J1059" s="26" t="s">
        <v>5442</v>
      </c>
      <c r="K1059" s="26" t="str">
        <f t="shared" si="1"/>
        <v>DU</v>
      </c>
      <c r="L1059" s="26" t="str">
        <f t="shared" si="2"/>
        <v>Torasemide</v>
      </c>
      <c r="M1059" s="26"/>
    </row>
    <row r="1060" ht="17.25" customHeight="1">
      <c r="B1060" s="25" t="s">
        <v>606</v>
      </c>
      <c r="C1060" s="25" t="s">
        <v>5799</v>
      </c>
      <c r="D1060" s="25" t="s">
        <v>1040</v>
      </c>
      <c r="E1060" s="25" t="s">
        <v>6689</v>
      </c>
      <c r="F1060" s="25" t="s">
        <v>1040</v>
      </c>
      <c r="G1060" s="25">
        <v>4.333468639E7</v>
      </c>
      <c r="H1060" s="25">
        <v>303603.76</v>
      </c>
      <c r="I1060" s="26" t="s">
        <v>5441</v>
      </c>
      <c r="J1060" s="26" t="s">
        <v>5442</v>
      </c>
      <c r="K1060" s="26" t="str">
        <f t="shared" si="1"/>
        <v>DU</v>
      </c>
      <c r="L1060" s="26" t="str">
        <f t="shared" si="2"/>
        <v>Torasemide</v>
      </c>
      <c r="M1060" s="26"/>
    </row>
    <row r="1061" ht="17.25" customHeight="1">
      <c r="B1061" s="25" t="s">
        <v>606</v>
      </c>
      <c r="C1061" s="25" t="s">
        <v>5799</v>
      </c>
      <c r="D1061" s="25" t="s">
        <v>1596</v>
      </c>
      <c r="E1061" s="25" t="s">
        <v>6690</v>
      </c>
      <c r="F1061" s="25" t="s">
        <v>1596</v>
      </c>
      <c r="G1061" s="25">
        <v>1.2537137193E8</v>
      </c>
      <c r="H1061" s="25">
        <v>890614.98</v>
      </c>
      <c r="I1061" s="26" t="s">
        <v>5441</v>
      </c>
      <c r="J1061" s="26" t="s">
        <v>5442</v>
      </c>
      <c r="K1061" s="26" t="str">
        <f t="shared" si="1"/>
        <v>DU</v>
      </c>
      <c r="L1061" s="26" t="str">
        <f t="shared" si="2"/>
        <v>Torasemide</v>
      </c>
      <c r="M1061" s="26"/>
    </row>
    <row r="1062" ht="17.25" customHeight="1">
      <c r="B1062" s="25" t="s">
        <v>606</v>
      </c>
      <c r="C1062" s="25" t="s">
        <v>5799</v>
      </c>
      <c r="D1062" s="25" t="s">
        <v>917</v>
      </c>
      <c r="E1062" s="25" t="s">
        <v>6691</v>
      </c>
      <c r="F1062" s="25" t="s">
        <v>917</v>
      </c>
      <c r="G1062" s="25">
        <v>3.2407794813E8</v>
      </c>
      <c r="H1062" s="25">
        <v>2211865.46</v>
      </c>
      <c r="I1062" s="26" t="s">
        <v>5441</v>
      </c>
      <c r="J1062" s="26" t="s">
        <v>5442</v>
      </c>
      <c r="K1062" s="26" t="str">
        <f t="shared" si="1"/>
        <v>DU</v>
      </c>
      <c r="L1062" s="26" t="str">
        <f t="shared" si="2"/>
        <v>Torasemide</v>
      </c>
      <c r="M1062" s="26"/>
    </row>
    <row r="1063" ht="17.25" customHeight="1">
      <c r="B1063" s="25" t="s">
        <v>608</v>
      </c>
      <c r="C1063" s="25" t="s">
        <v>5803</v>
      </c>
      <c r="D1063" s="25" t="s">
        <v>755</v>
      </c>
      <c r="E1063" s="25" t="s">
        <v>6692</v>
      </c>
      <c r="F1063" s="25" t="s">
        <v>755</v>
      </c>
      <c r="G1063" s="25">
        <v>2332769.1</v>
      </c>
      <c r="H1063" s="25">
        <v>44014.58</v>
      </c>
      <c r="I1063" s="26" t="s">
        <v>5441</v>
      </c>
      <c r="J1063" s="26" t="s">
        <v>5442</v>
      </c>
      <c r="K1063" s="26" t="str">
        <f t="shared" si="1"/>
        <v>DU</v>
      </c>
      <c r="L1063" s="26" t="str">
        <f t="shared" si="2"/>
        <v>Chlorthalidone</v>
      </c>
      <c r="M1063" s="26"/>
    </row>
    <row r="1064" ht="17.25" customHeight="1">
      <c r="B1064" s="25" t="s">
        <v>608</v>
      </c>
      <c r="C1064" s="25" t="s">
        <v>5803</v>
      </c>
      <c r="D1064" s="25" t="s">
        <v>968</v>
      </c>
      <c r="E1064" s="25" t="s">
        <v>6693</v>
      </c>
      <c r="F1064" s="25" t="s">
        <v>968</v>
      </c>
      <c r="G1064" s="25">
        <v>5.200441225E7</v>
      </c>
      <c r="H1064" s="25">
        <v>981216.39</v>
      </c>
      <c r="I1064" s="26" t="s">
        <v>5441</v>
      </c>
      <c r="J1064" s="26" t="s">
        <v>5442</v>
      </c>
      <c r="K1064" s="26" t="str">
        <f t="shared" si="1"/>
        <v>DU</v>
      </c>
      <c r="L1064" s="26" t="str">
        <f t="shared" si="2"/>
        <v>Chlorthalidone</v>
      </c>
      <c r="M1064" s="26"/>
    </row>
    <row r="1065" ht="17.25" customHeight="1">
      <c r="B1065" s="25" t="s">
        <v>608</v>
      </c>
      <c r="C1065" s="25" t="s">
        <v>5807</v>
      </c>
      <c r="D1065" s="25" t="s">
        <v>701</v>
      </c>
      <c r="E1065" s="25" t="s">
        <v>6694</v>
      </c>
      <c r="F1065" s="25" t="s">
        <v>701</v>
      </c>
      <c r="G1065" s="25">
        <v>1.3516012566E8</v>
      </c>
      <c r="H1065" s="25">
        <v>1.351602434E7</v>
      </c>
      <c r="I1065" s="26" t="s">
        <v>5441</v>
      </c>
      <c r="J1065" s="26" t="s">
        <v>5442</v>
      </c>
      <c r="K1065" s="26" t="str">
        <f t="shared" si="1"/>
        <v>DU</v>
      </c>
      <c r="L1065" s="26" t="str">
        <f t="shared" si="2"/>
        <v>Hydrochlorothiazide</v>
      </c>
      <c r="M1065" s="26"/>
    </row>
    <row r="1066" ht="17.25" customHeight="1">
      <c r="B1066" s="25" t="s">
        <v>608</v>
      </c>
      <c r="C1066" s="25" t="s">
        <v>5811</v>
      </c>
      <c r="D1066" s="25" t="s">
        <v>1488</v>
      </c>
      <c r="E1066" s="25" t="s">
        <v>6695</v>
      </c>
      <c r="F1066" s="25" t="s">
        <v>1488</v>
      </c>
      <c r="G1066" s="25">
        <v>2.225733462E8</v>
      </c>
      <c r="H1066" s="25">
        <v>1357154.55</v>
      </c>
      <c r="I1066" s="26" t="s">
        <v>5441</v>
      </c>
      <c r="J1066" s="26" t="s">
        <v>5442</v>
      </c>
      <c r="K1066" s="26" t="str">
        <f t="shared" si="1"/>
        <v>DU</v>
      </c>
      <c r="L1066" s="26" t="str">
        <f t="shared" si="2"/>
        <v>Indapamide</v>
      </c>
      <c r="M1066" s="26"/>
    </row>
    <row r="1067" ht="17.25" customHeight="1">
      <c r="B1067" s="25" t="s">
        <v>608</v>
      </c>
      <c r="C1067" s="25" t="s">
        <v>5811</v>
      </c>
      <c r="D1067" s="25" t="s">
        <v>850</v>
      </c>
      <c r="E1067" s="25" t="s">
        <v>6696</v>
      </c>
      <c r="F1067" s="25" t="s">
        <v>850</v>
      </c>
      <c r="G1067" s="25">
        <v>9.822232732E7</v>
      </c>
      <c r="H1067" s="25">
        <v>598916.63</v>
      </c>
      <c r="I1067" s="26" t="s">
        <v>5441</v>
      </c>
      <c r="J1067" s="26" t="s">
        <v>5442</v>
      </c>
      <c r="K1067" s="26" t="str">
        <f t="shared" si="1"/>
        <v>DU</v>
      </c>
      <c r="L1067" s="26" t="str">
        <f t="shared" si="2"/>
        <v>Indapamide</v>
      </c>
      <c r="M1067" s="26"/>
    </row>
    <row r="1068" ht="17.25" customHeight="1">
      <c r="B1068" s="25" t="s">
        <v>608</v>
      </c>
      <c r="C1068" s="25" t="s">
        <v>5811</v>
      </c>
      <c r="D1068" s="25" t="s">
        <v>886</v>
      </c>
      <c r="E1068" s="25" t="s">
        <v>6697</v>
      </c>
      <c r="F1068" s="25" t="s">
        <v>886</v>
      </c>
      <c r="G1068" s="25">
        <v>5.311701994E7</v>
      </c>
      <c r="H1068" s="25">
        <v>482882.19</v>
      </c>
      <c r="I1068" s="26" t="s">
        <v>5441</v>
      </c>
      <c r="J1068" s="26" t="s">
        <v>5442</v>
      </c>
      <c r="K1068" s="26" t="str">
        <f t="shared" si="1"/>
        <v>DU</v>
      </c>
      <c r="L1068" s="26" t="str">
        <f t="shared" si="2"/>
        <v>Indapamide</v>
      </c>
      <c r="M1068" s="26"/>
    </row>
    <row r="1069" ht="17.25" customHeight="1">
      <c r="B1069" s="25" t="s">
        <v>608</v>
      </c>
      <c r="C1069" s="25" t="s">
        <v>5815</v>
      </c>
      <c r="D1069" s="25" t="s">
        <v>1274</v>
      </c>
      <c r="E1069" s="25" t="s">
        <v>6698</v>
      </c>
      <c r="F1069" s="25" t="s">
        <v>1274</v>
      </c>
      <c r="G1069" s="25">
        <v>40462.8</v>
      </c>
      <c r="H1069" s="25">
        <v>289.02</v>
      </c>
      <c r="I1069" s="26" t="s">
        <v>5441</v>
      </c>
      <c r="J1069" s="26" t="s">
        <v>5442</v>
      </c>
      <c r="K1069" s="26" t="str">
        <f t="shared" si="1"/>
        <v>DU</v>
      </c>
      <c r="L1069" s="26" t="str">
        <f t="shared" si="2"/>
        <v>Xipamide</v>
      </c>
      <c r="M1069" s="26"/>
    </row>
    <row r="1070" ht="17.25" customHeight="1">
      <c r="B1070" s="25" t="s">
        <v>610</v>
      </c>
      <c r="C1070" s="25" t="s">
        <v>5824</v>
      </c>
      <c r="D1070" s="25" t="s">
        <v>925</v>
      </c>
      <c r="E1070" s="25" t="s">
        <v>6699</v>
      </c>
      <c r="F1070" s="25" t="s">
        <v>925</v>
      </c>
      <c r="G1070" s="25">
        <v>3.713978605E7</v>
      </c>
      <c r="H1070" s="25">
        <v>233583.57</v>
      </c>
      <c r="I1070" s="26" t="s">
        <v>5441</v>
      </c>
      <c r="J1070" s="26" t="s">
        <v>6152</v>
      </c>
      <c r="K1070" s="26" t="str">
        <f t="shared" si="1"/>
        <v>BB/DU</v>
      </c>
      <c r="L1070" s="26" t="str">
        <f t="shared" si="2"/>
        <v>atenolol/chlorthalidone</v>
      </c>
      <c r="M1070" s="26"/>
    </row>
    <row r="1071" ht="17.25" customHeight="1">
      <c r="B1071" s="25" t="s">
        <v>610</v>
      </c>
      <c r="C1071" s="25" t="s">
        <v>5829</v>
      </c>
      <c r="D1071" s="25" t="s">
        <v>826</v>
      </c>
      <c r="E1071" s="25" t="s">
        <v>6700</v>
      </c>
      <c r="F1071" s="25" t="s">
        <v>826</v>
      </c>
      <c r="G1071" s="25">
        <v>5.605326262E7</v>
      </c>
      <c r="H1071" s="25">
        <v>351944.87</v>
      </c>
      <c r="I1071" s="26" t="s">
        <v>5441</v>
      </c>
      <c r="J1071" s="26" t="s">
        <v>6152</v>
      </c>
      <c r="K1071" s="26" t="str">
        <f t="shared" si="1"/>
        <v>BB/DU</v>
      </c>
      <c r="L1071" s="26" t="str">
        <f t="shared" si="2"/>
        <v>bisoprolol/hydrochlorothiazide</v>
      </c>
      <c r="M1071" s="26"/>
    </row>
    <row r="1072" ht="17.25" customHeight="1">
      <c r="B1072" s="25" t="s">
        <v>612</v>
      </c>
      <c r="C1072" s="25" t="s">
        <v>5833</v>
      </c>
      <c r="D1072" s="25" t="s">
        <v>1274</v>
      </c>
      <c r="E1072" s="25" t="s">
        <v>6701</v>
      </c>
      <c r="F1072" s="25" t="s">
        <v>1274</v>
      </c>
      <c r="G1072" s="25">
        <v>394385.5</v>
      </c>
      <c r="H1072" s="25">
        <v>1359.95</v>
      </c>
      <c r="I1072" s="26" t="s">
        <v>5441</v>
      </c>
      <c r="J1072" s="26" t="s">
        <v>5442</v>
      </c>
      <c r="K1072" s="26" t="str">
        <f t="shared" si="1"/>
        <v>ACEi</v>
      </c>
      <c r="L1072" s="26" t="str">
        <f t="shared" si="2"/>
        <v>Alacepril</v>
      </c>
      <c r="M1072" s="26"/>
    </row>
    <row r="1073" ht="17.25" customHeight="1">
      <c r="B1073" s="25" t="s">
        <v>612</v>
      </c>
      <c r="C1073" s="25" t="s">
        <v>5838</v>
      </c>
      <c r="D1073" s="25" t="s">
        <v>788</v>
      </c>
      <c r="E1073" s="25" t="s">
        <v>6702</v>
      </c>
      <c r="F1073" s="25" t="s">
        <v>788</v>
      </c>
      <c r="G1073" s="25">
        <v>2.248863831E7</v>
      </c>
      <c r="H1073" s="25">
        <v>84590.71</v>
      </c>
      <c r="I1073" s="26" t="s">
        <v>5441</v>
      </c>
      <c r="J1073" s="26" t="s">
        <v>5442</v>
      </c>
      <c r="K1073" s="26" t="str">
        <f t="shared" si="1"/>
        <v>ACEi</v>
      </c>
      <c r="L1073" s="26" t="str">
        <f t="shared" si="2"/>
        <v>Captopril</v>
      </c>
      <c r="M1073" s="26"/>
    </row>
    <row r="1074" ht="17.25" customHeight="1">
      <c r="B1074" s="25" t="s">
        <v>612</v>
      </c>
      <c r="C1074" s="25" t="s">
        <v>5842</v>
      </c>
      <c r="D1074" s="25" t="s">
        <v>876</v>
      </c>
      <c r="E1074" s="25" t="s">
        <v>6703</v>
      </c>
      <c r="F1074" s="25" t="s">
        <v>876</v>
      </c>
      <c r="G1074" s="25">
        <v>2.062696449E7</v>
      </c>
      <c r="H1074" s="25">
        <v>49373.1</v>
      </c>
      <c r="I1074" s="26" t="s">
        <v>5441</v>
      </c>
      <c r="J1074" s="26" t="s">
        <v>5442</v>
      </c>
      <c r="K1074" s="26" t="str">
        <f t="shared" si="1"/>
        <v>ACEi</v>
      </c>
      <c r="L1074" s="26" t="str">
        <f t="shared" si="2"/>
        <v>Cilazapril</v>
      </c>
      <c r="M1074" s="26"/>
    </row>
    <row r="1075" ht="17.25" customHeight="1">
      <c r="B1075" s="25" t="s">
        <v>612</v>
      </c>
      <c r="C1075" s="25" t="s">
        <v>5846</v>
      </c>
      <c r="D1075" s="25" t="s">
        <v>720</v>
      </c>
      <c r="E1075" s="25" t="s">
        <v>6704</v>
      </c>
      <c r="F1075" s="25" t="s">
        <v>720</v>
      </c>
      <c r="G1075" s="25">
        <v>6760420.16</v>
      </c>
      <c r="H1075" s="25">
        <v>13853.32</v>
      </c>
      <c r="I1075" s="26" t="s">
        <v>5441</v>
      </c>
      <c r="J1075" s="26" t="s">
        <v>5442</v>
      </c>
      <c r="K1075" s="26" t="str">
        <f t="shared" si="1"/>
        <v>ACEi</v>
      </c>
      <c r="L1075" s="26" t="str">
        <f t="shared" si="2"/>
        <v>Enalapril</v>
      </c>
      <c r="M1075" s="26"/>
    </row>
    <row r="1076" ht="17.25" customHeight="1">
      <c r="B1076" s="25" t="s">
        <v>612</v>
      </c>
      <c r="C1076" s="25" t="s">
        <v>5846</v>
      </c>
      <c r="D1076" s="25" t="s">
        <v>862</v>
      </c>
      <c r="E1076" s="25" t="s">
        <v>6705</v>
      </c>
      <c r="F1076" s="25" t="s">
        <v>862</v>
      </c>
      <c r="G1076" s="25">
        <v>1.509809745E7</v>
      </c>
      <c r="H1076" s="25">
        <v>34708.27</v>
      </c>
      <c r="I1076" s="26" t="s">
        <v>5441</v>
      </c>
      <c r="J1076" s="26" t="s">
        <v>5442</v>
      </c>
      <c r="K1076" s="26" t="str">
        <f t="shared" si="1"/>
        <v>ACEi</v>
      </c>
      <c r="L1076" s="26" t="str">
        <f t="shared" si="2"/>
        <v>Enalapril</v>
      </c>
      <c r="M1076" s="26"/>
    </row>
    <row r="1077" ht="17.25" customHeight="1">
      <c r="B1077" s="25" t="s">
        <v>612</v>
      </c>
      <c r="C1077" s="25" t="s">
        <v>5846</v>
      </c>
      <c r="D1077" s="25" t="s">
        <v>880</v>
      </c>
      <c r="E1077" s="25" t="s">
        <v>6706</v>
      </c>
      <c r="F1077" s="25" t="s">
        <v>880</v>
      </c>
      <c r="G1077" s="25">
        <v>1.0451297549E8</v>
      </c>
      <c r="H1077" s="25">
        <v>269532.21</v>
      </c>
      <c r="I1077" s="26" t="s">
        <v>5441</v>
      </c>
      <c r="J1077" s="26" t="s">
        <v>5442</v>
      </c>
      <c r="K1077" s="26" t="str">
        <f t="shared" si="1"/>
        <v>ACEi</v>
      </c>
      <c r="L1077" s="26" t="str">
        <f t="shared" si="2"/>
        <v>Enalapril</v>
      </c>
      <c r="M1077" s="26"/>
    </row>
    <row r="1078" ht="17.25" customHeight="1">
      <c r="B1078" s="25" t="s">
        <v>612</v>
      </c>
      <c r="C1078" s="25" t="s">
        <v>5846</v>
      </c>
      <c r="D1078" s="25" t="s">
        <v>929</v>
      </c>
      <c r="E1078" s="25" t="s">
        <v>6707</v>
      </c>
      <c r="F1078" s="25" t="s">
        <v>929</v>
      </c>
      <c r="G1078" s="25">
        <v>2092604.4</v>
      </c>
      <c r="H1078" s="25">
        <v>5054.6</v>
      </c>
      <c r="I1078" s="26" t="s">
        <v>5441</v>
      </c>
      <c r="J1078" s="26" t="s">
        <v>5442</v>
      </c>
      <c r="K1078" s="26" t="str">
        <f t="shared" si="1"/>
        <v>ACEi</v>
      </c>
      <c r="L1078" s="26" t="str">
        <f t="shared" si="2"/>
        <v>Enalapril</v>
      </c>
      <c r="M1078" s="26"/>
    </row>
    <row r="1079" ht="17.25" customHeight="1">
      <c r="B1079" s="25" t="s">
        <v>612</v>
      </c>
      <c r="C1079" s="25" t="s">
        <v>5854</v>
      </c>
      <c r="D1079" s="25" t="s">
        <v>925</v>
      </c>
      <c r="E1079" s="25" t="s">
        <v>6708</v>
      </c>
      <c r="F1079" s="25" t="s">
        <v>925</v>
      </c>
      <c r="G1079" s="25">
        <v>1.454059551E7</v>
      </c>
      <c r="H1079" s="25">
        <v>30611.79</v>
      </c>
      <c r="I1079" s="26" t="s">
        <v>5441</v>
      </c>
      <c r="J1079" s="26" t="s">
        <v>5442</v>
      </c>
      <c r="K1079" s="26" t="str">
        <f t="shared" si="1"/>
        <v>ACEi</v>
      </c>
      <c r="L1079" s="26" t="str">
        <f t="shared" si="2"/>
        <v>Lisinopril</v>
      </c>
      <c r="M1079" s="26"/>
    </row>
    <row r="1080" ht="17.25" customHeight="1">
      <c r="B1080" s="25" t="s">
        <v>612</v>
      </c>
      <c r="C1080" s="25" t="s">
        <v>5858</v>
      </c>
      <c r="D1080" s="25" t="s">
        <v>1488</v>
      </c>
      <c r="E1080" s="25" t="s">
        <v>6709</v>
      </c>
      <c r="F1080" s="25" t="s">
        <v>1488</v>
      </c>
      <c r="G1080" s="25">
        <v>5.0323458652E8</v>
      </c>
      <c r="H1080" s="25">
        <v>900301.63</v>
      </c>
      <c r="I1080" s="26" t="s">
        <v>5441</v>
      </c>
      <c r="J1080" s="26" t="s">
        <v>5442</v>
      </c>
      <c r="K1080" s="26" t="str">
        <f t="shared" si="1"/>
        <v>ACEi</v>
      </c>
      <c r="L1080" s="26" t="str">
        <f t="shared" si="2"/>
        <v>Perindopril</v>
      </c>
      <c r="M1080" s="26"/>
    </row>
    <row r="1081" ht="17.25" customHeight="1">
      <c r="B1081" s="25" t="s">
        <v>612</v>
      </c>
      <c r="C1081" s="25" t="s">
        <v>5862</v>
      </c>
      <c r="D1081" s="25" t="s">
        <v>1488</v>
      </c>
      <c r="E1081" s="25" t="s">
        <v>6710</v>
      </c>
      <c r="F1081" s="25" t="s">
        <v>1488</v>
      </c>
      <c r="G1081" s="25">
        <v>2.5436817479E8</v>
      </c>
      <c r="H1081" s="25">
        <v>418723.79</v>
      </c>
      <c r="I1081" s="26" t="s">
        <v>5441</v>
      </c>
      <c r="J1081" s="26" t="s">
        <v>5442</v>
      </c>
      <c r="K1081" s="26" t="str">
        <f t="shared" si="1"/>
        <v>ACEi</v>
      </c>
      <c r="L1081" s="26" t="str">
        <f t="shared" si="2"/>
        <v>Perindopril</v>
      </c>
      <c r="M1081" s="26"/>
    </row>
    <row r="1082" ht="17.25" customHeight="1">
      <c r="B1082" s="25" t="s">
        <v>612</v>
      </c>
      <c r="C1082" s="25" t="s">
        <v>5862</v>
      </c>
      <c r="D1082" s="25" t="s">
        <v>1040</v>
      </c>
      <c r="E1082" s="25" t="s">
        <v>6711</v>
      </c>
      <c r="F1082" s="25" t="s">
        <v>1040</v>
      </c>
      <c r="G1082" s="25">
        <v>1.096409423E7</v>
      </c>
      <c r="H1082" s="25">
        <v>24528.18</v>
      </c>
      <c r="I1082" s="26" t="s">
        <v>5441</v>
      </c>
      <c r="J1082" s="26" t="s">
        <v>5442</v>
      </c>
      <c r="K1082" s="26" t="str">
        <f t="shared" si="1"/>
        <v>ACEi</v>
      </c>
      <c r="L1082" s="26" t="str">
        <f t="shared" si="2"/>
        <v>Perindopril</v>
      </c>
      <c r="M1082" s="26"/>
    </row>
    <row r="1083" ht="17.25" customHeight="1">
      <c r="B1083" s="25" t="s">
        <v>612</v>
      </c>
      <c r="C1083" s="25" t="s">
        <v>5865</v>
      </c>
      <c r="D1083" s="25" t="s">
        <v>1445</v>
      </c>
      <c r="E1083" s="25" t="s">
        <v>6712</v>
      </c>
      <c r="F1083" s="25" t="s">
        <v>1445</v>
      </c>
      <c r="G1083" s="25">
        <v>3.4572908066E8</v>
      </c>
      <c r="H1083" s="25">
        <v>908760.47</v>
      </c>
      <c r="I1083" s="26" t="s">
        <v>5441</v>
      </c>
      <c r="J1083" s="26" t="s">
        <v>5442</v>
      </c>
      <c r="K1083" s="26" t="str">
        <f t="shared" si="1"/>
        <v>ACEi</v>
      </c>
      <c r="L1083" s="26" t="str">
        <f t="shared" si="2"/>
        <v>Ramipril</v>
      </c>
      <c r="M1083" s="26"/>
    </row>
    <row r="1084" ht="17.25" customHeight="1">
      <c r="B1084" s="25" t="s">
        <v>612</v>
      </c>
      <c r="C1084" s="25" t="s">
        <v>5865</v>
      </c>
      <c r="D1084" s="25" t="s">
        <v>1445</v>
      </c>
      <c r="E1084" s="25" t="s">
        <v>6713</v>
      </c>
      <c r="F1084" s="25" t="s">
        <v>1445</v>
      </c>
      <c r="G1084" s="25">
        <v>9.580790848E7</v>
      </c>
      <c r="H1084" s="25">
        <v>130706.56</v>
      </c>
      <c r="I1084" s="26" t="s">
        <v>5441</v>
      </c>
      <c r="J1084" s="26" t="s">
        <v>5442</v>
      </c>
      <c r="K1084" s="26" t="str">
        <f t="shared" si="1"/>
        <v>ACEi</v>
      </c>
      <c r="L1084" s="26" t="str">
        <f t="shared" si="2"/>
        <v>Ramipril</v>
      </c>
      <c r="M1084" s="26"/>
    </row>
    <row r="1085" ht="17.25" customHeight="1">
      <c r="B1085" s="25" t="s">
        <v>614</v>
      </c>
      <c r="C1085" s="25" t="s">
        <v>5877</v>
      </c>
      <c r="D1085" s="25" t="s">
        <v>1488</v>
      </c>
      <c r="E1085" s="25" t="s">
        <v>6714</v>
      </c>
      <c r="F1085" s="25" t="s">
        <v>1488</v>
      </c>
      <c r="G1085" s="25">
        <v>5.726164672E7</v>
      </c>
      <c r="H1085" s="25">
        <v>117339.44</v>
      </c>
      <c r="I1085" s="26" t="s">
        <v>5441</v>
      </c>
      <c r="J1085" s="26" t="s">
        <v>6152</v>
      </c>
      <c r="K1085" s="26" t="str">
        <f t="shared" si="1"/>
        <v>ACEi/DU </v>
      </c>
      <c r="L1085" s="26" t="str">
        <f t="shared" si="2"/>
        <v>indapamide/perindopril</v>
      </c>
      <c r="M1085" s="26"/>
    </row>
    <row r="1086" ht="17.25" customHeight="1">
      <c r="B1086" s="25" t="s">
        <v>616</v>
      </c>
      <c r="C1086" s="25" t="s">
        <v>5882</v>
      </c>
      <c r="D1086" s="25" t="s">
        <v>1445</v>
      </c>
      <c r="E1086" s="25" t="s">
        <v>6715</v>
      </c>
      <c r="F1086" s="25" t="s">
        <v>1445</v>
      </c>
      <c r="G1086" s="25">
        <v>4.60781378E7</v>
      </c>
      <c r="H1086" s="25">
        <v>44261.55</v>
      </c>
      <c r="I1086" s="26" t="s">
        <v>5441</v>
      </c>
      <c r="J1086" s="26" t="s">
        <v>6152</v>
      </c>
      <c r="K1086" s="26" t="str">
        <f t="shared" si="1"/>
        <v>ACEi/CCB</v>
      </c>
      <c r="L1086" s="26" t="str">
        <f t="shared" si="2"/>
        <v>felodipine/ramipril</v>
      </c>
      <c r="M1086" s="26"/>
    </row>
    <row r="1087" ht="17.25" customHeight="1"/>
    <row r="1088" ht="17.25" customHeight="1"/>
    <row r="1089" ht="17.25" customHeight="1">
      <c r="B1089" s="25"/>
    </row>
    <row r="1090" ht="17.25" customHeight="1">
      <c r="B1090" s="25"/>
    </row>
    <row r="1091" ht="17.25" customHeight="1">
      <c r="B1091" s="25"/>
    </row>
    <row r="1092" ht="17.25" customHeight="1">
      <c r="B1092" s="25"/>
    </row>
    <row r="1093" ht="17.25" customHeight="1">
      <c r="B1093" s="25"/>
    </row>
    <row r="1094" ht="17.25" customHeight="1">
      <c r="B1094" s="25"/>
    </row>
    <row r="1095" ht="17.25" customHeight="1">
      <c r="B1095" s="25"/>
    </row>
    <row r="1096" ht="17.25" customHeight="1">
      <c r="B1096" s="25"/>
    </row>
    <row r="1097" ht="17.25" customHeight="1">
      <c r="B1097" s="25"/>
    </row>
    <row r="1098" ht="17.25" customHeight="1">
      <c r="B1098" s="25"/>
    </row>
    <row r="1099" ht="17.25" customHeight="1">
      <c r="B1099" s="25"/>
    </row>
    <row r="1100" ht="17.25" customHeight="1">
      <c r="B1100" s="25"/>
    </row>
    <row r="1101" ht="17.25" customHeight="1">
      <c r="B1101" s="25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3.13"/>
    <col customWidth="1" min="3" max="3" width="14.38"/>
    <col customWidth="1" min="4" max="6" width="9.88"/>
    <col customWidth="1" min="7" max="7" width="13.25"/>
    <col customWidth="1" min="8" max="8" width="10.0"/>
    <col customWidth="1" min="9" max="10" width="11.0"/>
    <col customWidth="1" min="11" max="26" width="7.63"/>
  </cols>
  <sheetData>
    <row r="1" ht="17.25" customHeight="1">
      <c r="A1" s="26"/>
      <c r="B1" s="27" t="s">
        <v>547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21.0" customHeight="1">
      <c r="A2" s="65"/>
      <c r="B2" s="8" t="s">
        <v>6716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7.25" customHeight="1"/>
    <row r="4" ht="17.25" customHeight="1"/>
    <row r="5" ht="17.25" customHeight="1">
      <c r="B5" s="25" t="s">
        <v>687</v>
      </c>
      <c r="C5" s="25" t="s">
        <v>688</v>
      </c>
      <c r="D5" s="25" t="s">
        <v>689</v>
      </c>
      <c r="E5" s="25" t="s">
        <v>690</v>
      </c>
      <c r="F5" s="25" t="s">
        <v>691</v>
      </c>
      <c r="G5" s="25" t="s">
        <v>1465</v>
      </c>
      <c r="H5" s="25" t="s">
        <v>1466</v>
      </c>
      <c r="I5" s="76" t="s">
        <v>555</v>
      </c>
      <c r="J5" s="76" t="s">
        <v>6717</v>
      </c>
    </row>
    <row r="6" ht="17.25" customHeight="1">
      <c r="B6" s="25" t="s">
        <v>577</v>
      </c>
      <c r="C6" s="25" t="s">
        <v>6718</v>
      </c>
      <c r="D6" s="25" t="s">
        <v>744</v>
      </c>
      <c r="E6" s="25" t="s">
        <v>6719</v>
      </c>
      <c r="F6" s="25" t="s">
        <v>744</v>
      </c>
      <c r="G6" s="25">
        <v>1.027833095E7</v>
      </c>
      <c r="H6" s="25">
        <v>23201.65</v>
      </c>
      <c r="I6" s="25" t="s">
        <v>6720</v>
      </c>
      <c r="J6" s="26" t="s">
        <v>6721</v>
      </c>
    </row>
    <row r="7" ht="17.25" customHeight="1">
      <c r="B7" s="25" t="s">
        <v>577</v>
      </c>
      <c r="C7" s="25" t="s">
        <v>6718</v>
      </c>
      <c r="D7" s="25" t="s">
        <v>761</v>
      </c>
      <c r="E7" s="25" t="s">
        <v>6722</v>
      </c>
      <c r="F7" s="25" t="s">
        <v>761</v>
      </c>
      <c r="G7" s="25">
        <v>4.063711209E7</v>
      </c>
      <c r="H7" s="25">
        <v>91731.63</v>
      </c>
      <c r="I7" s="25" t="s">
        <v>6723</v>
      </c>
      <c r="J7" s="26" t="s">
        <v>6721</v>
      </c>
    </row>
    <row r="8" ht="17.25" customHeight="1">
      <c r="B8" s="25" t="s">
        <v>577</v>
      </c>
      <c r="C8" s="25" t="s">
        <v>6718</v>
      </c>
      <c r="D8" s="25" t="s">
        <v>763</v>
      </c>
      <c r="E8" s="25" t="s">
        <v>6724</v>
      </c>
      <c r="F8" s="25" t="s">
        <v>763</v>
      </c>
      <c r="G8" s="25">
        <v>2.103220468E7</v>
      </c>
      <c r="H8" s="25">
        <v>47476.76</v>
      </c>
      <c r="I8" s="25" t="s">
        <v>6725</v>
      </c>
      <c r="J8" s="26" t="s">
        <v>6721</v>
      </c>
    </row>
    <row r="9" ht="17.25" customHeight="1">
      <c r="B9" s="25" t="s">
        <v>577</v>
      </c>
      <c r="C9" s="25" t="s">
        <v>6718</v>
      </c>
      <c r="D9" s="25" t="s">
        <v>768</v>
      </c>
      <c r="E9" s="25" t="s">
        <v>6726</v>
      </c>
      <c r="F9" s="25" t="s">
        <v>768</v>
      </c>
      <c r="G9" s="25">
        <v>5.487664715E7</v>
      </c>
      <c r="H9" s="25">
        <v>123875.05</v>
      </c>
      <c r="I9" s="25" t="s">
        <v>6727</v>
      </c>
      <c r="J9" s="26" t="s">
        <v>6721</v>
      </c>
    </row>
    <row r="10" ht="17.25" customHeight="1">
      <c r="B10" s="25" t="s">
        <v>577</v>
      </c>
      <c r="C10" s="25" t="s">
        <v>6718</v>
      </c>
      <c r="D10" s="25" t="s">
        <v>1093</v>
      </c>
      <c r="E10" s="25" t="s">
        <v>6728</v>
      </c>
      <c r="F10" s="25" t="s">
        <v>1093</v>
      </c>
      <c r="G10" s="25">
        <v>3.490332322E7</v>
      </c>
      <c r="H10" s="25">
        <v>78788.54</v>
      </c>
      <c r="I10" s="25" t="s">
        <v>6729</v>
      </c>
      <c r="J10" s="26" t="s">
        <v>6721</v>
      </c>
    </row>
    <row r="11" ht="17.25" customHeight="1">
      <c r="B11" s="25" t="s">
        <v>577</v>
      </c>
      <c r="C11" s="25" t="s">
        <v>6718</v>
      </c>
      <c r="D11" s="25" t="s">
        <v>774</v>
      </c>
      <c r="E11" s="25" t="s">
        <v>6730</v>
      </c>
      <c r="F11" s="25" t="s">
        <v>774</v>
      </c>
      <c r="G11" s="25">
        <v>2.168744598E7</v>
      </c>
      <c r="H11" s="25">
        <v>48955.86</v>
      </c>
      <c r="I11" s="25" t="s">
        <v>6731</v>
      </c>
      <c r="J11" s="26" t="s">
        <v>6721</v>
      </c>
    </row>
    <row r="12" ht="17.25" customHeight="1">
      <c r="B12" s="25" t="s">
        <v>577</v>
      </c>
      <c r="C12" s="25" t="s">
        <v>6718</v>
      </c>
      <c r="D12" s="25" t="s">
        <v>786</v>
      </c>
      <c r="E12" s="25" t="s">
        <v>6732</v>
      </c>
      <c r="F12" s="25" t="s">
        <v>786</v>
      </c>
      <c r="G12" s="25">
        <v>2.658692852E7</v>
      </c>
      <c r="H12" s="25">
        <v>60015.64</v>
      </c>
      <c r="I12" s="25" t="s">
        <v>6733</v>
      </c>
      <c r="J12" s="26" t="s">
        <v>6721</v>
      </c>
    </row>
    <row r="13" ht="17.25" customHeight="1">
      <c r="B13" s="25" t="s">
        <v>577</v>
      </c>
      <c r="C13" s="25" t="s">
        <v>6718</v>
      </c>
      <c r="D13" s="25" t="s">
        <v>830</v>
      </c>
      <c r="E13" s="25" t="s">
        <v>6734</v>
      </c>
      <c r="F13" s="25" t="s">
        <v>830</v>
      </c>
      <c r="G13" s="25">
        <v>3.652622012E8</v>
      </c>
      <c r="H13" s="25">
        <v>702427.31</v>
      </c>
      <c r="I13" s="25" t="s">
        <v>6735</v>
      </c>
      <c r="J13" s="26" t="s">
        <v>6721</v>
      </c>
    </row>
    <row r="14" ht="17.25" customHeight="1">
      <c r="B14" s="25" t="s">
        <v>577</v>
      </c>
      <c r="C14" s="25" t="s">
        <v>6718</v>
      </c>
      <c r="D14" s="25" t="s">
        <v>836</v>
      </c>
      <c r="E14" s="25" t="s">
        <v>6736</v>
      </c>
      <c r="F14" s="25" t="s">
        <v>836</v>
      </c>
      <c r="G14" s="25">
        <v>9579432.0</v>
      </c>
      <c r="H14" s="25">
        <v>21624.0</v>
      </c>
      <c r="I14" s="25" t="s">
        <v>6737</v>
      </c>
      <c r="J14" s="26" t="s">
        <v>6721</v>
      </c>
    </row>
    <row r="15" ht="17.25" customHeight="1">
      <c r="B15" s="25" t="s">
        <v>577</v>
      </c>
      <c r="C15" s="25" t="s">
        <v>6718</v>
      </c>
      <c r="D15" s="25" t="s">
        <v>833</v>
      </c>
      <c r="E15" s="25" t="s">
        <v>6738</v>
      </c>
      <c r="F15" s="25" t="s">
        <v>833</v>
      </c>
      <c r="G15" s="25">
        <v>6.631724176E7</v>
      </c>
      <c r="H15" s="25">
        <v>149700.32</v>
      </c>
      <c r="I15" s="25" t="s">
        <v>6739</v>
      </c>
      <c r="J15" s="26" t="s">
        <v>6721</v>
      </c>
    </row>
    <row r="16" ht="17.25" customHeight="1">
      <c r="B16" s="25" t="s">
        <v>577</v>
      </c>
      <c r="C16" s="25" t="s">
        <v>6718</v>
      </c>
      <c r="D16" s="25" t="s">
        <v>870</v>
      </c>
      <c r="E16" s="25" t="s">
        <v>6740</v>
      </c>
      <c r="F16" s="25" t="s">
        <v>870</v>
      </c>
      <c r="G16" s="25">
        <v>6.152938193E7</v>
      </c>
      <c r="H16" s="25">
        <v>138892.51</v>
      </c>
      <c r="I16" s="25" t="s">
        <v>6741</v>
      </c>
      <c r="J16" s="26" t="s">
        <v>6721</v>
      </c>
    </row>
    <row r="17" ht="17.25" customHeight="1">
      <c r="B17" s="25" t="s">
        <v>577</v>
      </c>
      <c r="C17" s="25" t="s">
        <v>6718</v>
      </c>
      <c r="D17" s="25" t="s">
        <v>874</v>
      </c>
      <c r="E17" s="25" t="s">
        <v>6742</v>
      </c>
      <c r="F17" s="25" t="s">
        <v>874</v>
      </c>
      <c r="G17" s="25">
        <v>9.998288943E7</v>
      </c>
      <c r="H17" s="25">
        <v>225695.01</v>
      </c>
      <c r="I17" s="25" t="s">
        <v>6743</v>
      </c>
      <c r="J17" s="26" t="s">
        <v>6721</v>
      </c>
    </row>
    <row r="18" ht="17.25" customHeight="1">
      <c r="B18" s="25" t="s">
        <v>577</v>
      </c>
      <c r="C18" s="25" t="s">
        <v>6718</v>
      </c>
      <c r="D18" s="25" t="s">
        <v>876</v>
      </c>
      <c r="E18" s="25" t="s">
        <v>6744</v>
      </c>
      <c r="F18" s="25" t="s">
        <v>876</v>
      </c>
      <c r="G18" s="25">
        <v>5.576954909E7</v>
      </c>
      <c r="H18" s="25">
        <v>125890.63</v>
      </c>
      <c r="I18" s="25" t="s">
        <v>6745</v>
      </c>
      <c r="J18" s="26" t="s">
        <v>6721</v>
      </c>
    </row>
    <row r="19" ht="17.25" customHeight="1">
      <c r="B19" s="25" t="s">
        <v>577</v>
      </c>
      <c r="C19" s="25" t="s">
        <v>6718</v>
      </c>
      <c r="D19" s="25" t="s">
        <v>906</v>
      </c>
      <c r="E19" s="25" t="s">
        <v>6746</v>
      </c>
      <c r="F19" s="25" t="s">
        <v>906</v>
      </c>
      <c r="G19" s="25">
        <v>4.743500025E7</v>
      </c>
      <c r="H19" s="25">
        <v>107076.75</v>
      </c>
      <c r="I19" s="25" t="s">
        <v>6747</v>
      </c>
      <c r="J19" s="26" t="s">
        <v>6721</v>
      </c>
    </row>
    <row r="20" ht="17.25" customHeight="1">
      <c r="B20" s="25" t="s">
        <v>577</v>
      </c>
      <c r="C20" s="25" t="s">
        <v>6718</v>
      </c>
      <c r="D20" s="25" t="s">
        <v>1445</v>
      </c>
      <c r="E20" s="25" t="s">
        <v>6748</v>
      </c>
      <c r="F20" s="25" t="s">
        <v>1445</v>
      </c>
      <c r="G20" s="25">
        <v>1.20052205508E9</v>
      </c>
      <c r="H20" s="25">
        <v>2326593.13</v>
      </c>
      <c r="I20" s="25" t="s">
        <v>6749</v>
      </c>
      <c r="J20" s="26" t="s">
        <v>6721</v>
      </c>
    </row>
    <row r="21" ht="17.25" customHeight="1">
      <c r="B21" s="25" t="s">
        <v>577</v>
      </c>
      <c r="C21" s="25" t="s">
        <v>6718</v>
      </c>
      <c r="D21" s="25" t="s">
        <v>923</v>
      </c>
      <c r="E21" s="25" t="s">
        <v>6750</v>
      </c>
      <c r="F21" s="25" t="s">
        <v>923</v>
      </c>
      <c r="G21" s="25">
        <v>5.555282463E7</v>
      </c>
      <c r="H21" s="25">
        <v>125401.41</v>
      </c>
      <c r="I21" s="25" t="s">
        <v>6751</v>
      </c>
      <c r="J21" s="26" t="s">
        <v>6721</v>
      </c>
    </row>
    <row r="22" ht="17.25" customHeight="1">
      <c r="B22" s="25" t="s">
        <v>577</v>
      </c>
      <c r="C22" s="25" t="s">
        <v>6752</v>
      </c>
      <c r="D22" s="25" t="s">
        <v>739</v>
      </c>
      <c r="E22" s="25" t="s">
        <v>6753</v>
      </c>
      <c r="F22" s="25" t="s">
        <v>739</v>
      </c>
      <c r="G22" s="25">
        <v>881746.64</v>
      </c>
      <c r="H22" s="25">
        <v>2639.96</v>
      </c>
      <c r="I22" s="25" t="s">
        <v>6754</v>
      </c>
      <c r="J22" s="25" t="s">
        <v>6752</v>
      </c>
    </row>
    <row r="23" ht="17.25" customHeight="1">
      <c r="B23" s="25" t="s">
        <v>577</v>
      </c>
      <c r="C23" s="25" t="s">
        <v>6752</v>
      </c>
      <c r="D23" s="25" t="s">
        <v>774</v>
      </c>
      <c r="E23" s="25" t="s">
        <v>6755</v>
      </c>
      <c r="F23" s="25" t="s">
        <v>774</v>
      </c>
      <c r="G23" s="25">
        <v>6.632619541E7</v>
      </c>
      <c r="H23" s="25">
        <v>168768.97</v>
      </c>
      <c r="I23" s="25" t="s">
        <v>6756</v>
      </c>
      <c r="J23" s="25" t="s">
        <v>6752</v>
      </c>
    </row>
    <row r="24" ht="17.25" customHeight="1">
      <c r="B24" s="25" t="s">
        <v>577</v>
      </c>
      <c r="C24" s="25" t="s">
        <v>6752</v>
      </c>
      <c r="D24" s="25" t="s">
        <v>776</v>
      </c>
      <c r="E24" s="25" t="s">
        <v>6757</v>
      </c>
      <c r="F24" s="25" t="s">
        <v>776</v>
      </c>
      <c r="G24" s="25">
        <v>3.39358003E7</v>
      </c>
      <c r="H24" s="25">
        <v>101604.23</v>
      </c>
      <c r="I24" s="25" t="s">
        <v>6758</v>
      </c>
      <c r="J24" s="25" t="s">
        <v>6752</v>
      </c>
    </row>
    <row r="25" ht="17.25" customHeight="1">
      <c r="B25" s="25" t="s">
        <v>577</v>
      </c>
      <c r="C25" s="25" t="s">
        <v>6752</v>
      </c>
      <c r="D25" s="25" t="s">
        <v>1061</v>
      </c>
      <c r="E25" s="25" t="s">
        <v>6759</v>
      </c>
      <c r="F25" s="25" t="s">
        <v>1061</v>
      </c>
      <c r="G25" s="25">
        <v>6.9298338488E8</v>
      </c>
      <c r="H25" s="25">
        <v>2302442.77</v>
      </c>
      <c r="I25" s="25" t="s">
        <v>6760</v>
      </c>
      <c r="J25" s="25" t="s">
        <v>6752</v>
      </c>
    </row>
    <row r="26" ht="17.25" customHeight="1">
      <c r="B26" s="25" t="s">
        <v>577</v>
      </c>
      <c r="C26" s="25" t="s">
        <v>6752</v>
      </c>
      <c r="D26" s="25" t="s">
        <v>779</v>
      </c>
      <c r="E26" s="25" t="s">
        <v>6761</v>
      </c>
      <c r="F26" s="25" t="s">
        <v>779</v>
      </c>
      <c r="G26" s="25">
        <v>2.129491482E7</v>
      </c>
      <c r="H26" s="25">
        <v>63757.23</v>
      </c>
      <c r="I26" s="25" t="s">
        <v>6762</v>
      </c>
      <c r="J26" s="25" t="s">
        <v>6752</v>
      </c>
    </row>
    <row r="27" ht="17.25" customHeight="1">
      <c r="B27" s="25" t="s">
        <v>577</v>
      </c>
      <c r="C27" s="25" t="s">
        <v>6752</v>
      </c>
      <c r="D27" s="25" t="s">
        <v>866</v>
      </c>
      <c r="E27" s="25" t="s">
        <v>6763</v>
      </c>
      <c r="F27" s="25" t="s">
        <v>866</v>
      </c>
      <c r="G27" s="25">
        <v>3049796.94</v>
      </c>
      <c r="H27" s="25">
        <v>8360.38</v>
      </c>
      <c r="I27" s="25" t="s">
        <v>6764</v>
      </c>
      <c r="J27" s="25" t="s">
        <v>6752</v>
      </c>
    </row>
    <row r="28" ht="17.25" customHeight="1">
      <c r="B28" s="25" t="s">
        <v>577</v>
      </c>
      <c r="C28" s="25" t="s">
        <v>6752</v>
      </c>
      <c r="D28" s="25" t="s">
        <v>870</v>
      </c>
      <c r="E28" s="25" t="s">
        <v>6765</v>
      </c>
      <c r="F28" s="25" t="s">
        <v>870</v>
      </c>
      <c r="G28" s="25">
        <v>1.331617586E7</v>
      </c>
      <c r="H28" s="25">
        <v>39868.79</v>
      </c>
      <c r="I28" s="25" t="s">
        <v>6766</v>
      </c>
      <c r="J28" s="25" t="s">
        <v>6752</v>
      </c>
    </row>
    <row r="29" ht="17.25" customHeight="1">
      <c r="B29" s="25" t="s">
        <v>577</v>
      </c>
      <c r="C29" s="25" t="s">
        <v>6752</v>
      </c>
      <c r="D29" s="25" t="s">
        <v>874</v>
      </c>
      <c r="E29" s="25" t="s">
        <v>6767</v>
      </c>
      <c r="F29" s="25" t="s">
        <v>874</v>
      </c>
      <c r="G29" s="25">
        <v>1.1754459831E8</v>
      </c>
      <c r="H29" s="25">
        <v>299095.67</v>
      </c>
      <c r="I29" s="25" t="s">
        <v>6768</v>
      </c>
      <c r="J29" s="25" t="s">
        <v>6752</v>
      </c>
    </row>
    <row r="30" ht="17.25" customHeight="1">
      <c r="B30" s="25" t="s">
        <v>577</v>
      </c>
      <c r="C30" s="25" t="s">
        <v>6752</v>
      </c>
      <c r="D30" s="25" t="s">
        <v>999</v>
      </c>
      <c r="E30" s="25" t="s">
        <v>6769</v>
      </c>
      <c r="F30" s="25" t="s">
        <v>999</v>
      </c>
      <c r="G30" s="25">
        <v>5.785099939E7</v>
      </c>
      <c r="H30" s="25">
        <v>173206.69</v>
      </c>
      <c r="I30" s="25" t="s">
        <v>6770</v>
      </c>
      <c r="J30" s="25" t="s">
        <v>6752</v>
      </c>
    </row>
    <row r="31" ht="17.25" customHeight="1">
      <c r="B31" s="25" t="s">
        <v>577</v>
      </c>
      <c r="C31" s="25" t="s">
        <v>6752</v>
      </c>
      <c r="D31" s="25" t="s">
        <v>736</v>
      </c>
      <c r="E31" s="25" t="s">
        <v>6771</v>
      </c>
      <c r="F31" s="25" t="s">
        <v>736</v>
      </c>
      <c r="G31" s="25">
        <v>1.74369209E7</v>
      </c>
      <c r="H31" s="25">
        <v>52206.35</v>
      </c>
      <c r="I31" s="25" t="s">
        <v>6772</v>
      </c>
      <c r="J31" s="25" t="s">
        <v>6752</v>
      </c>
    </row>
    <row r="32" ht="17.25" customHeight="1">
      <c r="B32" s="25" t="s">
        <v>577</v>
      </c>
      <c r="C32" s="25" t="s">
        <v>6773</v>
      </c>
      <c r="D32" s="25" t="s">
        <v>783</v>
      </c>
      <c r="E32" s="25" t="s">
        <v>6774</v>
      </c>
      <c r="F32" s="25" t="s">
        <v>783</v>
      </c>
      <c r="G32" s="25">
        <v>1.144306884E7</v>
      </c>
      <c r="H32" s="25">
        <v>69774.81</v>
      </c>
      <c r="I32" s="25" t="s">
        <v>6775</v>
      </c>
      <c r="J32" s="25" t="s">
        <v>6773</v>
      </c>
    </row>
    <row r="33" ht="17.25" customHeight="1">
      <c r="B33" s="25" t="s">
        <v>577</v>
      </c>
      <c r="C33" s="25" t="s">
        <v>6773</v>
      </c>
      <c r="D33" s="25" t="s">
        <v>792</v>
      </c>
      <c r="E33" s="25" t="s">
        <v>6776</v>
      </c>
      <c r="F33" s="25" t="s">
        <v>792</v>
      </c>
      <c r="G33" s="25">
        <v>8999796.51</v>
      </c>
      <c r="H33" s="25">
        <v>46631.07</v>
      </c>
      <c r="I33" s="25" t="s">
        <v>6777</v>
      </c>
      <c r="J33" s="25" t="s">
        <v>6773</v>
      </c>
    </row>
    <row r="34" ht="17.25" customHeight="1">
      <c r="B34" s="25" t="s">
        <v>577</v>
      </c>
      <c r="C34" s="25" t="s">
        <v>6773</v>
      </c>
      <c r="D34" s="25" t="s">
        <v>862</v>
      </c>
      <c r="E34" s="25" t="s">
        <v>6778</v>
      </c>
      <c r="F34" s="25" t="s">
        <v>862</v>
      </c>
      <c r="G34" s="25">
        <v>1.525343616E7</v>
      </c>
      <c r="H34" s="25">
        <v>79444.98</v>
      </c>
      <c r="I34" s="25" t="s">
        <v>6779</v>
      </c>
      <c r="J34" s="25" t="s">
        <v>6773</v>
      </c>
    </row>
    <row r="35" ht="17.25" customHeight="1">
      <c r="B35" s="25" t="s">
        <v>577</v>
      </c>
      <c r="C35" s="25" t="s">
        <v>6773</v>
      </c>
      <c r="D35" s="25" t="s">
        <v>736</v>
      </c>
      <c r="E35" s="25" t="s">
        <v>6780</v>
      </c>
      <c r="F35" s="25" t="s">
        <v>736</v>
      </c>
      <c r="G35" s="25">
        <v>4.32154268E7</v>
      </c>
      <c r="H35" s="25">
        <v>263508.7</v>
      </c>
      <c r="I35" s="25" t="s">
        <v>6781</v>
      </c>
      <c r="J35" s="25" t="s">
        <v>6773</v>
      </c>
    </row>
    <row r="36" ht="17.25" customHeight="1">
      <c r="A36" s="77"/>
      <c r="B36" s="78" t="s">
        <v>577</v>
      </c>
      <c r="C36" s="78" t="s">
        <v>6773</v>
      </c>
      <c r="D36" s="78" t="s">
        <v>941</v>
      </c>
      <c r="E36" s="78" t="s">
        <v>111</v>
      </c>
      <c r="F36" s="78" t="s">
        <v>941</v>
      </c>
      <c r="G36" s="78">
        <v>1.13368409309E9</v>
      </c>
      <c r="H36" s="78">
        <v>3591055.74</v>
      </c>
      <c r="I36" s="78" t="s">
        <v>6782</v>
      </c>
      <c r="J36" s="78" t="s">
        <v>6773</v>
      </c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7.25" customHeight="1">
      <c r="B37" s="25" t="s">
        <v>577</v>
      </c>
      <c r="C37" s="25" t="s">
        <v>6783</v>
      </c>
      <c r="D37" s="25" t="s">
        <v>739</v>
      </c>
      <c r="E37" s="25" t="s">
        <v>6784</v>
      </c>
      <c r="F37" s="25" t="s">
        <v>739</v>
      </c>
      <c r="G37" s="25">
        <v>2.135899125E7</v>
      </c>
      <c r="H37" s="25">
        <v>31642.95</v>
      </c>
      <c r="I37" s="25" t="s">
        <v>6785</v>
      </c>
      <c r="J37" s="26" t="s">
        <v>6786</v>
      </c>
    </row>
    <row r="38" ht="17.25" customHeight="1">
      <c r="B38" s="25" t="s">
        <v>577</v>
      </c>
      <c r="C38" s="25" t="s">
        <v>6783</v>
      </c>
      <c r="D38" s="25" t="s">
        <v>695</v>
      </c>
      <c r="E38" s="25" t="s">
        <v>6787</v>
      </c>
      <c r="F38" s="25" t="s">
        <v>695</v>
      </c>
      <c r="G38" s="25">
        <v>6.4407263613E8</v>
      </c>
      <c r="H38" s="25">
        <v>1074880.95</v>
      </c>
      <c r="I38" s="25" t="s">
        <v>6788</v>
      </c>
      <c r="J38" s="26" t="s">
        <v>6786</v>
      </c>
    </row>
    <row r="39" ht="17.25" customHeight="1">
      <c r="B39" s="25" t="s">
        <v>577</v>
      </c>
      <c r="C39" s="25" t="s">
        <v>6783</v>
      </c>
      <c r="D39" s="25" t="s">
        <v>705</v>
      </c>
      <c r="E39" s="25" t="s">
        <v>6789</v>
      </c>
      <c r="F39" s="25" t="s">
        <v>705</v>
      </c>
      <c r="G39" s="25">
        <v>9.048112045E7</v>
      </c>
      <c r="H39" s="25">
        <v>208601.1</v>
      </c>
      <c r="I39" s="25" t="s">
        <v>6790</v>
      </c>
      <c r="J39" s="26" t="s">
        <v>6786</v>
      </c>
    </row>
    <row r="40" ht="17.25" customHeight="1">
      <c r="B40" s="25" t="s">
        <v>577</v>
      </c>
      <c r="C40" s="25" t="s">
        <v>6783</v>
      </c>
      <c r="D40" s="25" t="s">
        <v>749</v>
      </c>
      <c r="E40" s="25" t="s">
        <v>6791</v>
      </c>
      <c r="F40" s="25" t="s">
        <v>749</v>
      </c>
      <c r="G40" s="25">
        <v>9.29372346E7</v>
      </c>
      <c r="H40" s="25">
        <v>157863.76</v>
      </c>
      <c r="I40" s="25" t="s">
        <v>6792</v>
      </c>
      <c r="J40" s="26" t="s">
        <v>6786</v>
      </c>
    </row>
    <row r="41" ht="17.25" customHeight="1">
      <c r="B41" s="25" t="s">
        <v>577</v>
      </c>
      <c r="C41" s="25" t="s">
        <v>6783</v>
      </c>
      <c r="D41" s="25" t="s">
        <v>751</v>
      </c>
      <c r="E41" s="25" t="s">
        <v>6793</v>
      </c>
      <c r="F41" s="25" t="s">
        <v>751</v>
      </c>
      <c r="G41" s="25">
        <v>1924681.5</v>
      </c>
      <c r="H41" s="25">
        <v>4139.1</v>
      </c>
      <c r="I41" s="25" t="s">
        <v>6794</v>
      </c>
      <c r="J41" s="26" t="s">
        <v>6786</v>
      </c>
    </row>
    <row r="42" ht="17.25" customHeight="1">
      <c r="B42" s="25" t="s">
        <v>577</v>
      </c>
      <c r="C42" s="25" t="s">
        <v>6783</v>
      </c>
      <c r="D42" s="25" t="s">
        <v>757</v>
      </c>
      <c r="E42" s="25" t="s">
        <v>6795</v>
      </c>
      <c r="F42" s="25" t="s">
        <v>757</v>
      </c>
      <c r="G42" s="25">
        <v>2.6531881459E8</v>
      </c>
      <c r="H42" s="25">
        <v>348215.06</v>
      </c>
      <c r="I42" s="25" t="s">
        <v>6796</v>
      </c>
      <c r="J42" s="26" t="s">
        <v>6786</v>
      </c>
    </row>
    <row r="43" ht="17.25" customHeight="1">
      <c r="B43" s="25" t="s">
        <v>577</v>
      </c>
      <c r="C43" s="25" t="s">
        <v>6783</v>
      </c>
      <c r="D43" s="25" t="s">
        <v>759</v>
      </c>
      <c r="E43" s="25" t="s">
        <v>6797</v>
      </c>
      <c r="F43" s="25" t="s">
        <v>759</v>
      </c>
      <c r="G43" s="25">
        <v>1.4723516475E8</v>
      </c>
      <c r="H43" s="25">
        <v>218126.17</v>
      </c>
      <c r="I43" s="25" t="s">
        <v>6798</v>
      </c>
      <c r="J43" s="26" t="s">
        <v>6786</v>
      </c>
    </row>
    <row r="44" ht="17.25" customHeight="1">
      <c r="B44" s="25" t="s">
        <v>577</v>
      </c>
      <c r="C44" s="25" t="s">
        <v>6783</v>
      </c>
      <c r="D44" s="25" t="s">
        <v>761</v>
      </c>
      <c r="E44" s="25" t="s">
        <v>6799</v>
      </c>
      <c r="F44" s="25" t="s">
        <v>761</v>
      </c>
      <c r="G44" s="25">
        <v>5.4713907075E8</v>
      </c>
      <c r="H44" s="25">
        <v>1030674.43</v>
      </c>
      <c r="I44" s="25" t="s">
        <v>6800</v>
      </c>
      <c r="J44" s="26" t="s">
        <v>6786</v>
      </c>
    </row>
    <row r="45" ht="17.25" customHeight="1">
      <c r="B45" s="25" t="s">
        <v>577</v>
      </c>
      <c r="C45" s="25" t="s">
        <v>6783</v>
      </c>
      <c r="D45" s="25" t="s">
        <v>763</v>
      </c>
      <c r="E45" s="25" t="s">
        <v>6801</v>
      </c>
      <c r="F45" s="25" t="s">
        <v>763</v>
      </c>
      <c r="G45" s="25">
        <v>6033826.85</v>
      </c>
      <c r="H45" s="25">
        <v>10974.21</v>
      </c>
      <c r="I45" s="25" t="s">
        <v>6802</v>
      </c>
      <c r="J45" s="26" t="s">
        <v>6786</v>
      </c>
    </row>
    <row r="46" ht="17.25" customHeight="1">
      <c r="B46" s="25" t="s">
        <v>577</v>
      </c>
      <c r="C46" s="25" t="s">
        <v>6783</v>
      </c>
      <c r="D46" s="25" t="s">
        <v>765</v>
      </c>
      <c r="E46" s="25" t="s">
        <v>6803</v>
      </c>
      <c r="F46" s="25" t="s">
        <v>765</v>
      </c>
      <c r="G46" s="25">
        <v>1.662587583E8</v>
      </c>
      <c r="H46" s="25">
        <v>258620.8</v>
      </c>
      <c r="I46" s="25" t="s">
        <v>6804</v>
      </c>
      <c r="J46" s="26" t="s">
        <v>6786</v>
      </c>
    </row>
    <row r="47" ht="17.25" customHeight="1">
      <c r="B47" s="25" t="s">
        <v>577</v>
      </c>
      <c r="C47" s="25" t="s">
        <v>6783</v>
      </c>
      <c r="D47" s="25" t="s">
        <v>768</v>
      </c>
      <c r="E47" s="25" t="s">
        <v>6805</v>
      </c>
      <c r="F47" s="25" t="s">
        <v>768</v>
      </c>
      <c r="G47" s="25">
        <v>2.05862068E8</v>
      </c>
      <c r="H47" s="25">
        <v>443668.25</v>
      </c>
      <c r="I47" s="25" t="s">
        <v>6806</v>
      </c>
      <c r="J47" s="26" t="s">
        <v>6786</v>
      </c>
    </row>
    <row r="48" ht="17.25" customHeight="1">
      <c r="B48" s="25" t="s">
        <v>577</v>
      </c>
      <c r="C48" s="25" t="s">
        <v>6783</v>
      </c>
      <c r="D48" s="25" t="s">
        <v>768</v>
      </c>
      <c r="E48" s="25" t="s">
        <v>6807</v>
      </c>
      <c r="F48" s="25" t="s">
        <v>768</v>
      </c>
      <c r="G48" s="25">
        <v>1.2063102097E8</v>
      </c>
      <c r="H48" s="25">
        <v>210665.55</v>
      </c>
      <c r="I48" s="25" t="s">
        <v>6808</v>
      </c>
      <c r="J48" s="26" t="s">
        <v>6786</v>
      </c>
    </row>
    <row r="49" ht="17.25" customHeight="1">
      <c r="B49" s="25" t="s">
        <v>577</v>
      </c>
      <c r="C49" s="25" t="s">
        <v>6783</v>
      </c>
      <c r="D49" s="25" t="s">
        <v>770</v>
      </c>
      <c r="E49" s="25" t="s">
        <v>6809</v>
      </c>
      <c r="F49" s="25" t="s">
        <v>770</v>
      </c>
      <c r="G49" s="25">
        <v>1.5247983945E8</v>
      </c>
      <c r="H49" s="25">
        <v>256647.83</v>
      </c>
      <c r="I49" s="25" t="s">
        <v>6810</v>
      </c>
      <c r="J49" s="26" t="s">
        <v>6786</v>
      </c>
    </row>
    <row r="50" ht="17.25" customHeight="1">
      <c r="B50" s="25" t="s">
        <v>577</v>
      </c>
      <c r="C50" s="25" t="s">
        <v>6783</v>
      </c>
      <c r="D50" s="25" t="s">
        <v>1093</v>
      </c>
      <c r="E50" s="25" t="s">
        <v>6811</v>
      </c>
      <c r="F50" s="25" t="s">
        <v>1093</v>
      </c>
      <c r="G50" s="25">
        <v>7.290177465E7</v>
      </c>
      <c r="H50" s="25">
        <v>156778.01</v>
      </c>
      <c r="I50" s="25" t="s">
        <v>6812</v>
      </c>
      <c r="J50" s="26" t="s">
        <v>6786</v>
      </c>
    </row>
    <row r="51" ht="17.25" customHeight="1">
      <c r="B51" s="25" t="s">
        <v>577</v>
      </c>
      <c r="C51" s="25" t="s">
        <v>6783</v>
      </c>
      <c r="D51" s="25" t="s">
        <v>1093</v>
      </c>
      <c r="E51" s="25" t="s">
        <v>6813</v>
      </c>
      <c r="F51" s="25" t="s">
        <v>1101</v>
      </c>
      <c r="G51" s="25">
        <v>6.9077637E7</v>
      </c>
      <c r="H51" s="25">
        <v>102337.24</v>
      </c>
      <c r="I51" s="25" t="s">
        <v>6814</v>
      </c>
      <c r="J51" s="26" t="s">
        <v>6786</v>
      </c>
    </row>
    <row r="52" ht="17.25" customHeight="1">
      <c r="B52" s="25" t="s">
        <v>577</v>
      </c>
      <c r="C52" s="25" t="s">
        <v>6783</v>
      </c>
      <c r="D52" s="25" t="s">
        <v>726</v>
      </c>
      <c r="E52" s="25" t="s">
        <v>6815</v>
      </c>
      <c r="F52" s="25" t="s">
        <v>726</v>
      </c>
      <c r="G52" s="25">
        <v>2.4812692785E8</v>
      </c>
      <c r="H52" s="25">
        <v>459414.99</v>
      </c>
      <c r="I52" s="25" t="s">
        <v>6816</v>
      </c>
      <c r="J52" s="26" t="s">
        <v>6786</v>
      </c>
    </row>
    <row r="53" ht="17.25" customHeight="1">
      <c r="B53" s="25" t="s">
        <v>577</v>
      </c>
      <c r="C53" s="25" t="s">
        <v>6783</v>
      </c>
      <c r="D53" s="25" t="s">
        <v>774</v>
      </c>
      <c r="E53" s="25" t="s">
        <v>6817</v>
      </c>
      <c r="F53" s="25" t="s">
        <v>774</v>
      </c>
      <c r="G53" s="25">
        <v>1.65222756724E9</v>
      </c>
      <c r="H53" s="25">
        <v>2900262.34</v>
      </c>
      <c r="I53" s="25" t="s">
        <v>6818</v>
      </c>
      <c r="J53" s="26" t="s">
        <v>6786</v>
      </c>
    </row>
    <row r="54" ht="17.25" customHeight="1">
      <c r="B54" s="25" t="s">
        <v>577</v>
      </c>
      <c r="C54" s="25" t="s">
        <v>6783</v>
      </c>
      <c r="D54" s="25" t="s">
        <v>776</v>
      </c>
      <c r="E54" s="25" t="s">
        <v>6819</v>
      </c>
      <c r="F54" s="25" t="s">
        <v>776</v>
      </c>
      <c r="G54" s="25">
        <v>3.6039262466E8</v>
      </c>
      <c r="H54" s="25">
        <v>587101.33</v>
      </c>
      <c r="I54" s="25" t="s">
        <v>6820</v>
      </c>
      <c r="J54" s="26" t="s">
        <v>6786</v>
      </c>
    </row>
    <row r="55" ht="17.25" customHeight="1">
      <c r="B55" s="25" t="s">
        <v>577</v>
      </c>
      <c r="C55" s="25" t="s">
        <v>6783</v>
      </c>
      <c r="D55" s="25" t="s">
        <v>1098</v>
      </c>
      <c r="E55" s="25" t="s">
        <v>6821</v>
      </c>
      <c r="F55" s="25" t="s">
        <v>1098</v>
      </c>
      <c r="G55" s="25">
        <v>4205460.0</v>
      </c>
      <c r="H55" s="25">
        <v>9044.0</v>
      </c>
      <c r="I55" s="25" t="s">
        <v>6822</v>
      </c>
      <c r="J55" s="26" t="s">
        <v>6786</v>
      </c>
    </row>
    <row r="56" ht="17.25" customHeight="1">
      <c r="B56" s="25" t="s">
        <v>577</v>
      </c>
      <c r="C56" s="25" t="s">
        <v>6783</v>
      </c>
      <c r="D56" s="25" t="s">
        <v>779</v>
      </c>
      <c r="E56" s="25" t="s">
        <v>6823</v>
      </c>
      <c r="F56" s="25" t="s">
        <v>779</v>
      </c>
      <c r="G56" s="25">
        <v>5.257087275E7</v>
      </c>
      <c r="H56" s="25">
        <v>93360.49</v>
      </c>
      <c r="I56" s="25" t="s">
        <v>6824</v>
      </c>
      <c r="J56" s="26" t="s">
        <v>6786</v>
      </c>
    </row>
    <row r="57" ht="17.25" customHeight="1">
      <c r="B57" s="25" t="s">
        <v>577</v>
      </c>
      <c r="C57" s="25" t="s">
        <v>6783</v>
      </c>
      <c r="D57" s="25" t="s">
        <v>783</v>
      </c>
      <c r="E57" s="25" t="s">
        <v>6825</v>
      </c>
      <c r="F57" s="25" t="s">
        <v>783</v>
      </c>
      <c r="G57" s="25">
        <v>8.71896015E7</v>
      </c>
      <c r="H57" s="25">
        <v>129169.78</v>
      </c>
      <c r="I57" s="25" t="s">
        <v>6826</v>
      </c>
      <c r="J57" s="26" t="s">
        <v>6786</v>
      </c>
    </row>
    <row r="58" ht="17.25" customHeight="1">
      <c r="B58" s="25" t="s">
        <v>577</v>
      </c>
      <c r="C58" s="25" t="s">
        <v>6783</v>
      </c>
      <c r="D58" s="25" t="s">
        <v>708</v>
      </c>
      <c r="E58" s="25" t="s">
        <v>6827</v>
      </c>
      <c r="F58" s="25" t="s">
        <v>708</v>
      </c>
      <c r="G58" s="25">
        <v>4139129.15</v>
      </c>
      <c r="H58" s="25">
        <v>7736.69</v>
      </c>
      <c r="I58" s="25" t="s">
        <v>6828</v>
      </c>
      <c r="J58" s="26" t="s">
        <v>6786</v>
      </c>
    </row>
    <row r="59" ht="17.25" customHeight="1">
      <c r="B59" s="25" t="s">
        <v>577</v>
      </c>
      <c r="C59" s="25" t="s">
        <v>6783</v>
      </c>
      <c r="D59" s="25" t="s">
        <v>786</v>
      </c>
      <c r="E59" s="25" t="s">
        <v>6829</v>
      </c>
      <c r="F59" s="25" t="s">
        <v>786</v>
      </c>
      <c r="G59" s="25">
        <v>7.88091549E7</v>
      </c>
      <c r="H59" s="25">
        <v>132770.96</v>
      </c>
      <c r="I59" s="25" t="s">
        <v>6830</v>
      </c>
      <c r="J59" s="26" t="s">
        <v>6786</v>
      </c>
    </row>
    <row r="60" ht="17.25" customHeight="1">
      <c r="B60" s="25" t="s">
        <v>577</v>
      </c>
      <c r="C60" s="25" t="s">
        <v>6783</v>
      </c>
      <c r="D60" s="25" t="s">
        <v>788</v>
      </c>
      <c r="E60" s="25" t="s">
        <v>6831</v>
      </c>
      <c r="F60" s="25" t="s">
        <v>788</v>
      </c>
      <c r="G60" s="25">
        <v>7.0022178E7</v>
      </c>
      <c r="H60" s="25">
        <v>103736.56</v>
      </c>
      <c r="I60" s="25" t="s">
        <v>6832</v>
      </c>
      <c r="J60" s="26" t="s">
        <v>6786</v>
      </c>
    </row>
    <row r="61" ht="17.25" customHeight="1">
      <c r="B61" s="25" t="s">
        <v>577</v>
      </c>
      <c r="C61" s="25" t="s">
        <v>6783</v>
      </c>
      <c r="D61" s="25" t="s">
        <v>790</v>
      </c>
      <c r="E61" s="25" t="s">
        <v>6833</v>
      </c>
      <c r="F61" s="25" t="s">
        <v>790</v>
      </c>
      <c r="G61" s="25">
        <v>1.93228794E7</v>
      </c>
      <c r="H61" s="25">
        <v>31359.68</v>
      </c>
      <c r="I61" s="25" t="s">
        <v>6834</v>
      </c>
      <c r="J61" s="26" t="s">
        <v>6786</v>
      </c>
    </row>
    <row r="62" ht="17.25" customHeight="1">
      <c r="B62" s="25" t="s">
        <v>577</v>
      </c>
      <c r="C62" s="25" t="s">
        <v>6783</v>
      </c>
      <c r="D62" s="25" t="s">
        <v>792</v>
      </c>
      <c r="E62" s="25" t="s">
        <v>6835</v>
      </c>
      <c r="F62" s="25" t="s">
        <v>792</v>
      </c>
      <c r="G62" s="25">
        <v>4.6104687E7</v>
      </c>
      <c r="H62" s="25">
        <v>68303.24</v>
      </c>
      <c r="I62" s="25" t="s">
        <v>6836</v>
      </c>
      <c r="J62" s="26" t="s">
        <v>6786</v>
      </c>
    </row>
    <row r="63" ht="17.25" customHeight="1">
      <c r="B63" s="25" t="s">
        <v>577</v>
      </c>
      <c r="C63" s="25" t="s">
        <v>6783</v>
      </c>
      <c r="D63" s="25" t="s">
        <v>792</v>
      </c>
      <c r="E63" s="25" t="s">
        <v>6837</v>
      </c>
      <c r="F63" s="25" t="s">
        <v>792</v>
      </c>
      <c r="G63" s="25">
        <v>1.246246035E7</v>
      </c>
      <c r="H63" s="25">
        <v>26800.99</v>
      </c>
      <c r="I63" s="25" t="s">
        <v>6838</v>
      </c>
      <c r="J63" s="26" t="s">
        <v>6786</v>
      </c>
    </row>
    <row r="64" ht="17.25" customHeight="1">
      <c r="B64" s="25" t="s">
        <v>577</v>
      </c>
      <c r="C64" s="25" t="s">
        <v>6783</v>
      </c>
      <c r="D64" s="25" t="s">
        <v>794</v>
      </c>
      <c r="E64" s="25" t="s">
        <v>6839</v>
      </c>
      <c r="F64" s="25" t="s">
        <v>794</v>
      </c>
      <c r="G64" s="25">
        <v>2.710642893E8</v>
      </c>
      <c r="H64" s="25">
        <v>526006.46</v>
      </c>
      <c r="I64" s="25" t="s">
        <v>6840</v>
      </c>
      <c r="J64" s="26" t="s">
        <v>6786</v>
      </c>
    </row>
    <row r="65" ht="17.25" customHeight="1">
      <c r="B65" s="25" t="s">
        <v>577</v>
      </c>
      <c r="C65" s="25" t="s">
        <v>6783</v>
      </c>
      <c r="D65" s="25" t="s">
        <v>800</v>
      </c>
      <c r="E65" s="25" t="s">
        <v>6841</v>
      </c>
      <c r="F65" s="25" t="s">
        <v>800</v>
      </c>
      <c r="G65" s="25">
        <v>8.384643075E7</v>
      </c>
      <c r="H65" s="25">
        <v>160222.29</v>
      </c>
      <c r="I65" s="25" t="s">
        <v>6842</v>
      </c>
      <c r="J65" s="26" t="s">
        <v>6786</v>
      </c>
    </row>
    <row r="66" ht="17.25" customHeight="1">
      <c r="B66" s="25" t="s">
        <v>577</v>
      </c>
      <c r="C66" s="25" t="s">
        <v>6783</v>
      </c>
      <c r="D66" s="25" t="s">
        <v>953</v>
      </c>
      <c r="E66" s="25" t="s">
        <v>6843</v>
      </c>
      <c r="F66" s="25" t="s">
        <v>953</v>
      </c>
      <c r="G66" s="25">
        <v>1.63923694E7</v>
      </c>
      <c r="H66" s="25">
        <v>39122.6</v>
      </c>
      <c r="I66" s="25" t="s">
        <v>6844</v>
      </c>
      <c r="J66" s="26" t="s">
        <v>6786</v>
      </c>
    </row>
    <row r="67" ht="17.25" customHeight="1">
      <c r="B67" s="25" t="s">
        <v>577</v>
      </c>
      <c r="C67" s="25" t="s">
        <v>6783</v>
      </c>
      <c r="D67" s="25" t="s">
        <v>804</v>
      </c>
      <c r="E67" s="25" t="s">
        <v>6845</v>
      </c>
      <c r="F67" s="25" t="s">
        <v>804</v>
      </c>
      <c r="G67" s="25">
        <v>2.76982923E7</v>
      </c>
      <c r="H67" s="25">
        <v>59566.22</v>
      </c>
      <c r="I67" s="25" t="s">
        <v>6846</v>
      </c>
      <c r="J67" s="26" t="s">
        <v>6786</v>
      </c>
    </row>
    <row r="68" ht="17.25" customHeight="1">
      <c r="B68" s="25" t="s">
        <v>577</v>
      </c>
      <c r="C68" s="25" t="s">
        <v>6783</v>
      </c>
      <c r="D68" s="25" t="s">
        <v>1024</v>
      </c>
      <c r="E68" s="25" t="s">
        <v>6847</v>
      </c>
      <c r="F68" s="25" t="s">
        <v>1024</v>
      </c>
      <c r="G68" s="25">
        <v>3.275451165E7</v>
      </c>
      <c r="H68" s="25">
        <v>70439.81</v>
      </c>
      <c r="I68" s="25" t="s">
        <v>6848</v>
      </c>
      <c r="J68" s="26" t="s">
        <v>6786</v>
      </c>
    </row>
    <row r="69" ht="17.25" customHeight="1">
      <c r="B69" s="25" t="s">
        <v>577</v>
      </c>
      <c r="C69" s="25" t="s">
        <v>6783</v>
      </c>
      <c r="D69" s="25" t="s">
        <v>810</v>
      </c>
      <c r="E69" s="25" t="s">
        <v>6849</v>
      </c>
      <c r="F69" s="25" t="s">
        <v>810</v>
      </c>
      <c r="G69" s="25">
        <v>3.752796486E8</v>
      </c>
      <c r="H69" s="25">
        <v>717842.84</v>
      </c>
      <c r="I69" s="25" t="s">
        <v>6850</v>
      </c>
      <c r="J69" s="26" t="s">
        <v>6786</v>
      </c>
    </row>
    <row r="70" ht="17.25" customHeight="1">
      <c r="B70" s="25" t="s">
        <v>577</v>
      </c>
      <c r="C70" s="25" t="s">
        <v>6783</v>
      </c>
      <c r="D70" s="25" t="s">
        <v>812</v>
      </c>
      <c r="E70" s="25" t="s">
        <v>6851</v>
      </c>
      <c r="F70" s="25" t="s">
        <v>812</v>
      </c>
      <c r="G70" s="25">
        <v>1.16124975E7</v>
      </c>
      <c r="H70" s="25">
        <v>17203.7</v>
      </c>
      <c r="I70" s="25" t="s">
        <v>6852</v>
      </c>
      <c r="J70" s="26" t="s">
        <v>6786</v>
      </c>
    </row>
    <row r="71" ht="17.25" customHeight="1">
      <c r="B71" s="25" t="s">
        <v>577</v>
      </c>
      <c r="C71" s="25" t="s">
        <v>6783</v>
      </c>
      <c r="D71" s="25" t="s">
        <v>814</v>
      </c>
      <c r="E71" s="25" t="s">
        <v>6853</v>
      </c>
      <c r="F71" s="25" t="s">
        <v>814</v>
      </c>
      <c r="G71" s="25">
        <v>3.175329225E7</v>
      </c>
      <c r="H71" s="25">
        <v>68286.65</v>
      </c>
      <c r="I71" s="25" t="s">
        <v>6854</v>
      </c>
      <c r="J71" s="26" t="s">
        <v>6786</v>
      </c>
    </row>
    <row r="72" ht="17.25" customHeight="1">
      <c r="B72" s="25" t="s">
        <v>577</v>
      </c>
      <c r="C72" s="25" t="s">
        <v>6783</v>
      </c>
      <c r="D72" s="25" t="s">
        <v>816</v>
      </c>
      <c r="E72" s="25" t="s">
        <v>6855</v>
      </c>
      <c r="F72" s="25" t="s">
        <v>816</v>
      </c>
      <c r="G72" s="25">
        <v>1.7489826876E8</v>
      </c>
      <c r="H72" s="25">
        <v>334842.57</v>
      </c>
      <c r="I72" s="25" t="s">
        <v>6856</v>
      </c>
      <c r="J72" s="26" t="s">
        <v>6786</v>
      </c>
    </row>
    <row r="73" ht="17.25" customHeight="1">
      <c r="B73" s="25" t="s">
        <v>577</v>
      </c>
      <c r="C73" s="25" t="s">
        <v>6783</v>
      </c>
      <c r="D73" s="25" t="s">
        <v>818</v>
      </c>
      <c r="E73" s="25" t="s">
        <v>6857</v>
      </c>
      <c r="F73" s="25" t="s">
        <v>818</v>
      </c>
      <c r="G73" s="25">
        <v>1.67025582E7</v>
      </c>
      <c r="H73" s="25">
        <v>35919.48</v>
      </c>
      <c r="I73" s="25" t="s">
        <v>6858</v>
      </c>
      <c r="J73" s="26" t="s">
        <v>6786</v>
      </c>
    </row>
    <row r="74" ht="17.25" customHeight="1">
      <c r="B74" s="25" t="s">
        <v>577</v>
      </c>
      <c r="C74" s="25" t="s">
        <v>6783</v>
      </c>
      <c r="D74" s="25" t="s">
        <v>6859</v>
      </c>
      <c r="E74" s="25" t="s">
        <v>6860</v>
      </c>
      <c r="F74" s="25" t="s">
        <v>6859</v>
      </c>
      <c r="G74" s="25">
        <v>5.45561348232E9</v>
      </c>
      <c r="H74" s="25">
        <v>8578008.63</v>
      </c>
      <c r="I74" s="25" t="s">
        <v>6861</v>
      </c>
      <c r="J74" s="26" t="s">
        <v>6786</v>
      </c>
    </row>
    <row r="75" ht="17.25" customHeight="1">
      <c r="B75" s="25" t="s">
        <v>577</v>
      </c>
      <c r="C75" s="25" t="s">
        <v>6783</v>
      </c>
      <c r="D75" s="25" t="s">
        <v>822</v>
      </c>
      <c r="E75" s="25" t="s">
        <v>6862</v>
      </c>
      <c r="F75" s="25" t="s">
        <v>822</v>
      </c>
      <c r="G75" s="25">
        <v>8.52234702E7</v>
      </c>
      <c r="H75" s="25">
        <v>183276.28</v>
      </c>
      <c r="I75" s="25" t="s">
        <v>6863</v>
      </c>
      <c r="J75" s="26" t="s">
        <v>6786</v>
      </c>
    </row>
    <row r="76" ht="17.25" customHeight="1">
      <c r="B76" s="25" t="s">
        <v>577</v>
      </c>
      <c r="C76" s="25" t="s">
        <v>6783</v>
      </c>
      <c r="D76" s="25" t="s">
        <v>824</v>
      </c>
      <c r="E76" s="25" t="s">
        <v>6864</v>
      </c>
      <c r="F76" s="25" t="s">
        <v>824</v>
      </c>
      <c r="G76" s="25">
        <v>2876540.16</v>
      </c>
      <c r="H76" s="25">
        <v>6199.44</v>
      </c>
      <c r="I76" s="25" t="s">
        <v>6865</v>
      </c>
      <c r="J76" s="26" t="s">
        <v>6786</v>
      </c>
    </row>
    <row r="77" ht="17.25" customHeight="1">
      <c r="B77" s="25" t="s">
        <v>577</v>
      </c>
      <c r="C77" s="25" t="s">
        <v>6783</v>
      </c>
      <c r="D77" s="25" t="s">
        <v>826</v>
      </c>
      <c r="E77" s="25" t="s">
        <v>6866</v>
      </c>
      <c r="F77" s="25" t="s">
        <v>826</v>
      </c>
      <c r="G77" s="25">
        <v>3.5167129545E8</v>
      </c>
      <c r="H77" s="25">
        <v>619178.31</v>
      </c>
      <c r="I77" s="25" t="s">
        <v>6867</v>
      </c>
      <c r="J77" s="26" t="s">
        <v>6786</v>
      </c>
    </row>
    <row r="78" ht="17.25" customHeight="1">
      <c r="B78" s="25" t="s">
        <v>577</v>
      </c>
      <c r="C78" s="25" t="s">
        <v>6783</v>
      </c>
      <c r="D78" s="25" t="s">
        <v>830</v>
      </c>
      <c r="E78" s="25" t="s">
        <v>6868</v>
      </c>
      <c r="F78" s="25" t="s">
        <v>830</v>
      </c>
      <c r="G78" s="25">
        <v>4.295593464E8</v>
      </c>
      <c r="H78" s="25">
        <v>785418.14</v>
      </c>
      <c r="I78" s="25" t="s">
        <v>6869</v>
      </c>
      <c r="J78" s="26" t="s">
        <v>6786</v>
      </c>
    </row>
    <row r="79" ht="17.25" customHeight="1">
      <c r="B79" s="25" t="s">
        <v>577</v>
      </c>
      <c r="C79" s="25" t="s">
        <v>6783</v>
      </c>
      <c r="D79" s="25" t="s">
        <v>834</v>
      </c>
      <c r="E79" s="25" t="s">
        <v>6870</v>
      </c>
      <c r="F79" s="25" t="s">
        <v>834</v>
      </c>
      <c r="G79" s="25">
        <v>1.3630324185E8</v>
      </c>
      <c r="H79" s="25">
        <v>267214.25</v>
      </c>
      <c r="I79" s="25" t="s">
        <v>6871</v>
      </c>
      <c r="J79" s="26" t="s">
        <v>6786</v>
      </c>
    </row>
    <row r="80" ht="17.25" customHeight="1">
      <c r="B80" s="25" t="s">
        <v>577</v>
      </c>
      <c r="C80" s="25" t="s">
        <v>6783</v>
      </c>
      <c r="D80" s="25" t="s">
        <v>836</v>
      </c>
      <c r="E80" s="25" t="s">
        <v>6872</v>
      </c>
      <c r="F80" s="25" t="s">
        <v>836</v>
      </c>
      <c r="G80" s="25">
        <v>5.879795175E7</v>
      </c>
      <c r="H80" s="25">
        <v>96758.19</v>
      </c>
      <c r="I80" s="25" t="s">
        <v>6873</v>
      </c>
      <c r="J80" s="26" t="s">
        <v>6786</v>
      </c>
    </row>
    <row r="81" ht="17.25" customHeight="1">
      <c r="B81" s="25" t="s">
        <v>577</v>
      </c>
      <c r="C81" s="25" t="s">
        <v>6783</v>
      </c>
      <c r="D81" s="25" t="s">
        <v>839</v>
      </c>
      <c r="E81" s="25" t="s">
        <v>6874</v>
      </c>
      <c r="F81" s="25" t="s">
        <v>839</v>
      </c>
      <c r="G81" s="25">
        <v>3.625451085E7</v>
      </c>
      <c r="H81" s="25">
        <v>77966.69</v>
      </c>
      <c r="I81" s="25" t="s">
        <v>6875</v>
      </c>
      <c r="J81" s="26" t="s">
        <v>6786</v>
      </c>
    </row>
    <row r="82" ht="17.25" customHeight="1">
      <c r="B82" s="25" t="s">
        <v>577</v>
      </c>
      <c r="C82" s="25" t="s">
        <v>6783</v>
      </c>
      <c r="D82" s="25" t="s">
        <v>6876</v>
      </c>
      <c r="E82" s="25" t="s">
        <v>6877</v>
      </c>
      <c r="F82" s="25" t="s">
        <v>1265</v>
      </c>
      <c r="G82" s="25">
        <v>1.0315499085E8</v>
      </c>
      <c r="H82" s="25">
        <v>221838.69</v>
      </c>
      <c r="I82" s="25" t="s">
        <v>6878</v>
      </c>
      <c r="J82" s="26" t="s">
        <v>6786</v>
      </c>
    </row>
    <row r="83" ht="17.25" customHeight="1">
      <c r="B83" s="25" t="s">
        <v>577</v>
      </c>
      <c r="C83" s="25" t="s">
        <v>6783</v>
      </c>
      <c r="D83" s="25" t="s">
        <v>6876</v>
      </c>
      <c r="E83" s="25" t="s">
        <v>6879</v>
      </c>
      <c r="F83" s="25" t="s">
        <v>838</v>
      </c>
      <c r="G83" s="25">
        <v>8.837265375E7</v>
      </c>
      <c r="H83" s="25">
        <v>130922.45</v>
      </c>
      <c r="I83" s="25" t="s">
        <v>6880</v>
      </c>
      <c r="J83" s="26" t="s">
        <v>6786</v>
      </c>
    </row>
    <row r="84" ht="17.25" customHeight="1">
      <c r="B84" s="25" t="s">
        <v>577</v>
      </c>
      <c r="C84" s="25" t="s">
        <v>6783</v>
      </c>
      <c r="D84" s="25" t="s">
        <v>6876</v>
      </c>
      <c r="E84" s="25" t="s">
        <v>6881</v>
      </c>
      <c r="F84" s="25" t="s">
        <v>1101</v>
      </c>
      <c r="G84" s="25">
        <v>3.624175125E7</v>
      </c>
      <c r="H84" s="25">
        <v>77939.25</v>
      </c>
      <c r="I84" s="25" t="s">
        <v>6882</v>
      </c>
      <c r="J84" s="26" t="s">
        <v>6786</v>
      </c>
    </row>
    <row r="85" ht="17.25" customHeight="1">
      <c r="B85" s="25" t="s">
        <v>577</v>
      </c>
      <c r="C85" s="25" t="s">
        <v>6783</v>
      </c>
      <c r="D85" s="25" t="s">
        <v>710</v>
      </c>
      <c r="E85" s="25" t="s">
        <v>6883</v>
      </c>
      <c r="F85" s="25" t="s">
        <v>710</v>
      </c>
      <c r="G85" s="25">
        <v>4.668627816E8</v>
      </c>
      <c r="H85" s="25">
        <v>807929.84</v>
      </c>
      <c r="I85" s="25" t="s">
        <v>6884</v>
      </c>
      <c r="J85" s="26" t="s">
        <v>6786</v>
      </c>
    </row>
    <row r="86" ht="17.25" customHeight="1">
      <c r="B86" s="25" t="s">
        <v>577</v>
      </c>
      <c r="C86" s="25" t="s">
        <v>6783</v>
      </c>
      <c r="D86" s="25" t="s">
        <v>1139</v>
      </c>
      <c r="E86" s="25" t="s">
        <v>6885</v>
      </c>
      <c r="F86" s="25" t="s">
        <v>1139</v>
      </c>
      <c r="G86" s="25">
        <v>1.0912449804E8</v>
      </c>
      <c r="H86" s="25">
        <v>200655.36</v>
      </c>
      <c r="I86" s="25" t="s">
        <v>6886</v>
      </c>
      <c r="J86" s="26" t="s">
        <v>6786</v>
      </c>
    </row>
    <row r="87" ht="17.25" customHeight="1">
      <c r="B87" s="25" t="s">
        <v>577</v>
      </c>
      <c r="C87" s="25" t="s">
        <v>6783</v>
      </c>
      <c r="D87" s="25" t="s">
        <v>842</v>
      </c>
      <c r="E87" s="25" t="s">
        <v>6887</v>
      </c>
      <c r="F87" s="25" t="s">
        <v>842</v>
      </c>
      <c r="G87" s="25">
        <v>3.333163855E7</v>
      </c>
      <c r="H87" s="25">
        <v>79550.45</v>
      </c>
      <c r="I87" s="25" t="s">
        <v>6888</v>
      </c>
      <c r="J87" s="26" t="s">
        <v>6786</v>
      </c>
    </row>
    <row r="88" ht="17.25" customHeight="1">
      <c r="B88" s="25" t="s">
        <v>577</v>
      </c>
      <c r="C88" s="25" t="s">
        <v>6783</v>
      </c>
      <c r="D88" s="25" t="s">
        <v>850</v>
      </c>
      <c r="E88" s="25" t="s">
        <v>6889</v>
      </c>
      <c r="F88" s="25" t="s">
        <v>850</v>
      </c>
      <c r="G88" s="25">
        <v>7.115560034E7</v>
      </c>
      <c r="H88" s="25">
        <v>121099.9</v>
      </c>
      <c r="I88" s="25" t="s">
        <v>6890</v>
      </c>
      <c r="J88" s="26" t="s">
        <v>6786</v>
      </c>
    </row>
    <row r="89" ht="17.25" customHeight="1">
      <c r="B89" s="25" t="s">
        <v>577</v>
      </c>
      <c r="C89" s="25" t="s">
        <v>6783</v>
      </c>
      <c r="D89" s="25" t="s">
        <v>852</v>
      </c>
      <c r="E89" s="25" t="s">
        <v>6891</v>
      </c>
      <c r="F89" s="25" t="s">
        <v>852</v>
      </c>
      <c r="G89" s="25">
        <v>5.303134245E7</v>
      </c>
      <c r="H89" s="25">
        <v>90321.57</v>
      </c>
      <c r="I89" s="25" t="s">
        <v>6892</v>
      </c>
      <c r="J89" s="26" t="s">
        <v>6786</v>
      </c>
    </row>
    <row r="90" ht="17.25" customHeight="1">
      <c r="B90" s="25" t="s">
        <v>577</v>
      </c>
      <c r="C90" s="25" t="s">
        <v>6783</v>
      </c>
      <c r="D90" s="25" t="s">
        <v>728</v>
      </c>
      <c r="E90" s="25" t="s">
        <v>6893</v>
      </c>
      <c r="F90" s="25" t="s">
        <v>728</v>
      </c>
      <c r="G90" s="25">
        <v>2941180.8</v>
      </c>
      <c r="H90" s="25">
        <v>6325.12</v>
      </c>
      <c r="I90" s="25" t="s">
        <v>6894</v>
      </c>
      <c r="J90" s="26" t="s">
        <v>6786</v>
      </c>
    </row>
    <row r="91" ht="17.25" customHeight="1">
      <c r="B91" s="25" t="s">
        <v>577</v>
      </c>
      <c r="C91" s="25" t="s">
        <v>6783</v>
      </c>
      <c r="D91" s="25" t="s">
        <v>856</v>
      </c>
      <c r="E91" s="25" t="s">
        <v>6895</v>
      </c>
      <c r="F91" s="25" t="s">
        <v>856</v>
      </c>
      <c r="G91" s="25">
        <v>1.198340838E8</v>
      </c>
      <c r="H91" s="25">
        <v>286000.2</v>
      </c>
      <c r="I91" s="25" t="s">
        <v>6896</v>
      </c>
      <c r="J91" s="26" t="s">
        <v>6786</v>
      </c>
    </row>
    <row r="92" ht="17.25" customHeight="1">
      <c r="B92" s="25" t="s">
        <v>577</v>
      </c>
      <c r="C92" s="25" t="s">
        <v>6783</v>
      </c>
      <c r="D92" s="25" t="s">
        <v>862</v>
      </c>
      <c r="E92" s="25" t="s">
        <v>6897</v>
      </c>
      <c r="F92" s="25" t="s">
        <v>862</v>
      </c>
      <c r="G92" s="25">
        <v>8.64711768E7</v>
      </c>
      <c r="H92" s="25">
        <v>185959.52</v>
      </c>
      <c r="I92" s="25" t="s">
        <v>6898</v>
      </c>
      <c r="J92" s="26" t="s">
        <v>6786</v>
      </c>
    </row>
    <row r="93" ht="17.25" customHeight="1">
      <c r="B93" s="25" t="s">
        <v>577</v>
      </c>
      <c r="C93" s="25" t="s">
        <v>6783</v>
      </c>
      <c r="D93" s="25" t="s">
        <v>730</v>
      </c>
      <c r="E93" s="25" t="s">
        <v>6899</v>
      </c>
      <c r="F93" s="25" t="s">
        <v>730</v>
      </c>
      <c r="G93" s="25">
        <v>8.125107735E7</v>
      </c>
      <c r="H93" s="25">
        <v>134331.69</v>
      </c>
      <c r="I93" s="25" t="s">
        <v>6900</v>
      </c>
      <c r="J93" s="26" t="s">
        <v>6786</v>
      </c>
    </row>
    <row r="94" ht="17.25" customHeight="1">
      <c r="B94" s="25" t="s">
        <v>577</v>
      </c>
      <c r="C94" s="25" t="s">
        <v>6783</v>
      </c>
      <c r="D94" s="25" t="s">
        <v>713</v>
      </c>
      <c r="E94" s="25" t="s">
        <v>6901</v>
      </c>
      <c r="F94" s="25" t="s">
        <v>713</v>
      </c>
      <c r="G94" s="25">
        <v>2.152591485E7</v>
      </c>
      <c r="H94" s="25">
        <v>46292.29</v>
      </c>
      <c r="I94" s="25" t="s">
        <v>6902</v>
      </c>
      <c r="J94" s="26" t="s">
        <v>6786</v>
      </c>
    </row>
    <row r="95" ht="17.25" customHeight="1">
      <c r="B95" s="25" t="s">
        <v>577</v>
      </c>
      <c r="C95" s="25" t="s">
        <v>6783</v>
      </c>
      <c r="D95" s="25" t="s">
        <v>701</v>
      </c>
      <c r="E95" s="25" t="s">
        <v>6903</v>
      </c>
      <c r="F95" s="25" t="s">
        <v>701</v>
      </c>
      <c r="G95" s="25">
        <v>6.282207195E7</v>
      </c>
      <c r="H95" s="25">
        <v>135101.23</v>
      </c>
      <c r="I95" s="25" t="s">
        <v>6904</v>
      </c>
      <c r="J95" s="26" t="s">
        <v>6786</v>
      </c>
    </row>
    <row r="96" ht="17.25" customHeight="1">
      <c r="B96" s="25" t="s">
        <v>577</v>
      </c>
      <c r="C96" s="25" t="s">
        <v>6783</v>
      </c>
      <c r="D96" s="25" t="s">
        <v>868</v>
      </c>
      <c r="E96" s="25" t="s">
        <v>6905</v>
      </c>
      <c r="F96" s="25" t="s">
        <v>868</v>
      </c>
      <c r="G96" s="25">
        <v>3.834135255E7</v>
      </c>
      <c r="H96" s="25">
        <v>65953.25</v>
      </c>
      <c r="I96" s="25" t="s">
        <v>6906</v>
      </c>
      <c r="J96" s="26" t="s">
        <v>6786</v>
      </c>
    </row>
    <row r="97" ht="17.25" customHeight="1">
      <c r="B97" s="25" t="s">
        <v>577</v>
      </c>
      <c r="C97" s="25" t="s">
        <v>6783</v>
      </c>
      <c r="D97" s="25" t="s">
        <v>1038</v>
      </c>
      <c r="E97" s="25" t="s">
        <v>6907</v>
      </c>
      <c r="F97" s="25" t="s">
        <v>1038</v>
      </c>
      <c r="G97" s="25">
        <v>1.452247732E7</v>
      </c>
      <c r="H97" s="25">
        <v>31502.12</v>
      </c>
      <c r="I97" s="25" t="s">
        <v>6908</v>
      </c>
      <c r="J97" s="26" t="s">
        <v>6786</v>
      </c>
    </row>
    <row r="98" ht="17.25" customHeight="1">
      <c r="B98" s="25" t="s">
        <v>577</v>
      </c>
      <c r="C98" s="25" t="s">
        <v>6783</v>
      </c>
      <c r="D98" s="25" t="s">
        <v>1040</v>
      </c>
      <c r="E98" s="25" t="s">
        <v>6909</v>
      </c>
      <c r="F98" s="25" t="s">
        <v>1040</v>
      </c>
      <c r="G98" s="25">
        <v>6.397469535E7</v>
      </c>
      <c r="H98" s="25">
        <v>137579.99</v>
      </c>
      <c r="I98" s="25" t="s">
        <v>6910</v>
      </c>
      <c r="J98" s="26" t="s">
        <v>6786</v>
      </c>
    </row>
    <row r="99" ht="17.25" customHeight="1">
      <c r="B99" s="25" t="s">
        <v>577</v>
      </c>
      <c r="C99" s="25" t="s">
        <v>6783</v>
      </c>
      <c r="D99" s="25" t="s">
        <v>734</v>
      </c>
      <c r="E99" s="25" t="s">
        <v>6911</v>
      </c>
      <c r="F99" s="25" t="s">
        <v>734</v>
      </c>
      <c r="G99" s="25">
        <v>8.54211537E7</v>
      </c>
      <c r="H99" s="25">
        <v>147526.44</v>
      </c>
      <c r="I99" s="25" t="s">
        <v>6912</v>
      </c>
      <c r="J99" s="26" t="s">
        <v>6786</v>
      </c>
    </row>
    <row r="100" ht="17.25" customHeight="1">
      <c r="B100" s="25" t="s">
        <v>577</v>
      </c>
      <c r="C100" s="25" t="s">
        <v>6783</v>
      </c>
      <c r="D100" s="25" t="s">
        <v>6454</v>
      </c>
      <c r="E100" s="25" t="s">
        <v>6913</v>
      </c>
      <c r="F100" s="25" t="s">
        <v>6454</v>
      </c>
      <c r="G100" s="25">
        <v>1.314240012E7</v>
      </c>
      <c r="H100" s="25">
        <v>28632.68</v>
      </c>
      <c r="I100" s="25" t="s">
        <v>6914</v>
      </c>
      <c r="J100" s="26" t="s">
        <v>6786</v>
      </c>
    </row>
    <row r="101" ht="17.25" customHeight="1">
      <c r="B101" s="25" t="s">
        <v>577</v>
      </c>
      <c r="C101" s="25" t="s">
        <v>6783</v>
      </c>
      <c r="D101" s="25" t="s">
        <v>874</v>
      </c>
      <c r="E101" s="25" t="s">
        <v>6915</v>
      </c>
      <c r="F101" s="25" t="s">
        <v>874</v>
      </c>
      <c r="G101" s="25">
        <v>7.1922364227E8</v>
      </c>
      <c r="H101" s="25">
        <v>1017135.46</v>
      </c>
      <c r="I101" s="25" t="s">
        <v>6916</v>
      </c>
      <c r="J101" s="26" t="s">
        <v>6786</v>
      </c>
    </row>
    <row r="102" ht="17.25" customHeight="1">
      <c r="B102" s="25" t="s">
        <v>577</v>
      </c>
      <c r="C102" s="25" t="s">
        <v>6783</v>
      </c>
      <c r="D102" s="25" t="s">
        <v>999</v>
      </c>
      <c r="E102" s="25" t="s">
        <v>6917</v>
      </c>
      <c r="F102" s="25" t="s">
        <v>999</v>
      </c>
      <c r="G102" s="25">
        <v>1.990104945E8</v>
      </c>
      <c r="H102" s="25">
        <v>328067.14</v>
      </c>
      <c r="I102" s="25" t="s">
        <v>6918</v>
      </c>
      <c r="J102" s="26" t="s">
        <v>6786</v>
      </c>
    </row>
    <row r="103" ht="17.25" customHeight="1">
      <c r="B103" s="25" t="s">
        <v>577</v>
      </c>
      <c r="C103" s="25" t="s">
        <v>6783</v>
      </c>
      <c r="D103" s="25" t="s">
        <v>876</v>
      </c>
      <c r="E103" s="25" t="s">
        <v>6919</v>
      </c>
      <c r="F103" s="25" t="s">
        <v>876</v>
      </c>
      <c r="G103" s="25">
        <v>4.537747575E7</v>
      </c>
      <c r="H103" s="25">
        <v>67225.89</v>
      </c>
      <c r="I103" s="25" t="s">
        <v>6920</v>
      </c>
      <c r="J103" s="26" t="s">
        <v>6786</v>
      </c>
    </row>
    <row r="104" ht="17.25" customHeight="1">
      <c r="B104" s="25" t="s">
        <v>577</v>
      </c>
      <c r="C104" s="25" t="s">
        <v>6783</v>
      </c>
      <c r="D104" s="25" t="s">
        <v>878</v>
      </c>
      <c r="E104" s="25" t="s">
        <v>6921</v>
      </c>
      <c r="F104" s="25" t="s">
        <v>878</v>
      </c>
      <c r="G104" s="25">
        <v>2.72642055E7</v>
      </c>
      <c r="H104" s="25">
        <v>58632.7</v>
      </c>
      <c r="I104" s="25" t="s">
        <v>6922</v>
      </c>
      <c r="J104" s="26" t="s">
        <v>6786</v>
      </c>
    </row>
    <row r="105" ht="17.25" customHeight="1">
      <c r="B105" s="25" t="s">
        <v>577</v>
      </c>
      <c r="C105" s="25" t="s">
        <v>6783</v>
      </c>
      <c r="D105" s="25" t="s">
        <v>880</v>
      </c>
      <c r="E105" s="25" t="s">
        <v>6923</v>
      </c>
      <c r="F105" s="25" t="s">
        <v>880</v>
      </c>
      <c r="G105" s="25">
        <v>1.106789181E8</v>
      </c>
      <c r="H105" s="25">
        <v>190895.96</v>
      </c>
      <c r="I105" s="25" t="s">
        <v>6924</v>
      </c>
      <c r="J105" s="26" t="s">
        <v>6786</v>
      </c>
    </row>
    <row r="106" ht="17.25" customHeight="1">
      <c r="B106" s="25" t="s">
        <v>577</v>
      </c>
      <c r="C106" s="25" t="s">
        <v>6783</v>
      </c>
      <c r="D106" s="25" t="s">
        <v>882</v>
      </c>
      <c r="E106" s="25" t="s">
        <v>6925</v>
      </c>
      <c r="F106" s="25" t="s">
        <v>882</v>
      </c>
      <c r="G106" s="25">
        <v>4.866880688E7</v>
      </c>
      <c r="H106" s="25">
        <v>104889.67</v>
      </c>
      <c r="I106" s="25" t="s">
        <v>6926</v>
      </c>
      <c r="J106" s="26" t="s">
        <v>6786</v>
      </c>
    </row>
    <row r="107" ht="17.25" customHeight="1">
      <c r="B107" s="25" t="s">
        <v>577</v>
      </c>
      <c r="C107" s="25" t="s">
        <v>6783</v>
      </c>
      <c r="D107" s="25" t="s">
        <v>888</v>
      </c>
      <c r="E107" s="25" t="s">
        <v>6927</v>
      </c>
      <c r="F107" s="25" t="s">
        <v>888</v>
      </c>
      <c r="G107" s="25">
        <v>2.6136243E7</v>
      </c>
      <c r="H107" s="25">
        <v>40885.88</v>
      </c>
      <c r="I107" s="25" t="s">
        <v>6928</v>
      </c>
      <c r="J107" s="26" t="s">
        <v>6786</v>
      </c>
    </row>
    <row r="108" ht="17.25" customHeight="1">
      <c r="B108" s="25" t="s">
        <v>577</v>
      </c>
      <c r="C108" s="25" t="s">
        <v>6783</v>
      </c>
      <c r="D108" s="25" t="s">
        <v>894</v>
      </c>
      <c r="E108" s="25" t="s">
        <v>6929</v>
      </c>
      <c r="F108" s="25" t="s">
        <v>894</v>
      </c>
      <c r="G108" s="25">
        <v>1.0477181437E8</v>
      </c>
      <c r="H108" s="25">
        <v>180736.95</v>
      </c>
      <c r="I108" s="25" t="s">
        <v>6930</v>
      </c>
      <c r="J108" s="26" t="s">
        <v>6786</v>
      </c>
    </row>
    <row r="109" ht="17.25" customHeight="1">
      <c r="B109" s="25" t="s">
        <v>577</v>
      </c>
      <c r="C109" s="25" t="s">
        <v>6783</v>
      </c>
      <c r="D109" s="25" t="s">
        <v>1591</v>
      </c>
      <c r="E109" s="25" t="s">
        <v>6931</v>
      </c>
      <c r="F109" s="25" t="s">
        <v>1591</v>
      </c>
      <c r="G109" s="25">
        <v>2.701786905E8</v>
      </c>
      <c r="H109" s="25">
        <v>563681.64</v>
      </c>
      <c r="I109" s="25" t="s">
        <v>6932</v>
      </c>
      <c r="J109" s="26" t="s">
        <v>6786</v>
      </c>
    </row>
    <row r="110" ht="17.25" customHeight="1">
      <c r="B110" s="25" t="s">
        <v>577</v>
      </c>
      <c r="C110" s="25" t="s">
        <v>6783</v>
      </c>
      <c r="D110" s="25" t="s">
        <v>898</v>
      </c>
      <c r="E110" s="25" t="s">
        <v>6933</v>
      </c>
      <c r="F110" s="25" t="s">
        <v>898</v>
      </c>
      <c r="G110" s="25">
        <v>5.03275392E7</v>
      </c>
      <c r="H110" s="25">
        <v>96448.14</v>
      </c>
      <c r="I110" s="25" t="s">
        <v>6934</v>
      </c>
      <c r="J110" s="26" t="s">
        <v>6786</v>
      </c>
    </row>
    <row r="111" ht="17.25" customHeight="1">
      <c r="B111" s="25" t="s">
        <v>577</v>
      </c>
      <c r="C111" s="25" t="s">
        <v>6783</v>
      </c>
      <c r="D111" s="25" t="s">
        <v>900</v>
      </c>
      <c r="E111" s="25" t="s">
        <v>6935</v>
      </c>
      <c r="F111" s="25" t="s">
        <v>900</v>
      </c>
      <c r="G111" s="25">
        <v>6.465655174E7</v>
      </c>
      <c r="H111" s="25">
        <v>139646.98</v>
      </c>
      <c r="I111" s="25" t="s">
        <v>6936</v>
      </c>
      <c r="J111" s="26" t="s">
        <v>6786</v>
      </c>
    </row>
    <row r="112" ht="17.25" customHeight="1">
      <c r="B112" s="25" t="s">
        <v>577</v>
      </c>
      <c r="C112" s="25" t="s">
        <v>6783</v>
      </c>
      <c r="D112" s="25" t="s">
        <v>902</v>
      </c>
      <c r="E112" s="25" t="s">
        <v>6937</v>
      </c>
      <c r="F112" s="25" t="s">
        <v>902</v>
      </c>
      <c r="G112" s="25">
        <v>3.333758445E7</v>
      </c>
      <c r="H112" s="25">
        <v>71693.73</v>
      </c>
      <c r="I112" s="25" t="s">
        <v>6938</v>
      </c>
      <c r="J112" s="26" t="s">
        <v>6786</v>
      </c>
    </row>
    <row r="113" ht="17.25" customHeight="1">
      <c r="B113" s="25" t="s">
        <v>577</v>
      </c>
      <c r="C113" s="25" t="s">
        <v>6783</v>
      </c>
      <c r="D113" s="25" t="s">
        <v>904</v>
      </c>
      <c r="E113" s="25" t="s">
        <v>6939</v>
      </c>
      <c r="F113" s="25" t="s">
        <v>904</v>
      </c>
      <c r="G113" s="25">
        <v>1.091561925E7</v>
      </c>
      <c r="H113" s="25">
        <v>23474.45</v>
      </c>
      <c r="I113" s="25" t="s">
        <v>6940</v>
      </c>
      <c r="J113" s="26" t="s">
        <v>6786</v>
      </c>
    </row>
    <row r="114" ht="17.25" customHeight="1">
      <c r="B114" s="25" t="s">
        <v>577</v>
      </c>
      <c r="C114" s="25" t="s">
        <v>6783</v>
      </c>
      <c r="D114" s="25" t="s">
        <v>906</v>
      </c>
      <c r="E114" s="25" t="s">
        <v>6941</v>
      </c>
      <c r="F114" s="25" t="s">
        <v>906</v>
      </c>
      <c r="G114" s="25">
        <v>2.2467054165E8</v>
      </c>
      <c r="H114" s="25">
        <v>390120.46</v>
      </c>
      <c r="I114" s="25" t="s">
        <v>6942</v>
      </c>
      <c r="J114" s="26" t="s">
        <v>6786</v>
      </c>
    </row>
    <row r="115" ht="17.25" customHeight="1">
      <c r="B115" s="25" t="s">
        <v>577</v>
      </c>
      <c r="C115" s="25" t="s">
        <v>6783</v>
      </c>
      <c r="D115" s="25" t="s">
        <v>908</v>
      </c>
      <c r="E115" s="25" t="s">
        <v>6943</v>
      </c>
      <c r="F115" s="25" t="s">
        <v>908</v>
      </c>
      <c r="G115" s="25">
        <v>1.943490285E7</v>
      </c>
      <c r="H115" s="25">
        <v>41795.49</v>
      </c>
      <c r="I115" s="25" t="s">
        <v>6944</v>
      </c>
      <c r="J115" s="26" t="s">
        <v>6786</v>
      </c>
    </row>
    <row r="116" ht="17.25" customHeight="1">
      <c r="B116" s="25" t="s">
        <v>577</v>
      </c>
      <c r="C116" s="25" t="s">
        <v>6783</v>
      </c>
      <c r="D116" s="25" t="s">
        <v>717</v>
      </c>
      <c r="E116" s="25" t="s">
        <v>6945</v>
      </c>
      <c r="F116" s="25" t="s">
        <v>717</v>
      </c>
      <c r="G116" s="25">
        <v>1.9374216765E8</v>
      </c>
      <c r="H116" s="25">
        <v>368376.59</v>
      </c>
      <c r="I116" s="25" t="s">
        <v>6946</v>
      </c>
      <c r="J116" s="26" t="s">
        <v>6786</v>
      </c>
    </row>
    <row r="117" ht="17.25" customHeight="1">
      <c r="B117" s="25" t="s">
        <v>577</v>
      </c>
      <c r="C117" s="25" t="s">
        <v>6783</v>
      </c>
      <c r="D117" s="25" t="s">
        <v>913</v>
      </c>
      <c r="E117" s="25" t="s">
        <v>6947</v>
      </c>
      <c r="F117" s="25" t="s">
        <v>913</v>
      </c>
      <c r="G117" s="25">
        <v>1282124.7</v>
      </c>
      <c r="H117" s="25">
        <v>2793.3</v>
      </c>
      <c r="I117" s="25" t="s">
        <v>6948</v>
      </c>
      <c r="J117" s="26" t="s">
        <v>6786</v>
      </c>
    </row>
    <row r="118" ht="17.25" customHeight="1">
      <c r="B118" s="25" t="s">
        <v>577</v>
      </c>
      <c r="C118" s="25" t="s">
        <v>6783</v>
      </c>
      <c r="D118" s="25" t="s">
        <v>915</v>
      </c>
      <c r="E118" s="25" t="s">
        <v>6949</v>
      </c>
      <c r="F118" s="25" t="s">
        <v>915</v>
      </c>
      <c r="G118" s="25">
        <v>1.047199774E7</v>
      </c>
      <c r="H118" s="25">
        <v>19144.42</v>
      </c>
      <c r="I118" s="25" t="s">
        <v>6950</v>
      </c>
      <c r="J118" s="26" t="s">
        <v>6786</v>
      </c>
    </row>
    <row r="119" ht="17.25" customHeight="1">
      <c r="B119" s="25" t="s">
        <v>577</v>
      </c>
      <c r="C119" s="25" t="s">
        <v>6783</v>
      </c>
      <c r="D119" s="25" t="s">
        <v>917</v>
      </c>
      <c r="E119" s="25" t="s">
        <v>6951</v>
      </c>
      <c r="F119" s="25" t="s">
        <v>917</v>
      </c>
      <c r="G119" s="25">
        <v>2.5553746499E9</v>
      </c>
      <c r="H119" s="25">
        <v>3526807.3</v>
      </c>
      <c r="I119" s="25" t="s">
        <v>6952</v>
      </c>
      <c r="J119" s="26" t="s">
        <v>6786</v>
      </c>
    </row>
    <row r="120" ht="17.25" customHeight="1">
      <c r="B120" s="25" t="s">
        <v>577</v>
      </c>
      <c r="C120" s="25" t="s">
        <v>6783</v>
      </c>
      <c r="D120" s="25" t="s">
        <v>917</v>
      </c>
      <c r="E120" s="25" t="s">
        <v>6953</v>
      </c>
      <c r="F120" s="25" t="s">
        <v>917</v>
      </c>
      <c r="G120" s="25">
        <v>1.48241338496E9</v>
      </c>
      <c r="H120" s="25">
        <v>1839559.42</v>
      </c>
      <c r="I120" s="25" t="s">
        <v>6954</v>
      </c>
      <c r="J120" s="26" t="s">
        <v>6786</v>
      </c>
    </row>
    <row r="121" ht="17.25" customHeight="1">
      <c r="B121" s="25" t="s">
        <v>577</v>
      </c>
      <c r="C121" s="25" t="s">
        <v>6783</v>
      </c>
      <c r="D121" s="25" t="s">
        <v>919</v>
      </c>
      <c r="E121" s="25" t="s">
        <v>6955</v>
      </c>
      <c r="F121" s="25" t="s">
        <v>919</v>
      </c>
      <c r="G121" s="25">
        <v>1.248518348E7</v>
      </c>
      <c r="H121" s="25">
        <v>23468.39</v>
      </c>
      <c r="I121" s="25" t="s">
        <v>6956</v>
      </c>
      <c r="J121" s="26" t="s">
        <v>6786</v>
      </c>
    </row>
    <row r="122" ht="17.25" customHeight="1">
      <c r="B122" s="25" t="s">
        <v>577</v>
      </c>
      <c r="C122" s="25" t="s">
        <v>6783</v>
      </c>
      <c r="D122" s="25" t="s">
        <v>925</v>
      </c>
      <c r="E122" s="25" t="s">
        <v>6957</v>
      </c>
      <c r="F122" s="25" t="s">
        <v>925</v>
      </c>
      <c r="G122" s="25">
        <v>3455103.96</v>
      </c>
      <c r="H122" s="25">
        <v>7478.58</v>
      </c>
      <c r="I122" s="25" t="s">
        <v>6958</v>
      </c>
      <c r="J122" s="26" t="s">
        <v>6786</v>
      </c>
    </row>
    <row r="123" ht="17.25" customHeight="1">
      <c r="B123" s="25" t="s">
        <v>577</v>
      </c>
      <c r="C123" s="25" t="s">
        <v>6783</v>
      </c>
      <c r="D123" s="25" t="s">
        <v>927</v>
      </c>
      <c r="E123" s="25" t="s">
        <v>6959</v>
      </c>
      <c r="F123" s="25" t="s">
        <v>927</v>
      </c>
      <c r="G123" s="25">
        <v>7.752029565E7</v>
      </c>
      <c r="H123" s="25">
        <v>137663.33</v>
      </c>
      <c r="I123" s="25" t="s">
        <v>6960</v>
      </c>
      <c r="J123" s="26" t="s">
        <v>6786</v>
      </c>
    </row>
    <row r="124" ht="17.25" customHeight="1">
      <c r="B124" s="25" t="s">
        <v>577</v>
      </c>
      <c r="C124" s="25" t="s">
        <v>6783</v>
      </c>
      <c r="D124" s="25" t="s">
        <v>931</v>
      </c>
      <c r="E124" s="25" t="s">
        <v>6961</v>
      </c>
      <c r="F124" s="25" t="s">
        <v>931</v>
      </c>
      <c r="G124" s="25">
        <v>1.673168806E7</v>
      </c>
      <c r="H124" s="25">
        <v>36532.07</v>
      </c>
      <c r="I124" s="25" t="s">
        <v>6962</v>
      </c>
      <c r="J124" s="26" t="s">
        <v>6786</v>
      </c>
    </row>
    <row r="125" ht="17.25" customHeight="1">
      <c r="B125" s="25" t="s">
        <v>577</v>
      </c>
      <c r="C125" s="25" t="s">
        <v>6783</v>
      </c>
      <c r="D125" s="25" t="s">
        <v>933</v>
      </c>
      <c r="E125" s="25" t="s">
        <v>6963</v>
      </c>
      <c r="F125" s="25" t="s">
        <v>933</v>
      </c>
      <c r="G125" s="25">
        <v>1.521246291E8</v>
      </c>
      <c r="H125" s="25">
        <v>327149.74</v>
      </c>
      <c r="I125" s="25" t="s">
        <v>6964</v>
      </c>
      <c r="J125" s="26" t="s">
        <v>6786</v>
      </c>
    </row>
    <row r="126" ht="17.25" customHeight="1">
      <c r="B126" s="25" t="s">
        <v>577</v>
      </c>
      <c r="C126" s="25" t="s">
        <v>6783</v>
      </c>
      <c r="D126" s="25" t="s">
        <v>935</v>
      </c>
      <c r="E126" s="25" t="s">
        <v>6965</v>
      </c>
      <c r="F126" s="25" t="s">
        <v>935</v>
      </c>
      <c r="G126" s="25">
        <v>2.682464322E8</v>
      </c>
      <c r="H126" s="25">
        <v>528077.68</v>
      </c>
      <c r="I126" s="25" t="s">
        <v>6966</v>
      </c>
      <c r="J126" s="26" t="s">
        <v>6786</v>
      </c>
    </row>
    <row r="127" ht="17.25" customHeight="1">
      <c r="B127" s="25" t="s">
        <v>577</v>
      </c>
      <c r="C127" s="25" t="s">
        <v>6783</v>
      </c>
      <c r="D127" s="25" t="s">
        <v>937</v>
      </c>
      <c r="E127" s="25" t="s">
        <v>6967</v>
      </c>
      <c r="F127" s="25" t="s">
        <v>937</v>
      </c>
      <c r="G127" s="25">
        <v>4794072.75</v>
      </c>
      <c r="H127" s="25">
        <v>7102.33</v>
      </c>
      <c r="I127" s="25" t="s">
        <v>6968</v>
      </c>
      <c r="J127" s="26" t="s">
        <v>6786</v>
      </c>
    </row>
    <row r="128" ht="17.25" customHeight="1">
      <c r="B128" s="25" t="s">
        <v>577</v>
      </c>
      <c r="C128" s="25" t="s">
        <v>6783</v>
      </c>
      <c r="D128" s="25" t="s">
        <v>736</v>
      </c>
      <c r="E128" s="25" t="s">
        <v>6969</v>
      </c>
      <c r="F128" s="25" t="s">
        <v>736</v>
      </c>
      <c r="G128" s="25">
        <v>4.362635565E7</v>
      </c>
      <c r="H128" s="25">
        <v>90667.41</v>
      </c>
      <c r="I128" s="25" t="s">
        <v>6970</v>
      </c>
      <c r="J128" s="26" t="s">
        <v>6786</v>
      </c>
    </row>
    <row r="129" ht="17.25" customHeight="1">
      <c r="B129" s="25" t="s">
        <v>577</v>
      </c>
      <c r="C129" s="25" t="s">
        <v>6783</v>
      </c>
      <c r="D129" s="25" t="s">
        <v>1050</v>
      </c>
      <c r="E129" s="25" t="s">
        <v>6971</v>
      </c>
      <c r="F129" s="25" t="s">
        <v>1050</v>
      </c>
      <c r="G129" s="25">
        <v>1.999480005E7</v>
      </c>
      <c r="H129" s="25">
        <v>42999.57</v>
      </c>
      <c r="I129" s="25" t="s">
        <v>6972</v>
      </c>
      <c r="J129" s="26" t="s">
        <v>6786</v>
      </c>
    </row>
    <row r="130" ht="17.25" customHeight="1">
      <c r="B130" s="25" t="s">
        <v>577</v>
      </c>
      <c r="C130" s="25" t="s">
        <v>6973</v>
      </c>
      <c r="D130" s="25" t="s">
        <v>705</v>
      </c>
      <c r="E130" s="25" t="s">
        <v>6974</v>
      </c>
      <c r="F130" s="25" t="s">
        <v>705</v>
      </c>
      <c r="G130" s="25">
        <v>1.026095865E7</v>
      </c>
      <c r="H130" s="25">
        <v>33864.55</v>
      </c>
      <c r="I130" s="25" t="s">
        <v>6975</v>
      </c>
      <c r="J130" s="26" t="s">
        <v>6976</v>
      </c>
    </row>
    <row r="131" ht="17.25" customHeight="1">
      <c r="B131" s="25" t="s">
        <v>577</v>
      </c>
      <c r="C131" s="25" t="s">
        <v>6973</v>
      </c>
      <c r="D131" s="25" t="s">
        <v>749</v>
      </c>
      <c r="E131" s="25" t="s">
        <v>6977</v>
      </c>
      <c r="F131" s="25" t="s">
        <v>749</v>
      </c>
      <c r="G131" s="25">
        <v>1.577388183E7</v>
      </c>
      <c r="H131" s="25">
        <v>28837.08</v>
      </c>
      <c r="I131" s="25" t="s">
        <v>6978</v>
      </c>
      <c r="J131" s="26" t="s">
        <v>6976</v>
      </c>
    </row>
    <row r="132" ht="17.25" customHeight="1">
      <c r="B132" s="25" t="s">
        <v>577</v>
      </c>
      <c r="C132" s="25" t="s">
        <v>6973</v>
      </c>
      <c r="D132" s="25" t="s">
        <v>751</v>
      </c>
      <c r="E132" s="25" t="s">
        <v>6979</v>
      </c>
      <c r="F132" s="25" t="s">
        <v>751</v>
      </c>
      <c r="G132" s="25">
        <v>1.6795658705E8</v>
      </c>
      <c r="H132" s="25">
        <v>478508.8</v>
      </c>
      <c r="I132" s="25" t="s">
        <v>6980</v>
      </c>
      <c r="J132" s="26" t="s">
        <v>6976</v>
      </c>
    </row>
    <row r="133" ht="17.25" customHeight="1">
      <c r="B133" s="25" t="s">
        <v>577</v>
      </c>
      <c r="C133" s="25" t="s">
        <v>6973</v>
      </c>
      <c r="D133" s="25" t="s">
        <v>757</v>
      </c>
      <c r="E133" s="25" t="s">
        <v>6981</v>
      </c>
      <c r="F133" s="25" t="s">
        <v>757</v>
      </c>
      <c r="G133" s="25">
        <v>3.852012336E7</v>
      </c>
      <c r="H133" s="25">
        <v>127129.12</v>
      </c>
      <c r="I133" s="25" t="s">
        <v>6982</v>
      </c>
      <c r="J133" s="26" t="s">
        <v>6976</v>
      </c>
    </row>
    <row r="134" ht="17.25" customHeight="1">
      <c r="B134" s="25" t="s">
        <v>577</v>
      </c>
      <c r="C134" s="25" t="s">
        <v>6973</v>
      </c>
      <c r="D134" s="25" t="s">
        <v>761</v>
      </c>
      <c r="E134" s="25" t="s">
        <v>6983</v>
      </c>
      <c r="F134" s="25" t="s">
        <v>761</v>
      </c>
      <c r="G134" s="25">
        <v>4.062170712E7</v>
      </c>
      <c r="H134" s="25">
        <v>134065.04</v>
      </c>
      <c r="I134" s="25" t="s">
        <v>6984</v>
      </c>
      <c r="J134" s="26" t="s">
        <v>6976</v>
      </c>
    </row>
    <row r="135" ht="17.25" customHeight="1">
      <c r="B135" s="25" t="s">
        <v>577</v>
      </c>
      <c r="C135" s="25" t="s">
        <v>6973</v>
      </c>
      <c r="D135" s="25" t="s">
        <v>768</v>
      </c>
      <c r="E135" s="25" t="s">
        <v>6985</v>
      </c>
      <c r="F135" s="25" t="s">
        <v>768</v>
      </c>
      <c r="G135" s="25">
        <v>3.596511534E7</v>
      </c>
      <c r="H135" s="25">
        <v>100742.62</v>
      </c>
      <c r="I135" s="25" t="s">
        <v>6986</v>
      </c>
      <c r="J135" s="26" t="s">
        <v>6976</v>
      </c>
    </row>
    <row r="136" ht="17.25" customHeight="1">
      <c r="B136" s="25" t="s">
        <v>577</v>
      </c>
      <c r="C136" s="25" t="s">
        <v>6973</v>
      </c>
      <c r="D136" s="25" t="s">
        <v>770</v>
      </c>
      <c r="E136" s="25" t="s">
        <v>6987</v>
      </c>
      <c r="F136" s="25" t="s">
        <v>770</v>
      </c>
      <c r="G136" s="25">
        <v>1.784726964E7</v>
      </c>
      <c r="H136" s="25">
        <v>58901.88</v>
      </c>
      <c r="I136" s="25" t="s">
        <v>6988</v>
      </c>
      <c r="J136" s="26" t="s">
        <v>6976</v>
      </c>
    </row>
    <row r="137" ht="17.25" customHeight="1">
      <c r="B137" s="25" t="s">
        <v>577</v>
      </c>
      <c r="C137" s="25" t="s">
        <v>6973</v>
      </c>
      <c r="D137" s="25" t="s">
        <v>1093</v>
      </c>
      <c r="E137" s="25" t="s">
        <v>6989</v>
      </c>
      <c r="F137" s="25" t="s">
        <v>1093</v>
      </c>
      <c r="G137" s="25">
        <v>5282065.68</v>
      </c>
      <c r="H137" s="25">
        <v>17432.56</v>
      </c>
      <c r="I137" s="25" t="s">
        <v>6990</v>
      </c>
      <c r="J137" s="26" t="s">
        <v>6976</v>
      </c>
    </row>
    <row r="138" ht="17.25" customHeight="1">
      <c r="B138" s="25" t="s">
        <v>577</v>
      </c>
      <c r="C138" s="25" t="s">
        <v>6973</v>
      </c>
      <c r="D138" s="25" t="s">
        <v>774</v>
      </c>
      <c r="E138" s="25" t="s">
        <v>6991</v>
      </c>
      <c r="F138" s="25" t="s">
        <v>774</v>
      </c>
      <c r="G138" s="25">
        <v>1.453555523E8</v>
      </c>
      <c r="H138" s="25">
        <v>401916.6</v>
      </c>
      <c r="I138" s="25" t="s">
        <v>6992</v>
      </c>
      <c r="J138" s="26" t="s">
        <v>6976</v>
      </c>
    </row>
    <row r="139" ht="17.25" customHeight="1">
      <c r="B139" s="25" t="s">
        <v>577</v>
      </c>
      <c r="C139" s="25" t="s">
        <v>6973</v>
      </c>
      <c r="D139" s="25" t="s">
        <v>806</v>
      </c>
      <c r="E139" s="25" t="s">
        <v>6993</v>
      </c>
      <c r="F139" s="25" t="s">
        <v>806</v>
      </c>
      <c r="G139" s="25">
        <v>3967820.62</v>
      </c>
      <c r="H139" s="25">
        <v>13095.14</v>
      </c>
      <c r="I139" s="25" t="s">
        <v>6994</v>
      </c>
      <c r="J139" s="26" t="s">
        <v>6976</v>
      </c>
    </row>
    <row r="140" ht="17.25" customHeight="1">
      <c r="B140" s="25" t="s">
        <v>577</v>
      </c>
      <c r="C140" s="25" t="s">
        <v>6973</v>
      </c>
      <c r="D140" s="25" t="s">
        <v>810</v>
      </c>
      <c r="E140" s="25" t="s">
        <v>6995</v>
      </c>
      <c r="F140" s="25" t="s">
        <v>810</v>
      </c>
      <c r="G140" s="25">
        <v>2.828366832E7</v>
      </c>
      <c r="H140" s="25">
        <v>93345.44</v>
      </c>
      <c r="I140" s="25" t="s">
        <v>6996</v>
      </c>
      <c r="J140" s="26" t="s">
        <v>6976</v>
      </c>
    </row>
    <row r="141" ht="17.25" customHeight="1">
      <c r="B141" s="25" t="s">
        <v>577</v>
      </c>
      <c r="C141" s="25" t="s">
        <v>6973</v>
      </c>
      <c r="D141" s="25" t="s">
        <v>814</v>
      </c>
      <c r="E141" s="25" t="s">
        <v>6997</v>
      </c>
      <c r="F141" s="25" t="s">
        <v>814</v>
      </c>
      <c r="G141" s="25">
        <v>1.282802618E7</v>
      </c>
      <c r="H141" s="25">
        <v>36135.29</v>
      </c>
      <c r="I141" s="25" t="s">
        <v>6998</v>
      </c>
      <c r="J141" s="26" t="s">
        <v>6976</v>
      </c>
    </row>
    <row r="142" ht="17.25" customHeight="1">
      <c r="B142" s="25" t="s">
        <v>577</v>
      </c>
      <c r="C142" s="25" t="s">
        <v>6973</v>
      </c>
      <c r="D142" s="25" t="s">
        <v>822</v>
      </c>
      <c r="E142" s="25" t="s">
        <v>6999</v>
      </c>
      <c r="F142" s="25" t="s">
        <v>822</v>
      </c>
      <c r="G142" s="25">
        <v>320731.56</v>
      </c>
      <c r="H142" s="25">
        <v>1058.52</v>
      </c>
      <c r="I142" s="25" t="s">
        <v>7000</v>
      </c>
      <c r="J142" s="26" t="s">
        <v>6976</v>
      </c>
    </row>
    <row r="143" ht="17.25" customHeight="1">
      <c r="B143" s="25" t="s">
        <v>577</v>
      </c>
      <c r="C143" s="25" t="s">
        <v>6973</v>
      </c>
      <c r="D143" s="25" t="s">
        <v>824</v>
      </c>
      <c r="E143" s="25" t="s">
        <v>7001</v>
      </c>
      <c r="F143" s="25" t="s">
        <v>824</v>
      </c>
      <c r="G143" s="25">
        <v>1613075.04</v>
      </c>
      <c r="H143" s="25">
        <v>5323.68</v>
      </c>
      <c r="I143" s="25" t="s">
        <v>7002</v>
      </c>
      <c r="J143" s="26" t="s">
        <v>6976</v>
      </c>
    </row>
    <row r="144" ht="17.25" customHeight="1">
      <c r="B144" s="25" t="s">
        <v>577</v>
      </c>
      <c r="C144" s="25" t="s">
        <v>6973</v>
      </c>
      <c r="D144" s="25" t="s">
        <v>826</v>
      </c>
      <c r="E144" s="25" t="s">
        <v>7003</v>
      </c>
      <c r="F144" s="25" t="s">
        <v>826</v>
      </c>
      <c r="G144" s="25">
        <v>9363694.23</v>
      </c>
      <c r="H144" s="25">
        <v>31527.59</v>
      </c>
      <c r="I144" s="25" t="s">
        <v>7004</v>
      </c>
      <c r="J144" s="26" t="s">
        <v>6976</v>
      </c>
    </row>
    <row r="145" ht="17.25" customHeight="1">
      <c r="B145" s="25" t="s">
        <v>577</v>
      </c>
      <c r="C145" s="25" t="s">
        <v>6973</v>
      </c>
      <c r="D145" s="25" t="s">
        <v>836</v>
      </c>
      <c r="E145" s="25" t="s">
        <v>7005</v>
      </c>
      <c r="F145" s="25" t="s">
        <v>836</v>
      </c>
      <c r="G145" s="25">
        <v>5237297.43</v>
      </c>
      <c r="H145" s="25">
        <v>17284.81</v>
      </c>
      <c r="I145" s="25" t="s">
        <v>7006</v>
      </c>
      <c r="J145" s="26" t="s">
        <v>6976</v>
      </c>
    </row>
    <row r="146" ht="17.25" customHeight="1">
      <c r="B146" s="25" t="s">
        <v>577</v>
      </c>
      <c r="C146" s="25" t="s">
        <v>6973</v>
      </c>
      <c r="D146" s="25" t="s">
        <v>842</v>
      </c>
      <c r="E146" s="25" t="s">
        <v>7007</v>
      </c>
      <c r="F146" s="25" t="s">
        <v>842</v>
      </c>
      <c r="G146" s="25">
        <v>1.577844776E7</v>
      </c>
      <c r="H146" s="25">
        <v>52074.09</v>
      </c>
      <c r="I146" s="25" t="s">
        <v>7008</v>
      </c>
      <c r="J146" s="26" t="s">
        <v>6976</v>
      </c>
    </row>
    <row r="147" ht="17.25" customHeight="1">
      <c r="B147" s="25" t="s">
        <v>577</v>
      </c>
      <c r="C147" s="25" t="s">
        <v>6973</v>
      </c>
      <c r="D147" s="25" t="s">
        <v>842</v>
      </c>
      <c r="E147" s="25" t="s">
        <v>7009</v>
      </c>
      <c r="F147" s="25" t="s">
        <v>6454</v>
      </c>
      <c r="G147" s="25">
        <v>2967572.8</v>
      </c>
      <c r="H147" s="25">
        <v>9826.4</v>
      </c>
      <c r="I147" s="25" t="s">
        <v>7010</v>
      </c>
      <c r="J147" s="26" t="s">
        <v>6976</v>
      </c>
    </row>
    <row r="148" ht="17.25" customHeight="1">
      <c r="B148" s="25" t="s">
        <v>577</v>
      </c>
      <c r="C148" s="25" t="s">
        <v>6973</v>
      </c>
      <c r="D148" s="25" t="s">
        <v>852</v>
      </c>
      <c r="E148" s="25" t="s">
        <v>7011</v>
      </c>
      <c r="F148" s="25" t="s">
        <v>852</v>
      </c>
      <c r="G148" s="25">
        <v>1.1382592284E8</v>
      </c>
      <c r="H148" s="25">
        <v>318840.12</v>
      </c>
      <c r="I148" s="25" t="s">
        <v>7012</v>
      </c>
      <c r="J148" s="26" t="s">
        <v>6976</v>
      </c>
    </row>
    <row r="149" ht="17.25" customHeight="1">
      <c r="B149" s="25" t="s">
        <v>577</v>
      </c>
      <c r="C149" s="25" t="s">
        <v>6973</v>
      </c>
      <c r="D149" s="25" t="s">
        <v>856</v>
      </c>
      <c r="E149" s="25" t="s">
        <v>7013</v>
      </c>
      <c r="F149" s="25" t="s">
        <v>856</v>
      </c>
      <c r="G149" s="25">
        <v>8027418.4</v>
      </c>
      <c r="H149" s="25">
        <v>26493.14</v>
      </c>
      <c r="I149" s="25" t="s">
        <v>7014</v>
      </c>
      <c r="J149" s="26" t="s">
        <v>6976</v>
      </c>
    </row>
    <row r="150" ht="17.25" customHeight="1">
      <c r="B150" s="25" t="s">
        <v>577</v>
      </c>
      <c r="C150" s="25" t="s">
        <v>6973</v>
      </c>
      <c r="D150" s="25" t="s">
        <v>730</v>
      </c>
      <c r="E150" s="25" t="s">
        <v>7015</v>
      </c>
      <c r="F150" s="25" t="s">
        <v>730</v>
      </c>
      <c r="G150" s="25">
        <v>2.853548438E7</v>
      </c>
      <c r="H150" s="25">
        <v>80155.86</v>
      </c>
      <c r="I150" s="25" t="s">
        <v>7016</v>
      </c>
      <c r="J150" s="26" t="s">
        <v>6976</v>
      </c>
    </row>
    <row r="151" ht="17.25" customHeight="1">
      <c r="B151" s="25" t="s">
        <v>577</v>
      </c>
      <c r="C151" s="25" t="s">
        <v>6973</v>
      </c>
      <c r="D151" s="25" t="s">
        <v>713</v>
      </c>
      <c r="E151" s="25" t="s">
        <v>7017</v>
      </c>
      <c r="F151" s="25" t="s">
        <v>713</v>
      </c>
      <c r="G151" s="25">
        <v>2.240824556E7</v>
      </c>
      <c r="H151" s="25">
        <v>62944.6</v>
      </c>
      <c r="I151" s="25" t="s">
        <v>7018</v>
      </c>
      <c r="J151" s="26" t="s">
        <v>6976</v>
      </c>
    </row>
    <row r="152" ht="17.25" customHeight="1">
      <c r="B152" s="25" t="s">
        <v>577</v>
      </c>
      <c r="C152" s="25" t="s">
        <v>6973</v>
      </c>
      <c r="D152" s="25" t="s">
        <v>715</v>
      </c>
      <c r="E152" s="25" t="s">
        <v>7019</v>
      </c>
      <c r="F152" s="25" t="s">
        <v>715</v>
      </c>
      <c r="G152" s="25">
        <v>2.488739532E7</v>
      </c>
      <c r="H152" s="25">
        <v>70303.38</v>
      </c>
      <c r="I152" s="25" t="s">
        <v>7020</v>
      </c>
      <c r="J152" s="26" t="s">
        <v>6976</v>
      </c>
    </row>
    <row r="153" ht="17.25" customHeight="1">
      <c r="B153" s="25" t="s">
        <v>577</v>
      </c>
      <c r="C153" s="25" t="s">
        <v>6973</v>
      </c>
      <c r="D153" s="25" t="s">
        <v>868</v>
      </c>
      <c r="E153" s="25" t="s">
        <v>7021</v>
      </c>
      <c r="F153" s="25" t="s">
        <v>868</v>
      </c>
      <c r="G153" s="25">
        <v>2.806602495E7</v>
      </c>
      <c r="H153" s="25">
        <v>92627.16</v>
      </c>
      <c r="I153" s="25" t="s">
        <v>7022</v>
      </c>
      <c r="J153" s="26" t="s">
        <v>6976</v>
      </c>
    </row>
    <row r="154" ht="17.25" customHeight="1">
      <c r="B154" s="25" t="s">
        <v>577</v>
      </c>
      <c r="C154" s="25" t="s">
        <v>6973</v>
      </c>
      <c r="D154" s="25" t="s">
        <v>870</v>
      </c>
      <c r="E154" s="25" t="s">
        <v>7023</v>
      </c>
      <c r="F154" s="25" t="s">
        <v>870</v>
      </c>
      <c r="G154" s="25">
        <v>1.444858381E7</v>
      </c>
      <c r="H154" s="25">
        <v>26414.23</v>
      </c>
      <c r="I154" s="25" t="s">
        <v>7024</v>
      </c>
      <c r="J154" s="26" t="s">
        <v>6976</v>
      </c>
    </row>
    <row r="155" ht="17.25" customHeight="1">
      <c r="B155" s="25" t="s">
        <v>577</v>
      </c>
      <c r="C155" s="25" t="s">
        <v>6973</v>
      </c>
      <c r="D155" s="25" t="s">
        <v>1038</v>
      </c>
      <c r="E155" s="25" t="s">
        <v>7025</v>
      </c>
      <c r="F155" s="25" t="s">
        <v>1038</v>
      </c>
      <c r="G155" s="25">
        <v>550287.39</v>
      </c>
      <c r="H155" s="25">
        <v>1816.13</v>
      </c>
      <c r="I155" s="25" t="s">
        <v>7026</v>
      </c>
      <c r="J155" s="26" t="s">
        <v>6976</v>
      </c>
    </row>
    <row r="156" ht="17.25" customHeight="1">
      <c r="B156" s="25" t="s">
        <v>577</v>
      </c>
      <c r="C156" s="25" t="s">
        <v>6973</v>
      </c>
      <c r="D156" s="25" t="s">
        <v>1040</v>
      </c>
      <c r="E156" s="25" t="s">
        <v>7027</v>
      </c>
      <c r="F156" s="25" t="s">
        <v>1040</v>
      </c>
      <c r="G156" s="25">
        <v>5782849.6</v>
      </c>
      <c r="H156" s="25">
        <v>16428.55</v>
      </c>
      <c r="I156" s="25" t="s">
        <v>7028</v>
      </c>
      <c r="J156" s="26" t="s">
        <v>6976</v>
      </c>
    </row>
    <row r="157" ht="17.25" customHeight="1">
      <c r="B157" s="25" t="s">
        <v>577</v>
      </c>
      <c r="C157" s="25" t="s">
        <v>6973</v>
      </c>
      <c r="D157" s="25" t="s">
        <v>983</v>
      </c>
      <c r="E157" s="25" t="s">
        <v>7029</v>
      </c>
      <c r="F157" s="25" t="s">
        <v>983</v>
      </c>
      <c r="G157" s="25">
        <v>1.43710007729E9</v>
      </c>
      <c r="H157" s="25">
        <v>3055188.86</v>
      </c>
      <c r="I157" s="25" t="s">
        <v>7030</v>
      </c>
      <c r="J157" s="26" t="s">
        <v>6976</v>
      </c>
    </row>
    <row r="158" ht="17.25" customHeight="1">
      <c r="B158" s="25" t="s">
        <v>577</v>
      </c>
      <c r="C158" s="25" t="s">
        <v>6973</v>
      </c>
      <c r="D158" s="25" t="s">
        <v>734</v>
      </c>
      <c r="E158" s="25" t="s">
        <v>7031</v>
      </c>
      <c r="F158" s="25" t="s">
        <v>734</v>
      </c>
      <c r="G158" s="25">
        <v>2.13163121E7</v>
      </c>
      <c r="H158" s="25">
        <v>70350.87</v>
      </c>
      <c r="I158" s="25" t="s">
        <v>7032</v>
      </c>
      <c r="J158" s="26" t="s">
        <v>6976</v>
      </c>
    </row>
    <row r="159" ht="17.25" customHeight="1">
      <c r="B159" s="25" t="s">
        <v>577</v>
      </c>
      <c r="C159" s="25" t="s">
        <v>6973</v>
      </c>
      <c r="D159" s="25" t="s">
        <v>874</v>
      </c>
      <c r="E159" s="25" t="s">
        <v>7033</v>
      </c>
      <c r="F159" s="25" t="s">
        <v>874</v>
      </c>
      <c r="G159" s="25">
        <v>6.705217814E7</v>
      </c>
      <c r="H159" s="25">
        <v>188348.82</v>
      </c>
      <c r="I159" s="25" t="s">
        <v>7034</v>
      </c>
      <c r="J159" s="26" t="s">
        <v>6976</v>
      </c>
    </row>
    <row r="160" ht="17.25" customHeight="1">
      <c r="B160" s="25" t="s">
        <v>577</v>
      </c>
      <c r="C160" s="25" t="s">
        <v>6973</v>
      </c>
      <c r="D160" s="25" t="s">
        <v>884</v>
      </c>
      <c r="E160" s="25" t="s">
        <v>7035</v>
      </c>
      <c r="F160" s="25" t="s">
        <v>884</v>
      </c>
      <c r="G160" s="25">
        <v>6301050.56</v>
      </c>
      <c r="H160" s="25">
        <v>9784.24</v>
      </c>
      <c r="I160" s="25" t="s">
        <v>7036</v>
      </c>
      <c r="J160" s="26" t="s">
        <v>6976</v>
      </c>
    </row>
    <row r="161" ht="17.25" customHeight="1">
      <c r="B161" s="25" t="s">
        <v>577</v>
      </c>
      <c r="C161" s="25" t="s">
        <v>6973</v>
      </c>
      <c r="D161" s="25" t="s">
        <v>1591</v>
      </c>
      <c r="E161" s="25" t="s">
        <v>7037</v>
      </c>
      <c r="F161" s="25" t="s">
        <v>1591</v>
      </c>
      <c r="G161" s="25">
        <v>3.430939348E7</v>
      </c>
      <c r="H161" s="25">
        <v>62722.84</v>
      </c>
      <c r="I161" s="25" t="s">
        <v>7038</v>
      </c>
      <c r="J161" s="26" t="s">
        <v>6976</v>
      </c>
    </row>
    <row r="162" ht="17.25" customHeight="1">
      <c r="B162" s="25" t="s">
        <v>577</v>
      </c>
      <c r="C162" s="25" t="s">
        <v>6973</v>
      </c>
      <c r="D162" s="25" t="s">
        <v>900</v>
      </c>
      <c r="E162" s="25" t="s">
        <v>7039</v>
      </c>
      <c r="F162" s="25" t="s">
        <v>900</v>
      </c>
      <c r="G162" s="25">
        <v>1.4034585686E8</v>
      </c>
      <c r="H162" s="25">
        <v>394229.95</v>
      </c>
      <c r="I162" s="25" t="s">
        <v>7040</v>
      </c>
      <c r="J162" s="26" t="s">
        <v>6976</v>
      </c>
    </row>
    <row r="163" ht="17.25" customHeight="1">
      <c r="B163" s="25" t="s">
        <v>577</v>
      </c>
      <c r="C163" s="25" t="s">
        <v>6973</v>
      </c>
      <c r="D163" s="25" t="s">
        <v>1176</v>
      </c>
      <c r="E163" s="25" t="s">
        <v>7041</v>
      </c>
      <c r="F163" s="25" t="s">
        <v>1176</v>
      </c>
      <c r="G163" s="25">
        <v>2.453401825E7</v>
      </c>
      <c r="H163" s="25">
        <v>70097.2</v>
      </c>
      <c r="I163" s="25" t="s">
        <v>7042</v>
      </c>
      <c r="J163" s="26" t="s">
        <v>6976</v>
      </c>
    </row>
    <row r="164" ht="17.25" customHeight="1">
      <c r="B164" s="25" t="s">
        <v>577</v>
      </c>
      <c r="C164" s="25" t="s">
        <v>6973</v>
      </c>
      <c r="D164" s="25" t="s">
        <v>933</v>
      </c>
      <c r="E164" s="25" t="s">
        <v>7043</v>
      </c>
      <c r="F164" s="25" t="s">
        <v>933</v>
      </c>
      <c r="G164" s="25">
        <v>1.396955139E7</v>
      </c>
      <c r="H164" s="25">
        <v>46104.13</v>
      </c>
      <c r="I164" s="25" t="s">
        <v>7044</v>
      </c>
      <c r="J164" s="26" t="s">
        <v>6976</v>
      </c>
    </row>
    <row r="165" ht="17.25" customHeight="1">
      <c r="B165" s="25" t="s">
        <v>577</v>
      </c>
      <c r="C165" s="25" t="s">
        <v>6973</v>
      </c>
      <c r="D165" s="25" t="s">
        <v>736</v>
      </c>
      <c r="E165" s="25" t="s">
        <v>7045</v>
      </c>
      <c r="F165" s="25" t="s">
        <v>736</v>
      </c>
      <c r="G165" s="25">
        <v>8478333.9</v>
      </c>
      <c r="H165" s="25">
        <v>27981.3</v>
      </c>
      <c r="I165" s="25" t="s">
        <v>7046</v>
      </c>
      <c r="J165" s="26" t="s">
        <v>6976</v>
      </c>
    </row>
    <row r="166" ht="17.25" customHeight="1">
      <c r="B166" s="25" t="s">
        <v>590</v>
      </c>
      <c r="C166" s="25" t="s">
        <v>7047</v>
      </c>
      <c r="D166" s="25" t="s">
        <v>739</v>
      </c>
      <c r="E166" s="25" t="s">
        <v>7048</v>
      </c>
      <c r="F166" s="25" t="s">
        <v>739</v>
      </c>
      <c r="G166" s="25">
        <v>3.18053862E7</v>
      </c>
      <c r="H166" s="25">
        <v>56998.9</v>
      </c>
      <c r="I166" s="26" t="s">
        <v>7049</v>
      </c>
      <c r="J166" s="25" t="s">
        <v>7047</v>
      </c>
    </row>
    <row r="167" ht="17.25" customHeight="1">
      <c r="B167" s="25" t="s">
        <v>590</v>
      </c>
      <c r="C167" s="25" t="s">
        <v>7047</v>
      </c>
      <c r="D167" s="25" t="s">
        <v>695</v>
      </c>
      <c r="E167" s="25" t="s">
        <v>7050</v>
      </c>
      <c r="F167" s="25" t="s">
        <v>695</v>
      </c>
      <c r="G167" s="25">
        <v>1.1839175526E8</v>
      </c>
      <c r="H167" s="25">
        <v>166984.14</v>
      </c>
      <c r="I167" s="26" t="s">
        <v>7049</v>
      </c>
      <c r="J167" s="25" t="s">
        <v>7047</v>
      </c>
    </row>
    <row r="168" ht="17.25" customHeight="1">
      <c r="B168" s="25" t="s">
        <v>590</v>
      </c>
      <c r="C168" s="25" t="s">
        <v>7047</v>
      </c>
      <c r="D168" s="25" t="s">
        <v>746</v>
      </c>
      <c r="E168" s="25" t="s">
        <v>7051</v>
      </c>
      <c r="F168" s="25" t="s">
        <v>746</v>
      </c>
      <c r="G168" s="25">
        <v>9.434572371E7</v>
      </c>
      <c r="H168" s="25">
        <v>156460.57</v>
      </c>
      <c r="I168" s="26" t="s">
        <v>7049</v>
      </c>
      <c r="J168" s="25" t="s">
        <v>7047</v>
      </c>
    </row>
    <row r="169" ht="17.25" customHeight="1">
      <c r="B169" s="25" t="s">
        <v>590</v>
      </c>
      <c r="C169" s="25" t="s">
        <v>7047</v>
      </c>
      <c r="D169" s="25" t="s">
        <v>749</v>
      </c>
      <c r="E169" s="25" t="s">
        <v>7052</v>
      </c>
      <c r="F169" s="25" t="s">
        <v>749</v>
      </c>
      <c r="G169" s="25">
        <v>1.574449281E7</v>
      </c>
      <c r="H169" s="25">
        <v>26110.27</v>
      </c>
      <c r="I169" s="26" t="s">
        <v>7049</v>
      </c>
      <c r="J169" s="25" t="s">
        <v>7047</v>
      </c>
    </row>
    <row r="170" ht="17.25" customHeight="1">
      <c r="B170" s="25" t="s">
        <v>590</v>
      </c>
      <c r="C170" s="25" t="s">
        <v>7047</v>
      </c>
      <c r="D170" s="25" t="s">
        <v>1777</v>
      </c>
      <c r="E170" s="25" t="s">
        <v>7053</v>
      </c>
      <c r="F170" s="25" t="s">
        <v>1777</v>
      </c>
      <c r="G170" s="25">
        <v>3.93776276607E9</v>
      </c>
      <c r="H170" s="25">
        <v>5553967.23</v>
      </c>
      <c r="I170" s="26" t="s">
        <v>7049</v>
      </c>
      <c r="J170" s="25" t="s">
        <v>7047</v>
      </c>
    </row>
    <row r="171" ht="17.25" customHeight="1">
      <c r="B171" s="25" t="s">
        <v>590</v>
      </c>
      <c r="C171" s="25" t="s">
        <v>7047</v>
      </c>
      <c r="D171" s="25" t="s">
        <v>751</v>
      </c>
      <c r="E171" s="25" t="s">
        <v>7054</v>
      </c>
      <c r="F171" s="25" t="s">
        <v>751</v>
      </c>
      <c r="G171" s="25">
        <v>2845912.77</v>
      </c>
      <c r="H171" s="25">
        <v>4719.59</v>
      </c>
      <c r="I171" s="26" t="s">
        <v>7049</v>
      </c>
      <c r="J171" s="25" t="s">
        <v>7047</v>
      </c>
    </row>
    <row r="172" ht="17.25" customHeight="1">
      <c r="B172" s="25" t="s">
        <v>590</v>
      </c>
      <c r="C172" s="25" t="s">
        <v>7047</v>
      </c>
      <c r="D172" s="25" t="s">
        <v>757</v>
      </c>
      <c r="E172" s="25" t="s">
        <v>7055</v>
      </c>
      <c r="F172" s="25" t="s">
        <v>757</v>
      </c>
      <c r="G172" s="25">
        <v>1.682668305E7</v>
      </c>
      <c r="H172" s="25">
        <v>38682.03</v>
      </c>
      <c r="I172" s="26" t="s">
        <v>7049</v>
      </c>
      <c r="J172" s="25" t="s">
        <v>7047</v>
      </c>
    </row>
    <row r="173" ht="17.25" customHeight="1">
      <c r="B173" s="25" t="s">
        <v>590</v>
      </c>
      <c r="C173" s="25" t="s">
        <v>7047</v>
      </c>
      <c r="D173" s="25" t="s">
        <v>761</v>
      </c>
      <c r="E173" s="25" t="s">
        <v>7056</v>
      </c>
      <c r="F173" s="25" t="s">
        <v>761</v>
      </c>
      <c r="G173" s="25">
        <v>2.3311713474E8</v>
      </c>
      <c r="H173" s="25">
        <v>386595.58</v>
      </c>
      <c r="I173" s="26" t="s">
        <v>7049</v>
      </c>
      <c r="J173" s="25" t="s">
        <v>7047</v>
      </c>
    </row>
    <row r="174" ht="17.25" customHeight="1">
      <c r="B174" s="25" t="s">
        <v>590</v>
      </c>
      <c r="C174" s="25" t="s">
        <v>7047</v>
      </c>
      <c r="D174" s="25" t="s">
        <v>763</v>
      </c>
      <c r="E174" s="25" t="s">
        <v>7057</v>
      </c>
      <c r="F174" s="25" t="s">
        <v>763</v>
      </c>
      <c r="G174" s="25">
        <v>6247779.48</v>
      </c>
      <c r="H174" s="25">
        <v>10361.16</v>
      </c>
      <c r="I174" s="26" t="s">
        <v>7049</v>
      </c>
      <c r="J174" s="25" t="s">
        <v>7047</v>
      </c>
    </row>
    <row r="175" ht="17.25" customHeight="1">
      <c r="B175" s="25" t="s">
        <v>590</v>
      </c>
      <c r="C175" s="25" t="s">
        <v>7047</v>
      </c>
      <c r="D175" s="25" t="s">
        <v>768</v>
      </c>
      <c r="E175" s="25" t="s">
        <v>7058</v>
      </c>
      <c r="F175" s="25" t="s">
        <v>768</v>
      </c>
      <c r="G175" s="25">
        <v>4.872366027E7</v>
      </c>
      <c r="H175" s="25">
        <v>80802.09</v>
      </c>
      <c r="I175" s="26" t="s">
        <v>7049</v>
      </c>
      <c r="J175" s="25" t="s">
        <v>7047</v>
      </c>
    </row>
    <row r="176" ht="17.25" customHeight="1">
      <c r="B176" s="25" t="s">
        <v>590</v>
      </c>
      <c r="C176" s="25" t="s">
        <v>7047</v>
      </c>
      <c r="D176" s="25" t="s">
        <v>770</v>
      </c>
      <c r="E176" s="25" t="s">
        <v>7059</v>
      </c>
      <c r="F176" s="25" t="s">
        <v>770</v>
      </c>
      <c r="G176" s="25">
        <v>1.471236786E7</v>
      </c>
      <c r="H176" s="25">
        <v>24398.62</v>
      </c>
      <c r="I176" s="26" t="s">
        <v>7049</v>
      </c>
      <c r="J176" s="25" t="s">
        <v>7047</v>
      </c>
    </row>
    <row r="177" ht="17.25" customHeight="1">
      <c r="B177" s="25" t="s">
        <v>590</v>
      </c>
      <c r="C177" s="25" t="s">
        <v>7047</v>
      </c>
      <c r="D177" s="25" t="s">
        <v>1093</v>
      </c>
      <c r="E177" s="25" t="s">
        <v>7060</v>
      </c>
      <c r="F177" s="25" t="s">
        <v>1093</v>
      </c>
      <c r="G177" s="25">
        <v>4.266415548E7</v>
      </c>
      <c r="H177" s="25">
        <v>70753.16</v>
      </c>
      <c r="I177" s="26" t="s">
        <v>7049</v>
      </c>
      <c r="J177" s="25" t="s">
        <v>7047</v>
      </c>
    </row>
    <row r="178" ht="17.25" customHeight="1">
      <c r="B178" s="25" t="s">
        <v>590</v>
      </c>
      <c r="C178" s="25" t="s">
        <v>7047</v>
      </c>
      <c r="D178" s="25" t="s">
        <v>726</v>
      </c>
      <c r="E178" s="25" t="s">
        <v>7061</v>
      </c>
      <c r="F178" s="25" t="s">
        <v>726</v>
      </c>
      <c r="G178" s="25">
        <v>1.7504374239E8</v>
      </c>
      <c r="H178" s="25">
        <v>290288.13</v>
      </c>
      <c r="I178" s="26" t="s">
        <v>7049</v>
      </c>
      <c r="J178" s="25" t="s">
        <v>7047</v>
      </c>
    </row>
    <row r="179" ht="17.25" customHeight="1">
      <c r="B179" s="25" t="s">
        <v>590</v>
      </c>
      <c r="C179" s="25" t="s">
        <v>7047</v>
      </c>
      <c r="D179" s="25" t="s">
        <v>774</v>
      </c>
      <c r="E179" s="25" t="s">
        <v>7062</v>
      </c>
      <c r="F179" s="25" t="s">
        <v>774</v>
      </c>
      <c r="G179" s="25">
        <v>3.5738596866E8</v>
      </c>
      <c r="H179" s="25">
        <v>543139.77</v>
      </c>
      <c r="I179" s="26" t="s">
        <v>7049</v>
      </c>
      <c r="J179" s="25" t="s">
        <v>7047</v>
      </c>
    </row>
    <row r="180" ht="17.25" customHeight="1">
      <c r="B180" s="25" t="s">
        <v>590</v>
      </c>
      <c r="C180" s="25" t="s">
        <v>7047</v>
      </c>
      <c r="D180" s="25" t="s">
        <v>774</v>
      </c>
      <c r="E180" s="25" t="s">
        <v>7063</v>
      </c>
      <c r="F180" s="25" t="s">
        <v>774</v>
      </c>
      <c r="G180" s="25">
        <v>3.4772057705E8</v>
      </c>
      <c r="H180" s="25">
        <v>528450.73</v>
      </c>
      <c r="I180" s="26" t="s">
        <v>7049</v>
      </c>
      <c r="J180" s="25" t="s">
        <v>7047</v>
      </c>
    </row>
    <row r="181" ht="17.25" customHeight="1">
      <c r="B181" s="25" t="s">
        <v>590</v>
      </c>
      <c r="C181" s="25" t="s">
        <v>7047</v>
      </c>
      <c r="D181" s="25" t="s">
        <v>776</v>
      </c>
      <c r="E181" s="25" t="s">
        <v>7064</v>
      </c>
      <c r="F181" s="25" t="s">
        <v>776</v>
      </c>
      <c r="G181" s="25">
        <v>1.6211759922E8</v>
      </c>
      <c r="H181" s="25">
        <v>268851.74</v>
      </c>
      <c r="I181" s="26" t="s">
        <v>7049</v>
      </c>
      <c r="J181" s="25" t="s">
        <v>7047</v>
      </c>
    </row>
    <row r="182" ht="17.25" customHeight="1">
      <c r="B182" s="25" t="s">
        <v>590</v>
      </c>
      <c r="C182" s="25" t="s">
        <v>7047</v>
      </c>
      <c r="D182" s="25" t="s">
        <v>1061</v>
      </c>
      <c r="E182" s="25" t="s">
        <v>7065</v>
      </c>
      <c r="F182" s="25" t="s">
        <v>1061</v>
      </c>
      <c r="G182" s="25">
        <v>5.904953478E7</v>
      </c>
      <c r="H182" s="25">
        <v>97926.26</v>
      </c>
      <c r="I182" s="26" t="s">
        <v>7049</v>
      </c>
      <c r="J182" s="25" t="s">
        <v>7047</v>
      </c>
    </row>
    <row r="183" ht="17.25" customHeight="1">
      <c r="B183" s="25" t="s">
        <v>590</v>
      </c>
      <c r="C183" s="25" t="s">
        <v>7047</v>
      </c>
      <c r="D183" s="25" t="s">
        <v>1061</v>
      </c>
      <c r="E183" s="25" t="s">
        <v>7066</v>
      </c>
      <c r="F183" s="25" t="s">
        <v>1061</v>
      </c>
      <c r="G183" s="25">
        <v>1.656250452E7</v>
      </c>
      <c r="H183" s="25">
        <v>27466.84</v>
      </c>
      <c r="I183" s="26" t="s">
        <v>7049</v>
      </c>
      <c r="J183" s="25" t="s">
        <v>7047</v>
      </c>
    </row>
    <row r="184" ht="17.25" customHeight="1">
      <c r="B184" s="25" t="s">
        <v>590</v>
      </c>
      <c r="C184" s="25" t="s">
        <v>7047</v>
      </c>
      <c r="D184" s="25" t="s">
        <v>1101</v>
      </c>
      <c r="E184" s="25" t="s">
        <v>7067</v>
      </c>
      <c r="F184" s="25" t="s">
        <v>1101</v>
      </c>
      <c r="G184" s="25">
        <v>4.968393777E7</v>
      </c>
      <c r="H184" s="25">
        <v>82394.59</v>
      </c>
      <c r="I184" s="26" t="s">
        <v>7049</v>
      </c>
      <c r="J184" s="25" t="s">
        <v>7047</v>
      </c>
    </row>
    <row r="185" ht="17.25" customHeight="1">
      <c r="B185" s="25" t="s">
        <v>590</v>
      </c>
      <c r="C185" s="25" t="s">
        <v>7047</v>
      </c>
      <c r="D185" s="25" t="s">
        <v>779</v>
      </c>
      <c r="E185" s="25" t="s">
        <v>7068</v>
      </c>
      <c r="F185" s="25" t="s">
        <v>779</v>
      </c>
      <c r="G185" s="25">
        <v>1.1574683785E8</v>
      </c>
      <c r="H185" s="25">
        <v>163253.65</v>
      </c>
      <c r="I185" s="26" t="s">
        <v>7049</v>
      </c>
      <c r="J185" s="25" t="s">
        <v>7047</v>
      </c>
    </row>
    <row r="186" ht="17.25" customHeight="1">
      <c r="B186" s="25" t="s">
        <v>590</v>
      </c>
      <c r="C186" s="25" t="s">
        <v>7047</v>
      </c>
      <c r="D186" s="25" t="s">
        <v>792</v>
      </c>
      <c r="E186" s="25" t="s">
        <v>7069</v>
      </c>
      <c r="F186" s="25" t="s">
        <v>792</v>
      </c>
      <c r="G186" s="25">
        <v>3104316.36</v>
      </c>
      <c r="H186" s="25">
        <v>5148.12</v>
      </c>
      <c r="I186" s="26" t="s">
        <v>7049</v>
      </c>
      <c r="J186" s="25" t="s">
        <v>7047</v>
      </c>
    </row>
    <row r="187" ht="17.25" customHeight="1">
      <c r="B187" s="25" t="s">
        <v>590</v>
      </c>
      <c r="C187" s="25" t="s">
        <v>7047</v>
      </c>
      <c r="D187" s="25" t="s">
        <v>794</v>
      </c>
      <c r="E187" s="25" t="s">
        <v>7070</v>
      </c>
      <c r="F187" s="25" t="s">
        <v>794</v>
      </c>
      <c r="G187" s="25">
        <v>1623286.57</v>
      </c>
      <c r="H187" s="25">
        <v>2692.03</v>
      </c>
      <c r="I187" s="26" t="s">
        <v>7049</v>
      </c>
      <c r="J187" s="25" t="s">
        <v>7047</v>
      </c>
    </row>
    <row r="188" ht="17.25" customHeight="1">
      <c r="B188" s="25" t="s">
        <v>590</v>
      </c>
      <c r="C188" s="25" t="s">
        <v>7047</v>
      </c>
      <c r="D188" s="25" t="s">
        <v>800</v>
      </c>
      <c r="E188" s="25" t="s">
        <v>7071</v>
      </c>
      <c r="F188" s="25" t="s">
        <v>800</v>
      </c>
      <c r="G188" s="25">
        <v>3.308189454E7</v>
      </c>
      <c r="H188" s="25">
        <v>54862.18</v>
      </c>
      <c r="I188" s="26" t="s">
        <v>7049</v>
      </c>
      <c r="J188" s="25" t="s">
        <v>7047</v>
      </c>
    </row>
    <row r="189" ht="17.25" customHeight="1">
      <c r="B189" s="25" t="s">
        <v>590</v>
      </c>
      <c r="C189" s="25" t="s">
        <v>7047</v>
      </c>
      <c r="D189" s="25" t="s">
        <v>953</v>
      </c>
      <c r="E189" s="25" t="s">
        <v>7072</v>
      </c>
      <c r="F189" s="25" t="s">
        <v>953</v>
      </c>
      <c r="G189" s="25">
        <v>1.760969844E7</v>
      </c>
      <c r="H189" s="25">
        <v>29203.48</v>
      </c>
      <c r="I189" s="26" t="s">
        <v>7049</v>
      </c>
      <c r="J189" s="25" t="s">
        <v>7047</v>
      </c>
    </row>
    <row r="190" ht="17.25" customHeight="1">
      <c r="B190" s="25" t="s">
        <v>590</v>
      </c>
      <c r="C190" s="25" t="s">
        <v>7047</v>
      </c>
      <c r="D190" s="25" t="s">
        <v>816</v>
      </c>
      <c r="E190" s="25" t="s">
        <v>7073</v>
      </c>
      <c r="F190" s="25" t="s">
        <v>816</v>
      </c>
      <c r="G190" s="25">
        <v>2.06145198E7</v>
      </c>
      <c r="H190" s="25">
        <v>34186.6</v>
      </c>
      <c r="I190" s="26" t="s">
        <v>7049</v>
      </c>
      <c r="J190" s="25" t="s">
        <v>7047</v>
      </c>
    </row>
    <row r="191" ht="17.25" customHeight="1">
      <c r="B191" s="25" t="s">
        <v>590</v>
      </c>
      <c r="C191" s="25" t="s">
        <v>7047</v>
      </c>
      <c r="D191" s="25" t="s">
        <v>818</v>
      </c>
      <c r="E191" s="25" t="s">
        <v>7074</v>
      </c>
      <c r="F191" s="25" t="s">
        <v>818</v>
      </c>
      <c r="G191" s="25">
        <v>2.847584286E7</v>
      </c>
      <c r="H191" s="25">
        <v>47223.62</v>
      </c>
      <c r="I191" s="26" t="s">
        <v>7049</v>
      </c>
      <c r="J191" s="25" t="s">
        <v>7047</v>
      </c>
    </row>
    <row r="192" ht="17.25" customHeight="1">
      <c r="B192" s="25" t="s">
        <v>590</v>
      </c>
      <c r="C192" s="25" t="s">
        <v>7047</v>
      </c>
      <c r="D192" s="25" t="s">
        <v>826</v>
      </c>
      <c r="E192" s="25" t="s">
        <v>7075</v>
      </c>
      <c r="F192" s="25" t="s">
        <v>826</v>
      </c>
      <c r="G192" s="25">
        <v>2.4888345341E8</v>
      </c>
      <c r="H192" s="25">
        <v>351034.49</v>
      </c>
      <c r="I192" s="26" t="s">
        <v>7049</v>
      </c>
      <c r="J192" s="25" t="s">
        <v>7047</v>
      </c>
    </row>
    <row r="193" ht="17.25" customHeight="1">
      <c r="B193" s="25" t="s">
        <v>590</v>
      </c>
      <c r="C193" s="25" t="s">
        <v>7047</v>
      </c>
      <c r="D193" s="25" t="s">
        <v>830</v>
      </c>
      <c r="E193" s="25" t="s">
        <v>7076</v>
      </c>
      <c r="F193" s="25" t="s">
        <v>830</v>
      </c>
      <c r="G193" s="25">
        <v>6.851144898E7</v>
      </c>
      <c r="H193" s="25">
        <v>113617.66</v>
      </c>
      <c r="I193" s="26" t="s">
        <v>7049</v>
      </c>
      <c r="J193" s="25" t="s">
        <v>7047</v>
      </c>
    </row>
    <row r="194" ht="17.25" customHeight="1">
      <c r="B194" s="25" t="s">
        <v>590</v>
      </c>
      <c r="C194" s="25" t="s">
        <v>7047</v>
      </c>
      <c r="D194" s="25" t="s">
        <v>834</v>
      </c>
      <c r="E194" s="25" t="s">
        <v>7077</v>
      </c>
      <c r="F194" s="25" t="s">
        <v>834</v>
      </c>
      <c r="G194" s="25">
        <v>1.2821795829E8</v>
      </c>
      <c r="H194" s="25">
        <v>212633.43</v>
      </c>
      <c r="I194" s="26" t="s">
        <v>7049</v>
      </c>
      <c r="J194" s="25" t="s">
        <v>7047</v>
      </c>
    </row>
    <row r="195" ht="17.25" customHeight="1">
      <c r="B195" s="25" t="s">
        <v>590</v>
      </c>
      <c r="C195" s="25" t="s">
        <v>7047</v>
      </c>
      <c r="D195" s="25" t="s">
        <v>836</v>
      </c>
      <c r="E195" s="25" t="s">
        <v>7078</v>
      </c>
      <c r="F195" s="25" t="s">
        <v>836</v>
      </c>
      <c r="G195" s="25">
        <v>1.657334043E7</v>
      </c>
      <c r="H195" s="25">
        <v>27484.81</v>
      </c>
      <c r="I195" s="26" t="s">
        <v>7049</v>
      </c>
      <c r="J195" s="25" t="s">
        <v>7047</v>
      </c>
    </row>
    <row r="196" ht="17.25" customHeight="1">
      <c r="B196" s="25" t="s">
        <v>590</v>
      </c>
      <c r="C196" s="25" t="s">
        <v>7047</v>
      </c>
      <c r="D196" s="25" t="s">
        <v>6876</v>
      </c>
      <c r="E196" s="25" t="s">
        <v>7079</v>
      </c>
      <c r="F196" s="25" t="s">
        <v>852</v>
      </c>
      <c r="G196" s="25">
        <v>7.550128629E7</v>
      </c>
      <c r="H196" s="25">
        <v>125209.43</v>
      </c>
      <c r="I196" s="26" t="s">
        <v>7049</v>
      </c>
      <c r="J196" s="25" t="s">
        <v>7047</v>
      </c>
    </row>
    <row r="197" ht="17.25" customHeight="1">
      <c r="B197" s="25" t="s">
        <v>590</v>
      </c>
      <c r="C197" s="25" t="s">
        <v>7047</v>
      </c>
      <c r="D197" s="25" t="s">
        <v>710</v>
      </c>
      <c r="E197" s="25" t="s">
        <v>7080</v>
      </c>
      <c r="F197" s="25" t="s">
        <v>710</v>
      </c>
      <c r="G197" s="25">
        <v>1.9407447063E8</v>
      </c>
      <c r="H197" s="25">
        <v>321848.21</v>
      </c>
      <c r="I197" s="26" t="s">
        <v>7049</v>
      </c>
      <c r="J197" s="25" t="s">
        <v>7047</v>
      </c>
    </row>
    <row r="198" ht="17.25" customHeight="1">
      <c r="B198" s="25" t="s">
        <v>590</v>
      </c>
      <c r="C198" s="25" t="s">
        <v>7047</v>
      </c>
      <c r="D198" s="25" t="s">
        <v>730</v>
      </c>
      <c r="E198" s="25" t="s">
        <v>7081</v>
      </c>
      <c r="F198" s="25" t="s">
        <v>730</v>
      </c>
      <c r="G198" s="25">
        <v>5.2367449E7</v>
      </c>
      <c r="H198" s="25">
        <v>73861.0</v>
      </c>
      <c r="I198" s="26" t="s">
        <v>7049</v>
      </c>
      <c r="J198" s="25" t="s">
        <v>7047</v>
      </c>
    </row>
    <row r="199" ht="17.25" customHeight="1">
      <c r="B199" s="25" t="s">
        <v>590</v>
      </c>
      <c r="C199" s="25" t="s">
        <v>7047</v>
      </c>
      <c r="D199" s="25" t="s">
        <v>866</v>
      </c>
      <c r="E199" s="25" t="s">
        <v>7082</v>
      </c>
      <c r="F199" s="25" t="s">
        <v>866</v>
      </c>
      <c r="G199" s="25">
        <v>6.0072255514E8</v>
      </c>
      <c r="H199" s="25">
        <v>847281.46</v>
      </c>
      <c r="I199" s="26" t="s">
        <v>7049</v>
      </c>
      <c r="J199" s="25" t="s">
        <v>7047</v>
      </c>
    </row>
    <row r="200" ht="17.25" customHeight="1">
      <c r="B200" s="25" t="s">
        <v>590</v>
      </c>
      <c r="C200" s="25" t="s">
        <v>7047</v>
      </c>
      <c r="D200" s="25" t="s">
        <v>701</v>
      </c>
      <c r="E200" s="25" t="s">
        <v>7083</v>
      </c>
      <c r="F200" s="25" t="s">
        <v>701</v>
      </c>
      <c r="G200" s="25">
        <v>1.4719773303E8</v>
      </c>
      <c r="H200" s="25">
        <v>244109.01</v>
      </c>
      <c r="I200" s="26" t="s">
        <v>7049</v>
      </c>
      <c r="J200" s="25" t="s">
        <v>7047</v>
      </c>
    </row>
    <row r="201" ht="17.25" customHeight="1">
      <c r="B201" s="25" t="s">
        <v>590</v>
      </c>
      <c r="C201" s="25" t="s">
        <v>7047</v>
      </c>
      <c r="D201" s="25" t="s">
        <v>870</v>
      </c>
      <c r="E201" s="25" t="s">
        <v>7084</v>
      </c>
      <c r="F201" s="25" t="s">
        <v>870</v>
      </c>
      <c r="G201" s="25">
        <v>5.17007376E7</v>
      </c>
      <c r="H201" s="25">
        <v>85739.2</v>
      </c>
      <c r="I201" s="26" t="s">
        <v>7049</v>
      </c>
      <c r="J201" s="25" t="s">
        <v>7047</v>
      </c>
    </row>
    <row r="202" ht="17.25" customHeight="1">
      <c r="B202" s="25" t="s">
        <v>590</v>
      </c>
      <c r="C202" s="25" t="s">
        <v>7047</v>
      </c>
      <c r="D202" s="25" t="s">
        <v>983</v>
      </c>
      <c r="E202" s="25" t="s">
        <v>7085</v>
      </c>
      <c r="F202" s="25" t="s">
        <v>983</v>
      </c>
      <c r="G202" s="25">
        <v>1.4735222766E8</v>
      </c>
      <c r="H202" s="25">
        <v>244365.22</v>
      </c>
      <c r="I202" s="26" t="s">
        <v>7049</v>
      </c>
      <c r="J202" s="25" t="s">
        <v>7047</v>
      </c>
    </row>
    <row r="203" ht="17.25" customHeight="1">
      <c r="B203" s="25" t="s">
        <v>590</v>
      </c>
      <c r="C203" s="25" t="s">
        <v>7047</v>
      </c>
      <c r="D203" s="25" t="s">
        <v>874</v>
      </c>
      <c r="E203" s="25" t="s">
        <v>7086</v>
      </c>
      <c r="F203" s="25" t="s">
        <v>874</v>
      </c>
      <c r="G203" s="25">
        <v>1.4499665037E8</v>
      </c>
      <c r="H203" s="25">
        <v>240458.79</v>
      </c>
      <c r="I203" s="26" t="s">
        <v>7049</v>
      </c>
      <c r="J203" s="25" t="s">
        <v>7047</v>
      </c>
    </row>
    <row r="204" ht="17.25" customHeight="1">
      <c r="B204" s="25" t="s">
        <v>590</v>
      </c>
      <c r="C204" s="25" t="s">
        <v>7047</v>
      </c>
      <c r="D204" s="25" t="s">
        <v>876</v>
      </c>
      <c r="E204" s="25" t="s">
        <v>7087</v>
      </c>
      <c r="F204" s="25" t="s">
        <v>876</v>
      </c>
      <c r="G204" s="25">
        <v>3.292233471E7</v>
      </c>
      <c r="H204" s="25">
        <v>54597.57</v>
      </c>
      <c r="I204" s="26" t="s">
        <v>7049</v>
      </c>
      <c r="J204" s="25" t="s">
        <v>7047</v>
      </c>
    </row>
    <row r="205" ht="17.25" customHeight="1">
      <c r="B205" s="25" t="s">
        <v>590</v>
      </c>
      <c r="C205" s="25" t="s">
        <v>7047</v>
      </c>
      <c r="D205" s="25" t="s">
        <v>880</v>
      </c>
      <c r="E205" s="25" t="s">
        <v>7088</v>
      </c>
      <c r="F205" s="25" t="s">
        <v>880</v>
      </c>
      <c r="G205" s="25">
        <v>7.184535224E7</v>
      </c>
      <c r="H205" s="25">
        <v>101333.36</v>
      </c>
      <c r="I205" s="26" t="s">
        <v>7049</v>
      </c>
      <c r="J205" s="25" t="s">
        <v>7047</v>
      </c>
    </row>
    <row r="206" ht="17.25" customHeight="1">
      <c r="B206" s="25" t="s">
        <v>590</v>
      </c>
      <c r="C206" s="25" t="s">
        <v>7047</v>
      </c>
      <c r="D206" s="25" t="s">
        <v>7089</v>
      </c>
      <c r="E206" s="25" t="s">
        <v>7090</v>
      </c>
      <c r="F206" s="25" t="s">
        <v>892</v>
      </c>
      <c r="G206" s="25">
        <v>2.0761741297E8</v>
      </c>
      <c r="H206" s="25">
        <v>292831.33</v>
      </c>
      <c r="I206" s="26" t="s">
        <v>7049</v>
      </c>
      <c r="J206" s="25" t="s">
        <v>7047</v>
      </c>
    </row>
    <row r="207" ht="17.25" customHeight="1">
      <c r="B207" s="25" t="s">
        <v>590</v>
      </c>
      <c r="C207" s="25" t="s">
        <v>7047</v>
      </c>
      <c r="D207" s="25" t="s">
        <v>1591</v>
      </c>
      <c r="E207" s="25" t="s">
        <v>7091</v>
      </c>
      <c r="F207" s="25" t="s">
        <v>1591</v>
      </c>
      <c r="G207" s="25">
        <v>2.8210019958E8</v>
      </c>
      <c r="H207" s="25">
        <v>467827.86</v>
      </c>
      <c r="I207" s="26" t="s">
        <v>7049</v>
      </c>
      <c r="J207" s="25" t="s">
        <v>7047</v>
      </c>
    </row>
    <row r="208" ht="17.25" customHeight="1">
      <c r="B208" s="25" t="s">
        <v>590</v>
      </c>
      <c r="C208" s="25" t="s">
        <v>7047</v>
      </c>
      <c r="D208" s="25" t="s">
        <v>898</v>
      </c>
      <c r="E208" s="25" t="s">
        <v>7092</v>
      </c>
      <c r="F208" s="25" t="s">
        <v>898</v>
      </c>
      <c r="G208" s="25">
        <v>1.084707756E7</v>
      </c>
      <c r="H208" s="25">
        <v>17988.52</v>
      </c>
      <c r="I208" s="26" t="s">
        <v>7049</v>
      </c>
      <c r="J208" s="25" t="s">
        <v>7047</v>
      </c>
    </row>
    <row r="209" ht="17.25" customHeight="1">
      <c r="B209" s="25" t="s">
        <v>590</v>
      </c>
      <c r="C209" s="25" t="s">
        <v>7047</v>
      </c>
      <c r="D209" s="25" t="s">
        <v>904</v>
      </c>
      <c r="E209" s="25" t="s">
        <v>7093</v>
      </c>
      <c r="F209" s="25" t="s">
        <v>904</v>
      </c>
      <c r="G209" s="25">
        <v>1.33509627E7</v>
      </c>
      <c r="H209" s="25">
        <v>22140.9</v>
      </c>
      <c r="I209" s="26" t="s">
        <v>7049</v>
      </c>
      <c r="J209" s="25" t="s">
        <v>7047</v>
      </c>
    </row>
    <row r="210" ht="17.25" customHeight="1">
      <c r="B210" s="25" t="s">
        <v>590</v>
      </c>
      <c r="C210" s="25" t="s">
        <v>7047</v>
      </c>
      <c r="D210" s="25" t="s">
        <v>717</v>
      </c>
      <c r="E210" s="25" t="s">
        <v>7094</v>
      </c>
      <c r="F210" s="25" t="s">
        <v>717</v>
      </c>
      <c r="G210" s="25">
        <v>3.179031075E7</v>
      </c>
      <c r="H210" s="25">
        <v>52720.25</v>
      </c>
      <c r="I210" s="26" t="s">
        <v>7049</v>
      </c>
      <c r="J210" s="25" t="s">
        <v>7047</v>
      </c>
    </row>
    <row r="211" ht="17.25" customHeight="1">
      <c r="B211" s="25" t="s">
        <v>590</v>
      </c>
      <c r="C211" s="25" t="s">
        <v>7047</v>
      </c>
      <c r="D211" s="25" t="s">
        <v>913</v>
      </c>
      <c r="E211" s="25" t="s">
        <v>7095</v>
      </c>
      <c r="F211" s="25" t="s">
        <v>913</v>
      </c>
      <c r="G211" s="25">
        <v>8770809.87</v>
      </c>
      <c r="H211" s="25">
        <v>14545.29</v>
      </c>
      <c r="I211" s="26" t="s">
        <v>7049</v>
      </c>
      <c r="J211" s="25" t="s">
        <v>7047</v>
      </c>
    </row>
    <row r="212" ht="17.25" customHeight="1">
      <c r="B212" s="25" t="s">
        <v>590</v>
      </c>
      <c r="C212" s="25" t="s">
        <v>7047</v>
      </c>
      <c r="D212" s="25" t="s">
        <v>915</v>
      </c>
      <c r="E212" s="25" t="s">
        <v>7096</v>
      </c>
      <c r="F212" s="25" t="s">
        <v>915</v>
      </c>
      <c r="G212" s="25">
        <v>4.260385247E7</v>
      </c>
      <c r="H212" s="25">
        <v>70653.16</v>
      </c>
      <c r="I212" s="26" t="s">
        <v>7049</v>
      </c>
      <c r="J212" s="25" t="s">
        <v>7047</v>
      </c>
    </row>
    <row r="213" ht="17.25" customHeight="1">
      <c r="B213" s="25" t="s">
        <v>590</v>
      </c>
      <c r="C213" s="25" t="s">
        <v>7047</v>
      </c>
      <c r="D213" s="25" t="s">
        <v>7097</v>
      </c>
      <c r="E213" s="25" t="s">
        <v>7098</v>
      </c>
      <c r="F213" s="25" t="s">
        <v>7097</v>
      </c>
      <c r="G213" s="25">
        <v>3.429898378E7</v>
      </c>
      <c r="H213" s="25">
        <v>48582.13</v>
      </c>
      <c r="I213" s="26" t="s">
        <v>7049</v>
      </c>
      <c r="J213" s="25" t="s">
        <v>7047</v>
      </c>
    </row>
    <row r="214" ht="17.25" customHeight="1">
      <c r="B214" s="25" t="s">
        <v>590</v>
      </c>
      <c r="C214" s="25" t="s">
        <v>7047</v>
      </c>
      <c r="D214" s="25" t="s">
        <v>917</v>
      </c>
      <c r="E214" s="25" t="s">
        <v>7099</v>
      </c>
      <c r="F214" s="25" t="s">
        <v>917</v>
      </c>
      <c r="G214" s="25">
        <v>2.0926294525E8</v>
      </c>
      <c r="H214" s="25">
        <v>295152.25</v>
      </c>
      <c r="I214" s="26" t="s">
        <v>7049</v>
      </c>
      <c r="J214" s="25" t="s">
        <v>7047</v>
      </c>
    </row>
    <row r="215" ht="17.25" customHeight="1">
      <c r="B215" s="25" t="s">
        <v>590</v>
      </c>
      <c r="C215" s="25" t="s">
        <v>7047</v>
      </c>
      <c r="D215" s="25" t="s">
        <v>919</v>
      </c>
      <c r="E215" s="25" t="s">
        <v>7100</v>
      </c>
      <c r="F215" s="25" t="s">
        <v>919</v>
      </c>
      <c r="G215" s="25">
        <v>4.9715832249E8</v>
      </c>
      <c r="H215" s="25">
        <v>701210.61</v>
      </c>
      <c r="I215" s="26" t="s">
        <v>7049</v>
      </c>
      <c r="J215" s="25" t="s">
        <v>7047</v>
      </c>
    </row>
    <row r="216" ht="17.25" customHeight="1">
      <c r="B216" s="25" t="s">
        <v>590</v>
      </c>
      <c r="C216" s="25" t="s">
        <v>7047</v>
      </c>
      <c r="D216" s="25" t="s">
        <v>925</v>
      </c>
      <c r="E216" s="25" t="s">
        <v>7101</v>
      </c>
      <c r="F216" s="25" t="s">
        <v>925</v>
      </c>
      <c r="G216" s="25">
        <v>2.2751689032E8</v>
      </c>
      <c r="H216" s="25">
        <v>423681.36</v>
      </c>
      <c r="I216" s="26" t="s">
        <v>7049</v>
      </c>
      <c r="J216" s="25" t="s">
        <v>7047</v>
      </c>
    </row>
    <row r="217" ht="17.25" customHeight="1">
      <c r="B217" s="25" t="s">
        <v>590</v>
      </c>
      <c r="C217" s="25" t="s">
        <v>7047</v>
      </c>
      <c r="D217" s="25" t="s">
        <v>927</v>
      </c>
      <c r="E217" s="25" t="s">
        <v>7102</v>
      </c>
      <c r="F217" s="25" t="s">
        <v>927</v>
      </c>
      <c r="G217" s="25">
        <v>1.222323813E7</v>
      </c>
      <c r="H217" s="25">
        <v>20270.71</v>
      </c>
      <c r="I217" s="26" t="s">
        <v>7049</v>
      </c>
      <c r="J217" s="25" t="s">
        <v>7047</v>
      </c>
    </row>
    <row r="218" ht="17.25" customHeight="1">
      <c r="B218" s="25" t="s">
        <v>590</v>
      </c>
      <c r="C218" s="25" t="s">
        <v>7047</v>
      </c>
      <c r="D218" s="25" t="s">
        <v>935</v>
      </c>
      <c r="E218" s="25" t="s">
        <v>7103</v>
      </c>
      <c r="F218" s="25" t="s">
        <v>935</v>
      </c>
      <c r="G218" s="25">
        <v>1.2096464536E8</v>
      </c>
      <c r="H218" s="25">
        <v>170613.04</v>
      </c>
      <c r="I218" s="26" t="s">
        <v>7049</v>
      </c>
      <c r="J218" s="25" t="s">
        <v>7047</v>
      </c>
    </row>
    <row r="219" ht="17.25" customHeight="1">
      <c r="B219" s="25" t="s">
        <v>590</v>
      </c>
      <c r="C219" s="25" t="s">
        <v>7047</v>
      </c>
      <c r="D219" s="25" t="s">
        <v>736</v>
      </c>
      <c r="E219" s="25" t="s">
        <v>7104</v>
      </c>
      <c r="F219" s="25" t="s">
        <v>736</v>
      </c>
      <c r="G219" s="25">
        <v>6.870780387E7</v>
      </c>
      <c r="H219" s="25">
        <v>113943.29</v>
      </c>
      <c r="I219" s="26" t="s">
        <v>7049</v>
      </c>
      <c r="J219" s="25" t="s">
        <v>7047</v>
      </c>
    </row>
    <row r="220" ht="17.25" customHeight="1">
      <c r="B220" s="25" t="s">
        <v>590</v>
      </c>
      <c r="C220" s="25" t="s">
        <v>7047</v>
      </c>
      <c r="D220" s="25" t="s">
        <v>939</v>
      </c>
      <c r="E220" s="25" t="s">
        <v>7105</v>
      </c>
      <c r="F220" s="25" t="s">
        <v>939</v>
      </c>
      <c r="G220" s="25">
        <v>6.636661416E7</v>
      </c>
      <c r="H220" s="25">
        <v>110060.72</v>
      </c>
      <c r="I220" s="26" t="s">
        <v>7049</v>
      </c>
      <c r="J220" s="25" t="s">
        <v>7047</v>
      </c>
    </row>
    <row r="221" ht="17.25" customHeight="1">
      <c r="B221" s="25" t="s">
        <v>590</v>
      </c>
      <c r="C221" s="25" t="s">
        <v>7047</v>
      </c>
      <c r="D221" s="25" t="s">
        <v>941</v>
      </c>
      <c r="E221" s="25" t="s">
        <v>131</v>
      </c>
      <c r="F221" s="25" t="s">
        <v>941</v>
      </c>
      <c r="G221" s="25">
        <v>1.1089665852E8</v>
      </c>
      <c r="H221" s="25">
        <v>157077.42</v>
      </c>
      <c r="I221" s="26" t="s">
        <v>7049</v>
      </c>
      <c r="J221" s="25" t="s">
        <v>7047</v>
      </c>
    </row>
    <row r="222" ht="17.25" customHeight="1">
      <c r="B222" s="25" t="s">
        <v>590</v>
      </c>
      <c r="C222" s="25" t="s">
        <v>7106</v>
      </c>
      <c r="D222" s="25" t="s">
        <v>739</v>
      </c>
      <c r="E222" s="25" t="s">
        <v>7107</v>
      </c>
      <c r="F222" s="25" t="s">
        <v>739</v>
      </c>
      <c r="G222" s="25">
        <v>5019502.68</v>
      </c>
      <c r="H222" s="25">
        <v>8069.94</v>
      </c>
      <c r="I222" s="26" t="s">
        <v>7049</v>
      </c>
      <c r="J222" s="25" t="s">
        <v>7106</v>
      </c>
    </row>
    <row r="223" ht="17.25" customHeight="1">
      <c r="B223" s="25" t="s">
        <v>590</v>
      </c>
      <c r="C223" s="25" t="s">
        <v>7106</v>
      </c>
      <c r="D223" s="25" t="s">
        <v>695</v>
      </c>
      <c r="E223" s="25" t="s">
        <v>7108</v>
      </c>
      <c r="F223" s="25" t="s">
        <v>695</v>
      </c>
      <c r="G223" s="25">
        <v>2.1876393815E8</v>
      </c>
      <c r="H223" s="25">
        <v>309425.72</v>
      </c>
      <c r="I223" s="26" t="s">
        <v>7049</v>
      </c>
      <c r="J223" s="25" t="s">
        <v>7106</v>
      </c>
    </row>
    <row r="224" ht="17.25" customHeight="1">
      <c r="B224" s="25" t="s">
        <v>590</v>
      </c>
      <c r="C224" s="25" t="s">
        <v>7106</v>
      </c>
      <c r="D224" s="25" t="s">
        <v>744</v>
      </c>
      <c r="E224" s="25" t="s">
        <v>7109</v>
      </c>
      <c r="F224" s="25" t="s">
        <v>744</v>
      </c>
      <c r="G224" s="25">
        <v>2.774743866E7</v>
      </c>
      <c r="H224" s="25">
        <v>44610.03</v>
      </c>
      <c r="I224" s="26" t="s">
        <v>7049</v>
      </c>
      <c r="J224" s="25" t="s">
        <v>7106</v>
      </c>
    </row>
    <row r="225" ht="17.25" customHeight="1">
      <c r="B225" s="25" t="s">
        <v>590</v>
      </c>
      <c r="C225" s="25" t="s">
        <v>7106</v>
      </c>
      <c r="D225" s="25" t="s">
        <v>705</v>
      </c>
      <c r="E225" s="25" t="s">
        <v>7110</v>
      </c>
      <c r="F225" s="25" t="s">
        <v>705</v>
      </c>
      <c r="G225" s="25">
        <v>4.188414892E7</v>
      </c>
      <c r="H225" s="25">
        <v>67337.88</v>
      </c>
      <c r="I225" s="26" t="s">
        <v>7049</v>
      </c>
      <c r="J225" s="25" t="s">
        <v>7106</v>
      </c>
    </row>
    <row r="226" ht="17.25" customHeight="1">
      <c r="B226" s="25" t="s">
        <v>590</v>
      </c>
      <c r="C226" s="25" t="s">
        <v>7106</v>
      </c>
      <c r="D226" s="25" t="s">
        <v>749</v>
      </c>
      <c r="E226" s="25" t="s">
        <v>7111</v>
      </c>
      <c r="F226" s="25" t="s">
        <v>749</v>
      </c>
      <c r="G226" s="25">
        <v>3.217893986E7</v>
      </c>
      <c r="H226" s="25">
        <v>51734.65</v>
      </c>
      <c r="I226" s="26" t="s">
        <v>7049</v>
      </c>
      <c r="J226" s="25" t="s">
        <v>7106</v>
      </c>
    </row>
    <row r="227" ht="17.25" customHeight="1">
      <c r="B227" s="25" t="s">
        <v>590</v>
      </c>
      <c r="C227" s="25" t="s">
        <v>7106</v>
      </c>
      <c r="D227" s="25" t="s">
        <v>751</v>
      </c>
      <c r="E227" s="25" t="s">
        <v>7112</v>
      </c>
      <c r="F227" s="25" t="s">
        <v>751</v>
      </c>
      <c r="G227" s="25">
        <v>1.949028292E7</v>
      </c>
      <c r="H227" s="25">
        <v>31334.86</v>
      </c>
      <c r="I227" s="26" t="s">
        <v>7049</v>
      </c>
      <c r="J227" s="25" t="s">
        <v>7106</v>
      </c>
    </row>
    <row r="228" ht="17.25" customHeight="1">
      <c r="B228" s="25" t="s">
        <v>590</v>
      </c>
      <c r="C228" s="25" t="s">
        <v>7106</v>
      </c>
      <c r="D228" s="25" t="s">
        <v>761</v>
      </c>
      <c r="E228" s="25" t="s">
        <v>7113</v>
      </c>
      <c r="F228" s="25" t="s">
        <v>761</v>
      </c>
      <c r="G228" s="25">
        <v>3.950103312E8</v>
      </c>
      <c r="H228" s="25">
        <v>539631.64</v>
      </c>
      <c r="I228" s="26" t="s">
        <v>7049</v>
      </c>
      <c r="J228" s="25" t="s">
        <v>7106</v>
      </c>
    </row>
    <row r="229" ht="17.25" customHeight="1">
      <c r="B229" s="25" t="s">
        <v>590</v>
      </c>
      <c r="C229" s="25" t="s">
        <v>7106</v>
      </c>
      <c r="D229" s="25" t="s">
        <v>765</v>
      </c>
      <c r="E229" s="25" t="s">
        <v>7114</v>
      </c>
      <c r="F229" s="25" t="s">
        <v>765</v>
      </c>
      <c r="G229" s="25">
        <v>5147361.0</v>
      </c>
      <c r="H229" s="25">
        <v>8275.5</v>
      </c>
      <c r="I229" s="26" t="s">
        <v>7049</v>
      </c>
      <c r="J229" s="25" t="s">
        <v>7106</v>
      </c>
    </row>
    <row r="230" ht="17.25" customHeight="1">
      <c r="B230" s="25" t="s">
        <v>590</v>
      </c>
      <c r="C230" s="25" t="s">
        <v>7106</v>
      </c>
      <c r="D230" s="25" t="s">
        <v>768</v>
      </c>
      <c r="E230" s="25" t="s">
        <v>7115</v>
      </c>
      <c r="F230" s="25" t="s">
        <v>878</v>
      </c>
      <c r="G230" s="25">
        <v>7.999299099E7</v>
      </c>
      <c r="H230" s="25">
        <v>128813.19</v>
      </c>
      <c r="I230" s="26" t="s">
        <v>7049</v>
      </c>
      <c r="J230" s="25" t="s">
        <v>7106</v>
      </c>
    </row>
    <row r="231" ht="17.25" customHeight="1">
      <c r="B231" s="25" t="s">
        <v>590</v>
      </c>
      <c r="C231" s="25" t="s">
        <v>7106</v>
      </c>
      <c r="D231" s="25" t="s">
        <v>768</v>
      </c>
      <c r="E231" s="25" t="s">
        <v>7116</v>
      </c>
      <c r="F231" s="25" t="s">
        <v>768</v>
      </c>
      <c r="G231" s="25">
        <v>1.0141956624E8</v>
      </c>
      <c r="H231" s="25">
        <v>138551.39</v>
      </c>
      <c r="I231" s="26" t="s">
        <v>7049</v>
      </c>
      <c r="J231" s="25" t="s">
        <v>7106</v>
      </c>
    </row>
    <row r="232" ht="17.25" customHeight="1">
      <c r="B232" s="25" t="s">
        <v>590</v>
      </c>
      <c r="C232" s="25" t="s">
        <v>7106</v>
      </c>
      <c r="D232" s="25" t="s">
        <v>770</v>
      </c>
      <c r="E232" s="25" t="s">
        <v>7117</v>
      </c>
      <c r="F232" s="25" t="s">
        <v>770</v>
      </c>
      <c r="G232" s="25">
        <v>4.890187014E7</v>
      </c>
      <c r="H232" s="25">
        <v>78620.37</v>
      </c>
      <c r="I232" s="26" t="s">
        <v>7049</v>
      </c>
      <c r="J232" s="25" t="s">
        <v>7106</v>
      </c>
    </row>
    <row r="233" ht="17.25" customHeight="1">
      <c r="B233" s="25" t="s">
        <v>590</v>
      </c>
      <c r="C233" s="25" t="s">
        <v>7106</v>
      </c>
      <c r="D233" s="25" t="s">
        <v>772</v>
      </c>
      <c r="E233" s="25" t="s">
        <v>7118</v>
      </c>
      <c r="F233" s="25" t="s">
        <v>772</v>
      </c>
      <c r="G233" s="25">
        <v>1.683941533E7</v>
      </c>
      <c r="H233" s="25">
        <v>27073.02</v>
      </c>
      <c r="I233" s="26" t="s">
        <v>7049</v>
      </c>
      <c r="J233" s="25" t="s">
        <v>7106</v>
      </c>
    </row>
    <row r="234" ht="17.25" customHeight="1">
      <c r="B234" s="25" t="s">
        <v>590</v>
      </c>
      <c r="C234" s="25" t="s">
        <v>7106</v>
      </c>
      <c r="D234" s="25" t="s">
        <v>1093</v>
      </c>
      <c r="E234" s="25" t="s">
        <v>7119</v>
      </c>
      <c r="F234" s="25" t="s">
        <v>1093</v>
      </c>
      <c r="G234" s="25">
        <v>9.196103926E7</v>
      </c>
      <c r="H234" s="25">
        <v>147847.33</v>
      </c>
      <c r="I234" s="26" t="s">
        <v>7049</v>
      </c>
      <c r="J234" s="25" t="s">
        <v>7106</v>
      </c>
    </row>
    <row r="235" ht="17.25" customHeight="1">
      <c r="B235" s="25" t="s">
        <v>590</v>
      </c>
      <c r="C235" s="25" t="s">
        <v>7106</v>
      </c>
      <c r="D235" s="25" t="s">
        <v>774</v>
      </c>
      <c r="E235" s="25" t="s">
        <v>7120</v>
      </c>
      <c r="F235" s="25" t="s">
        <v>774</v>
      </c>
      <c r="G235" s="25">
        <v>1.93259430546E9</v>
      </c>
      <c r="H235" s="25">
        <v>2640156.6</v>
      </c>
      <c r="I235" s="26" t="s">
        <v>7049</v>
      </c>
      <c r="J235" s="25" t="s">
        <v>7106</v>
      </c>
    </row>
    <row r="236" ht="17.25" customHeight="1">
      <c r="B236" s="25" t="s">
        <v>590</v>
      </c>
      <c r="C236" s="25" t="s">
        <v>7106</v>
      </c>
      <c r="D236" s="25" t="s">
        <v>776</v>
      </c>
      <c r="E236" s="25" t="s">
        <v>7121</v>
      </c>
      <c r="F236" s="25" t="s">
        <v>776</v>
      </c>
      <c r="G236" s="25">
        <v>4.589009016E7</v>
      </c>
      <c r="H236" s="25">
        <v>73778.38</v>
      </c>
      <c r="I236" s="26" t="s">
        <v>7049</v>
      </c>
      <c r="J236" s="25" t="s">
        <v>7106</v>
      </c>
    </row>
    <row r="237" ht="17.25" customHeight="1">
      <c r="B237" s="25" t="s">
        <v>590</v>
      </c>
      <c r="C237" s="25" t="s">
        <v>7106</v>
      </c>
      <c r="D237" s="25" t="s">
        <v>1098</v>
      </c>
      <c r="E237" s="25" t="s">
        <v>7122</v>
      </c>
      <c r="F237" s="25" t="s">
        <v>1098</v>
      </c>
      <c r="G237" s="25">
        <v>4.30773828E7</v>
      </c>
      <c r="H237" s="25">
        <v>83483.32</v>
      </c>
      <c r="I237" s="26" t="s">
        <v>7049</v>
      </c>
      <c r="J237" s="25" t="s">
        <v>7106</v>
      </c>
    </row>
    <row r="238" ht="17.25" customHeight="1">
      <c r="B238" s="25" t="s">
        <v>590</v>
      </c>
      <c r="C238" s="25" t="s">
        <v>7106</v>
      </c>
      <c r="D238" s="25" t="s">
        <v>779</v>
      </c>
      <c r="E238" s="25" t="s">
        <v>7123</v>
      </c>
      <c r="F238" s="25" t="s">
        <v>779</v>
      </c>
      <c r="G238" s="25">
        <v>1.9149915501E8</v>
      </c>
      <c r="H238" s="25">
        <v>307876.52</v>
      </c>
      <c r="I238" s="26" t="s">
        <v>7049</v>
      </c>
      <c r="J238" s="25" t="s">
        <v>7106</v>
      </c>
    </row>
    <row r="239" ht="17.25" customHeight="1">
      <c r="B239" s="25" t="s">
        <v>590</v>
      </c>
      <c r="C239" s="25" t="s">
        <v>7106</v>
      </c>
      <c r="D239" s="25" t="s">
        <v>783</v>
      </c>
      <c r="E239" s="25" t="s">
        <v>7124</v>
      </c>
      <c r="F239" s="25" t="s">
        <v>783</v>
      </c>
      <c r="G239" s="25">
        <v>1.0996688497E8</v>
      </c>
      <c r="H239" s="25">
        <v>176795.79</v>
      </c>
      <c r="I239" s="26" t="s">
        <v>7049</v>
      </c>
      <c r="J239" s="25" t="s">
        <v>7106</v>
      </c>
    </row>
    <row r="240" ht="17.25" customHeight="1">
      <c r="B240" s="25" t="s">
        <v>590</v>
      </c>
      <c r="C240" s="25" t="s">
        <v>7106</v>
      </c>
      <c r="D240" s="25" t="s">
        <v>708</v>
      </c>
      <c r="E240" s="25" t="s">
        <v>7125</v>
      </c>
      <c r="F240" s="25" t="s">
        <v>708</v>
      </c>
      <c r="G240" s="25">
        <v>4.588087212E7</v>
      </c>
      <c r="H240" s="25">
        <v>73763.47</v>
      </c>
      <c r="I240" s="26" t="s">
        <v>7049</v>
      </c>
      <c r="J240" s="25" t="s">
        <v>7106</v>
      </c>
    </row>
    <row r="241" ht="17.25" customHeight="1">
      <c r="B241" s="25" t="s">
        <v>590</v>
      </c>
      <c r="C241" s="25" t="s">
        <v>7106</v>
      </c>
      <c r="D241" s="25" t="s">
        <v>786</v>
      </c>
      <c r="E241" s="25" t="s">
        <v>7126</v>
      </c>
      <c r="F241" s="25" t="s">
        <v>786</v>
      </c>
      <c r="G241" s="25">
        <v>3.888533764E7</v>
      </c>
      <c r="H241" s="25">
        <v>62516.69</v>
      </c>
      <c r="I241" s="26" t="s">
        <v>7049</v>
      </c>
      <c r="J241" s="25" t="s">
        <v>7106</v>
      </c>
    </row>
    <row r="242" ht="17.25" customHeight="1">
      <c r="B242" s="25" t="s">
        <v>590</v>
      </c>
      <c r="C242" s="25" t="s">
        <v>7106</v>
      </c>
      <c r="D242" s="25" t="s">
        <v>788</v>
      </c>
      <c r="E242" s="25" t="s">
        <v>7127</v>
      </c>
      <c r="F242" s="25" t="s">
        <v>788</v>
      </c>
      <c r="G242" s="25">
        <v>7.7462389688E8</v>
      </c>
      <c r="H242" s="25">
        <v>1245376.21</v>
      </c>
      <c r="I242" s="26" t="s">
        <v>7049</v>
      </c>
      <c r="J242" s="25" t="s">
        <v>7106</v>
      </c>
    </row>
    <row r="243" ht="17.25" customHeight="1">
      <c r="B243" s="25" t="s">
        <v>590</v>
      </c>
      <c r="C243" s="25" t="s">
        <v>7106</v>
      </c>
      <c r="D243" s="25" t="s">
        <v>1274</v>
      </c>
      <c r="E243" s="25" t="s">
        <v>7128</v>
      </c>
      <c r="F243" s="25" t="s">
        <v>1274</v>
      </c>
      <c r="G243" s="25">
        <v>473559.7</v>
      </c>
      <c r="H243" s="25">
        <v>761.36</v>
      </c>
      <c r="I243" s="26" t="s">
        <v>7049</v>
      </c>
      <c r="J243" s="25" t="s">
        <v>7106</v>
      </c>
    </row>
    <row r="244" ht="17.25" customHeight="1">
      <c r="B244" s="25" t="s">
        <v>590</v>
      </c>
      <c r="C244" s="25" t="s">
        <v>7106</v>
      </c>
      <c r="D244" s="25" t="s">
        <v>792</v>
      </c>
      <c r="E244" s="25" t="s">
        <v>7129</v>
      </c>
      <c r="F244" s="25" t="s">
        <v>792</v>
      </c>
      <c r="G244" s="25">
        <v>1.136275198E7</v>
      </c>
      <c r="H244" s="25">
        <v>18268.1</v>
      </c>
      <c r="I244" s="26" t="s">
        <v>7049</v>
      </c>
      <c r="J244" s="25" t="s">
        <v>7106</v>
      </c>
    </row>
    <row r="245" ht="17.25" customHeight="1">
      <c r="B245" s="25" t="s">
        <v>590</v>
      </c>
      <c r="C245" s="25" t="s">
        <v>7106</v>
      </c>
      <c r="D245" s="25" t="s">
        <v>794</v>
      </c>
      <c r="E245" s="25" t="s">
        <v>7130</v>
      </c>
      <c r="F245" s="25" t="s">
        <v>794</v>
      </c>
      <c r="G245" s="25">
        <v>1.0639710879E8</v>
      </c>
      <c r="H245" s="25">
        <v>171056.47</v>
      </c>
      <c r="I245" s="26" t="s">
        <v>7049</v>
      </c>
      <c r="J245" s="25" t="s">
        <v>7106</v>
      </c>
    </row>
    <row r="246" ht="17.25" customHeight="1">
      <c r="B246" s="25" t="s">
        <v>590</v>
      </c>
      <c r="C246" s="25" t="s">
        <v>7106</v>
      </c>
      <c r="D246" s="25" t="s">
        <v>953</v>
      </c>
      <c r="E246" s="25" t="s">
        <v>7131</v>
      </c>
      <c r="F246" s="25" t="s">
        <v>953</v>
      </c>
      <c r="G246" s="25">
        <v>5.497654295E7</v>
      </c>
      <c r="H246" s="25">
        <v>88386.74</v>
      </c>
      <c r="I246" s="26" t="s">
        <v>7049</v>
      </c>
      <c r="J246" s="25" t="s">
        <v>7106</v>
      </c>
    </row>
    <row r="247" ht="17.25" customHeight="1">
      <c r="B247" s="25" t="s">
        <v>590</v>
      </c>
      <c r="C247" s="25" t="s">
        <v>7106</v>
      </c>
      <c r="D247" s="25" t="s">
        <v>1121</v>
      </c>
      <c r="E247" s="25" t="s">
        <v>7132</v>
      </c>
      <c r="F247" s="25" t="s">
        <v>1121</v>
      </c>
      <c r="G247" s="25">
        <v>3.57685454E7</v>
      </c>
      <c r="H247" s="25">
        <v>57505.7</v>
      </c>
      <c r="I247" s="26" t="s">
        <v>7049</v>
      </c>
      <c r="J247" s="25" t="s">
        <v>7106</v>
      </c>
    </row>
    <row r="248" ht="17.25" customHeight="1">
      <c r="B248" s="25" t="s">
        <v>590</v>
      </c>
      <c r="C248" s="25" t="s">
        <v>7106</v>
      </c>
      <c r="D248" s="25" t="s">
        <v>808</v>
      </c>
      <c r="E248" s="25" t="s">
        <v>7133</v>
      </c>
      <c r="F248" s="25" t="s">
        <v>808</v>
      </c>
      <c r="G248" s="25">
        <v>1.6843138E7</v>
      </c>
      <c r="H248" s="25">
        <v>27079.0</v>
      </c>
      <c r="I248" s="26" t="s">
        <v>7049</v>
      </c>
      <c r="J248" s="25" t="s">
        <v>7106</v>
      </c>
    </row>
    <row r="249" ht="17.25" customHeight="1">
      <c r="B249" s="25" t="s">
        <v>590</v>
      </c>
      <c r="C249" s="25" t="s">
        <v>7106</v>
      </c>
      <c r="D249" s="25" t="s">
        <v>810</v>
      </c>
      <c r="E249" s="25" t="s">
        <v>7134</v>
      </c>
      <c r="F249" s="25" t="s">
        <v>810</v>
      </c>
      <c r="G249" s="25">
        <v>2.4171883478E8</v>
      </c>
      <c r="H249" s="25">
        <v>388615.49</v>
      </c>
      <c r="I249" s="26" t="s">
        <v>7049</v>
      </c>
      <c r="J249" s="25" t="s">
        <v>7106</v>
      </c>
    </row>
    <row r="250" ht="17.25" customHeight="1">
      <c r="B250" s="25" t="s">
        <v>590</v>
      </c>
      <c r="C250" s="25" t="s">
        <v>7106</v>
      </c>
      <c r="D250" s="25" t="s">
        <v>1028</v>
      </c>
      <c r="E250" s="25" t="s">
        <v>7135</v>
      </c>
      <c r="F250" s="25" t="s">
        <v>1028</v>
      </c>
      <c r="G250" s="25">
        <v>6026416.91</v>
      </c>
      <c r="H250" s="25">
        <v>9735.77</v>
      </c>
      <c r="I250" s="26" t="s">
        <v>7049</v>
      </c>
      <c r="J250" s="25" t="s">
        <v>7106</v>
      </c>
    </row>
    <row r="251" ht="17.25" customHeight="1">
      <c r="B251" s="25" t="s">
        <v>590</v>
      </c>
      <c r="C251" s="25" t="s">
        <v>7106</v>
      </c>
      <c r="D251" s="25" t="s">
        <v>814</v>
      </c>
      <c r="E251" s="25" t="s">
        <v>7136</v>
      </c>
      <c r="F251" s="25" t="s">
        <v>814</v>
      </c>
      <c r="G251" s="25">
        <v>3.874042536E7</v>
      </c>
      <c r="H251" s="25">
        <v>53214.88</v>
      </c>
      <c r="I251" s="26" t="s">
        <v>7049</v>
      </c>
      <c r="J251" s="25" t="s">
        <v>7106</v>
      </c>
    </row>
    <row r="252" ht="17.25" customHeight="1">
      <c r="B252" s="25" t="s">
        <v>590</v>
      </c>
      <c r="C252" s="25" t="s">
        <v>7106</v>
      </c>
      <c r="D252" s="25" t="s">
        <v>816</v>
      </c>
      <c r="E252" s="25" t="s">
        <v>7137</v>
      </c>
      <c r="F252" s="25" t="s">
        <v>816</v>
      </c>
      <c r="G252" s="25">
        <v>1.0669370949E8</v>
      </c>
      <c r="H252" s="25">
        <v>171533.32</v>
      </c>
      <c r="I252" s="26" t="s">
        <v>7049</v>
      </c>
      <c r="J252" s="25" t="s">
        <v>7106</v>
      </c>
    </row>
    <row r="253" ht="17.25" customHeight="1">
      <c r="B253" s="25" t="s">
        <v>590</v>
      </c>
      <c r="C253" s="25" t="s">
        <v>7106</v>
      </c>
      <c r="D253" s="25" t="s">
        <v>818</v>
      </c>
      <c r="E253" s="25" t="s">
        <v>7138</v>
      </c>
      <c r="F253" s="25" t="s">
        <v>818</v>
      </c>
      <c r="G253" s="25">
        <v>1.638608929E7</v>
      </c>
      <c r="H253" s="25">
        <v>26344.2</v>
      </c>
      <c r="I253" s="26" t="s">
        <v>7049</v>
      </c>
      <c r="J253" s="25" t="s">
        <v>7106</v>
      </c>
    </row>
    <row r="254" ht="17.25" customHeight="1">
      <c r="B254" s="25" t="s">
        <v>590</v>
      </c>
      <c r="C254" s="25" t="s">
        <v>7106</v>
      </c>
      <c r="D254" s="25" t="s">
        <v>822</v>
      </c>
      <c r="E254" s="25" t="s">
        <v>7139</v>
      </c>
      <c r="F254" s="25" t="s">
        <v>822</v>
      </c>
      <c r="G254" s="25">
        <v>3902763.88</v>
      </c>
      <c r="H254" s="25">
        <v>6274.54</v>
      </c>
      <c r="I254" s="26" t="s">
        <v>7049</v>
      </c>
      <c r="J254" s="25" t="s">
        <v>7106</v>
      </c>
    </row>
    <row r="255" ht="17.25" customHeight="1">
      <c r="B255" s="25" t="s">
        <v>590</v>
      </c>
      <c r="C255" s="25" t="s">
        <v>7106</v>
      </c>
      <c r="D255" s="25" t="s">
        <v>824</v>
      </c>
      <c r="E255" s="25" t="s">
        <v>7140</v>
      </c>
      <c r="F255" s="25" t="s">
        <v>824</v>
      </c>
      <c r="G255" s="25">
        <v>2100145.68</v>
      </c>
      <c r="H255" s="25">
        <v>3376.44</v>
      </c>
      <c r="I255" s="26" t="s">
        <v>7049</v>
      </c>
      <c r="J255" s="25" t="s">
        <v>7106</v>
      </c>
    </row>
    <row r="256" ht="17.25" customHeight="1">
      <c r="B256" s="25" t="s">
        <v>590</v>
      </c>
      <c r="C256" s="25" t="s">
        <v>7106</v>
      </c>
      <c r="D256" s="25" t="s">
        <v>826</v>
      </c>
      <c r="E256" s="25" t="s">
        <v>7141</v>
      </c>
      <c r="F256" s="25" t="s">
        <v>826</v>
      </c>
      <c r="G256" s="25">
        <v>1.811993264E8</v>
      </c>
      <c r="H256" s="25">
        <v>291317.3</v>
      </c>
      <c r="I256" s="26" t="s">
        <v>7049</v>
      </c>
      <c r="J256" s="25" t="s">
        <v>7106</v>
      </c>
    </row>
    <row r="257" ht="17.25" customHeight="1">
      <c r="B257" s="25" t="s">
        <v>590</v>
      </c>
      <c r="C257" s="25" t="s">
        <v>7106</v>
      </c>
      <c r="D257" s="25" t="s">
        <v>834</v>
      </c>
      <c r="E257" s="25" t="s">
        <v>7142</v>
      </c>
      <c r="F257" s="25" t="s">
        <v>834</v>
      </c>
      <c r="G257" s="25">
        <v>2.2128420752E8</v>
      </c>
      <c r="H257" s="25">
        <v>308625.18</v>
      </c>
      <c r="I257" s="26" t="s">
        <v>7049</v>
      </c>
      <c r="J257" s="25" t="s">
        <v>7106</v>
      </c>
    </row>
    <row r="258" ht="17.25" customHeight="1">
      <c r="B258" s="25" t="s">
        <v>590</v>
      </c>
      <c r="C258" s="25" t="s">
        <v>7106</v>
      </c>
      <c r="D258" s="25" t="s">
        <v>836</v>
      </c>
      <c r="E258" s="25" t="s">
        <v>7143</v>
      </c>
      <c r="F258" s="25" t="s">
        <v>836</v>
      </c>
      <c r="G258" s="25">
        <v>7.59590208E7</v>
      </c>
      <c r="H258" s="25">
        <v>105206.43</v>
      </c>
      <c r="I258" s="26" t="s">
        <v>7049</v>
      </c>
      <c r="J258" s="25" t="s">
        <v>7106</v>
      </c>
    </row>
    <row r="259" ht="17.25" customHeight="1">
      <c r="B259" s="25" t="s">
        <v>590</v>
      </c>
      <c r="C259" s="25" t="s">
        <v>7106</v>
      </c>
      <c r="D259" s="25" t="s">
        <v>6876</v>
      </c>
      <c r="E259" s="25" t="s">
        <v>7144</v>
      </c>
      <c r="F259" s="25" t="s">
        <v>1109</v>
      </c>
      <c r="G259" s="25">
        <v>3.670241931E7</v>
      </c>
      <c r="H259" s="25">
        <v>59007.11</v>
      </c>
      <c r="I259" s="26" t="s">
        <v>7049</v>
      </c>
      <c r="J259" s="25" t="s">
        <v>7106</v>
      </c>
    </row>
    <row r="260" ht="17.25" customHeight="1">
      <c r="B260" s="25" t="s">
        <v>590</v>
      </c>
      <c r="C260" s="25" t="s">
        <v>7106</v>
      </c>
      <c r="D260" s="25" t="s">
        <v>6876</v>
      </c>
      <c r="E260" s="25" t="s">
        <v>7145</v>
      </c>
      <c r="F260" s="25" t="s">
        <v>1265</v>
      </c>
      <c r="G260" s="25">
        <v>1.474654083E8</v>
      </c>
      <c r="H260" s="25">
        <v>237082.65</v>
      </c>
      <c r="I260" s="26" t="s">
        <v>7049</v>
      </c>
      <c r="J260" s="25" t="s">
        <v>7106</v>
      </c>
    </row>
    <row r="261" ht="17.25" customHeight="1">
      <c r="B261" s="25" t="s">
        <v>590</v>
      </c>
      <c r="C261" s="25" t="s">
        <v>7106</v>
      </c>
      <c r="D261" s="25" t="s">
        <v>710</v>
      </c>
      <c r="E261" s="25" t="s">
        <v>7146</v>
      </c>
      <c r="F261" s="25" t="s">
        <v>710</v>
      </c>
      <c r="G261" s="25">
        <v>1.0005574415E8</v>
      </c>
      <c r="H261" s="25">
        <v>160861.37</v>
      </c>
      <c r="I261" s="26" t="s">
        <v>7049</v>
      </c>
      <c r="J261" s="25" t="s">
        <v>7106</v>
      </c>
    </row>
    <row r="262" ht="17.25" customHeight="1">
      <c r="B262" s="25" t="s">
        <v>590</v>
      </c>
      <c r="C262" s="25" t="s">
        <v>7106</v>
      </c>
      <c r="D262" s="25" t="s">
        <v>1139</v>
      </c>
      <c r="E262" s="25" t="s">
        <v>7147</v>
      </c>
      <c r="F262" s="25" t="s">
        <v>1139</v>
      </c>
      <c r="G262" s="25">
        <v>1.65734699E7</v>
      </c>
      <c r="H262" s="25">
        <v>26645.45</v>
      </c>
      <c r="I262" s="26" t="s">
        <v>7049</v>
      </c>
      <c r="J262" s="25" t="s">
        <v>7106</v>
      </c>
    </row>
    <row r="263" ht="17.25" customHeight="1">
      <c r="B263" s="25" t="s">
        <v>590</v>
      </c>
      <c r="C263" s="25" t="s">
        <v>7106</v>
      </c>
      <c r="D263" s="25" t="s">
        <v>842</v>
      </c>
      <c r="E263" s="25" t="s">
        <v>7148</v>
      </c>
      <c r="F263" s="25" t="s">
        <v>842</v>
      </c>
      <c r="G263" s="25">
        <v>1.4797247874E8</v>
      </c>
      <c r="H263" s="25">
        <v>202148.23</v>
      </c>
      <c r="I263" s="26" t="s">
        <v>7049</v>
      </c>
      <c r="J263" s="25" t="s">
        <v>7106</v>
      </c>
    </row>
    <row r="264" ht="17.25" customHeight="1">
      <c r="B264" s="25" t="s">
        <v>590</v>
      </c>
      <c r="C264" s="25" t="s">
        <v>7106</v>
      </c>
      <c r="D264" s="25" t="s">
        <v>846</v>
      </c>
      <c r="E264" s="25" t="s">
        <v>7149</v>
      </c>
      <c r="F264" s="25" t="s">
        <v>846</v>
      </c>
      <c r="G264" s="25">
        <v>1.85793888E7</v>
      </c>
      <c r="H264" s="25">
        <v>29870.4</v>
      </c>
      <c r="I264" s="26" t="s">
        <v>7049</v>
      </c>
      <c r="J264" s="25" t="s">
        <v>7106</v>
      </c>
    </row>
    <row r="265" ht="17.25" customHeight="1">
      <c r="B265" s="25" t="s">
        <v>590</v>
      </c>
      <c r="C265" s="25" t="s">
        <v>7106</v>
      </c>
      <c r="D265" s="25" t="s">
        <v>848</v>
      </c>
      <c r="E265" s="25" t="s">
        <v>7150</v>
      </c>
      <c r="F265" s="25" t="s">
        <v>848</v>
      </c>
      <c r="G265" s="25">
        <v>7.830925752E7</v>
      </c>
      <c r="H265" s="25">
        <v>106979.91</v>
      </c>
      <c r="I265" s="26" t="s">
        <v>7049</v>
      </c>
      <c r="J265" s="25" t="s">
        <v>7106</v>
      </c>
    </row>
    <row r="266" ht="17.25" customHeight="1">
      <c r="B266" s="25" t="s">
        <v>590</v>
      </c>
      <c r="C266" s="25" t="s">
        <v>7106</v>
      </c>
      <c r="D266" s="25" t="s">
        <v>852</v>
      </c>
      <c r="E266" s="25" t="s">
        <v>7151</v>
      </c>
      <c r="F266" s="25" t="s">
        <v>852</v>
      </c>
      <c r="G266" s="25">
        <v>2.082328212E8</v>
      </c>
      <c r="H266" s="25">
        <v>285250.44</v>
      </c>
      <c r="I266" s="26" t="s">
        <v>7049</v>
      </c>
      <c r="J266" s="25" t="s">
        <v>7106</v>
      </c>
    </row>
    <row r="267" ht="17.25" customHeight="1">
      <c r="B267" s="25" t="s">
        <v>590</v>
      </c>
      <c r="C267" s="25" t="s">
        <v>7106</v>
      </c>
      <c r="D267" s="25" t="s">
        <v>1979</v>
      </c>
      <c r="E267" s="25" t="s">
        <v>7152</v>
      </c>
      <c r="F267" s="25" t="s">
        <v>1979</v>
      </c>
      <c r="G267" s="25">
        <v>1.68875844397E9</v>
      </c>
      <c r="H267" s="25">
        <v>2342244.85</v>
      </c>
      <c r="I267" s="26" t="s">
        <v>7049</v>
      </c>
      <c r="J267" s="25" t="s">
        <v>7106</v>
      </c>
    </row>
    <row r="268" ht="17.25" customHeight="1">
      <c r="B268" s="25" t="s">
        <v>590</v>
      </c>
      <c r="C268" s="25" t="s">
        <v>7106</v>
      </c>
      <c r="D268" s="25" t="s">
        <v>856</v>
      </c>
      <c r="E268" s="25" t="s">
        <v>7153</v>
      </c>
      <c r="F268" s="25" t="s">
        <v>856</v>
      </c>
      <c r="G268" s="25">
        <v>2.891396234E7</v>
      </c>
      <c r="H268" s="25">
        <v>46485.47</v>
      </c>
      <c r="I268" s="26" t="s">
        <v>7049</v>
      </c>
      <c r="J268" s="25" t="s">
        <v>7106</v>
      </c>
    </row>
    <row r="269" ht="17.25" customHeight="1">
      <c r="B269" s="25" t="s">
        <v>590</v>
      </c>
      <c r="C269" s="25" t="s">
        <v>7106</v>
      </c>
      <c r="D269" s="25" t="s">
        <v>862</v>
      </c>
      <c r="E269" s="25" t="s">
        <v>7154</v>
      </c>
      <c r="F269" s="25" t="s">
        <v>862</v>
      </c>
      <c r="G269" s="25">
        <v>5.165645312E7</v>
      </c>
      <c r="H269" s="25">
        <v>83048.97</v>
      </c>
      <c r="I269" s="26" t="s">
        <v>7049</v>
      </c>
      <c r="J269" s="25" t="s">
        <v>7106</v>
      </c>
    </row>
    <row r="270" ht="17.25" customHeight="1">
      <c r="B270" s="25" t="s">
        <v>590</v>
      </c>
      <c r="C270" s="25" t="s">
        <v>7106</v>
      </c>
      <c r="D270" s="25" t="s">
        <v>730</v>
      </c>
      <c r="E270" s="25" t="s">
        <v>7155</v>
      </c>
      <c r="F270" s="25" t="s">
        <v>730</v>
      </c>
      <c r="G270" s="25">
        <v>1.34137865E7</v>
      </c>
      <c r="H270" s="25">
        <v>18375.05</v>
      </c>
      <c r="I270" s="26" t="s">
        <v>7049</v>
      </c>
      <c r="J270" s="25" t="s">
        <v>7106</v>
      </c>
    </row>
    <row r="271" ht="17.25" customHeight="1">
      <c r="B271" s="25" t="s">
        <v>590</v>
      </c>
      <c r="C271" s="25" t="s">
        <v>7106</v>
      </c>
      <c r="D271" s="25" t="s">
        <v>713</v>
      </c>
      <c r="E271" s="25" t="s">
        <v>7156</v>
      </c>
      <c r="F271" s="25" t="s">
        <v>713</v>
      </c>
      <c r="G271" s="25">
        <v>5250709.41</v>
      </c>
      <c r="H271" s="25">
        <v>8441.72</v>
      </c>
      <c r="I271" s="26" t="s">
        <v>7049</v>
      </c>
      <c r="J271" s="25" t="s">
        <v>7106</v>
      </c>
    </row>
    <row r="272" ht="17.25" customHeight="1">
      <c r="B272" s="25" t="s">
        <v>590</v>
      </c>
      <c r="C272" s="25" t="s">
        <v>7106</v>
      </c>
      <c r="D272" s="25" t="s">
        <v>833</v>
      </c>
      <c r="E272" s="25" t="s">
        <v>7157</v>
      </c>
      <c r="F272" s="25" t="s">
        <v>833</v>
      </c>
      <c r="G272" s="25">
        <v>5.06835195E7</v>
      </c>
      <c r="H272" s="25">
        <v>69334.5</v>
      </c>
      <c r="I272" s="26" t="s">
        <v>7049</v>
      </c>
      <c r="J272" s="25" t="s">
        <v>7106</v>
      </c>
    </row>
    <row r="273" ht="17.25" customHeight="1">
      <c r="B273" s="25" t="s">
        <v>590</v>
      </c>
      <c r="C273" s="25" t="s">
        <v>7106</v>
      </c>
      <c r="D273" s="25" t="s">
        <v>701</v>
      </c>
      <c r="E273" s="25" t="s">
        <v>7158</v>
      </c>
      <c r="F273" s="25" t="s">
        <v>701</v>
      </c>
      <c r="G273" s="25">
        <v>4.290660807E7</v>
      </c>
      <c r="H273" s="25">
        <v>68981.7</v>
      </c>
      <c r="I273" s="26" t="s">
        <v>7049</v>
      </c>
      <c r="J273" s="25" t="s">
        <v>7106</v>
      </c>
    </row>
    <row r="274" ht="17.25" customHeight="1">
      <c r="B274" s="25" t="s">
        <v>590</v>
      </c>
      <c r="C274" s="25" t="s">
        <v>7106</v>
      </c>
      <c r="D274" s="25" t="s">
        <v>868</v>
      </c>
      <c r="E274" s="25" t="s">
        <v>7159</v>
      </c>
      <c r="F274" s="25" t="s">
        <v>868</v>
      </c>
      <c r="G274" s="25">
        <v>1.366940477E7</v>
      </c>
      <c r="H274" s="25">
        <v>21976.57</v>
      </c>
      <c r="I274" s="26" t="s">
        <v>7049</v>
      </c>
      <c r="J274" s="25" t="s">
        <v>7106</v>
      </c>
    </row>
    <row r="275" ht="17.25" customHeight="1">
      <c r="B275" s="25" t="s">
        <v>590</v>
      </c>
      <c r="C275" s="25" t="s">
        <v>7106</v>
      </c>
      <c r="D275" s="25" t="s">
        <v>870</v>
      </c>
      <c r="E275" s="25" t="s">
        <v>7160</v>
      </c>
      <c r="F275" s="25" t="s">
        <v>870</v>
      </c>
      <c r="G275" s="25">
        <v>2.8694375407E8</v>
      </c>
      <c r="H275" s="25">
        <v>392536.12</v>
      </c>
      <c r="I275" s="26" t="s">
        <v>7049</v>
      </c>
      <c r="J275" s="25" t="s">
        <v>7106</v>
      </c>
    </row>
    <row r="276" ht="17.25" customHeight="1">
      <c r="B276" s="25" t="s">
        <v>590</v>
      </c>
      <c r="C276" s="25" t="s">
        <v>7106</v>
      </c>
      <c r="D276" s="25" t="s">
        <v>1038</v>
      </c>
      <c r="E276" s="25" t="s">
        <v>7161</v>
      </c>
      <c r="F276" s="25" t="s">
        <v>1038</v>
      </c>
      <c r="G276" s="25">
        <v>8591721.35</v>
      </c>
      <c r="H276" s="25">
        <v>13835.35</v>
      </c>
      <c r="I276" s="26" t="s">
        <v>7049</v>
      </c>
      <c r="J276" s="25" t="s">
        <v>7106</v>
      </c>
    </row>
    <row r="277" ht="17.25" customHeight="1">
      <c r="B277" s="25" t="s">
        <v>590</v>
      </c>
      <c r="C277" s="25" t="s">
        <v>7106</v>
      </c>
      <c r="D277" s="25" t="s">
        <v>983</v>
      </c>
      <c r="E277" s="25" t="s">
        <v>7162</v>
      </c>
      <c r="F277" s="25" t="s">
        <v>983</v>
      </c>
      <c r="G277" s="25">
        <v>6.221640042E7</v>
      </c>
      <c r="H277" s="25">
        <v>101660.79</v>
      </c>
      <c r="I277" s="26" t="s">
        <v>7049</v>
      </c>
      <c r="J277" s="25" t="s">
        <v>7106</v>
      </c>
    </row>
    <row r="278" ht="17.25" customHeight="1">
      <c r="B278" s="25" t="s">
        <v>590</v>
      </c>
      <c r="C278" s="25" t="s">
        <v>7106</v>
      </c>
      <c r="D278" s="25" t="s">
        <v>734</v>
      </c>
      <c r="E278" s="25" t="s">
        <v>7163</v>
      </c>
      <c r="F278" s="25" t="s">
        <v>734</v>
      </c>
      <c r="G278" s="25">
        <v>5.861580275E7</v>
      </c>
      <c r="H278" s="25">
        <v>94237.64</v>
      </c>
      <c r="I278" s="26" t="s">
        <v>7049</v>
      </c>
      <c r="J278" s="25" t="s">
        <v>7106</v>
      </c>
    </row>
    <row r="279" ht="17.25" customHeight="1">
      <c r="B279" s="25" t="s">
        <v>590</v>
      </c>
      <c r="C279" s="25" t="s">
        <v>7106</v>
      </c>
      <c r="D279" s="25" t="s">
        <v>874</v>
      </c>
      <c r="E279" s="25" t="s">
        <v>7164</v>
      </c>
      <c r="F279" s="25" t="s">
        <v>874</v>
      </c>
      <c r="G279" s="25">
        <v>3.694275E7</v>
      </c>
      <c r="H279" s="25">
        <v>78937.61</v>
      </c>
      <c r="I279" s="26" t="s">
        <v>7049</v>
      </c>
      <c r="J279" s="25" t="s">
        <v>7106</v>
      </c>
    </row>
    <row r="280" ht="17.25" customHeight="1">
      <c r="B280" s="25" t="s">
        <v>590</v>
      </c>
      <c r="C280" s="25" t="s">
        <v>7106</v>
      </c>
      <c r="D280" s="25" t="s">
        <v>876</v>
      </c>
      <c r="E280" s="25" t="s">
        <v>7165</v>
      </c>
      <c r="F280" s="25" t="s">
        <v>876</v>
      </c>
      <c r="G280" s="25">
        <v>2.261141361E7</v>
      </c>
      <c r="H280" s="25">
        <v>36352.76</v>
      </c>
      <c r="I280" s="26" t="s">
        <v>7049</v>
      </c>
      <c r="J280" s="25" t="s">
        <v>7106</v>
      </c>
    </row>
    <row r="281" ht="17.25" customHeight="1">
      <c r="B281" s="25" t="s">
        <v>590</v>
      </c>
      <c r="C281" s="25" t="s">
        <v>7106</v>
      </c>
      <c r="D281" s="25" t="s">
        <v>880</v>
      </c>
      <c r="E281" s="25" t="s">
        <v>7166</v>
      </c>
      <c r="F281" s="25" t="s">
        <v>880</v>
      </c>
      <c r="G281" s="25">
        <v>5.257427632E7</v>
      </c>
      <c r="H281" s="25">
        <v>84524.63</v>
      </c>
      <c r="I281" s="26" t="s">
        <v>7049</v>
      </c>
      <c r="J281" s="25" t="s">
        <v>7106</v>
      </c>
    </row>
    <row r="282" ht="17.25" customHeight="1">
      <c r="B282" s="25" t="s">
        <v>590</v>
      </c>
      <c r="C282" s="25" t="s">
        <v>7106</v>
      </c>
      <c r="D282" s="25" t="s">
        <v>884</v>
      </c>
      <c r="E282" s="25" t="s">
        <v>7167</v>
      </c>
      <c r="F282" s="25" t="s">
        <v>884</v>
      </c>
      <c r="G282" s="25">
        <v>4993154.76</v>
      </c>
      <c r="H282" s="25">
        <v>8027.58</v>
      </c>
      <c r="I282" s="26" t="s">
        <v>7049</v>
      </c>
      <c r="J282" s="25" t="s">
        <v>7106</v>
      </c>
    </row>
    <row r="283" ht="17.25" customHeight="1">
      <c r="B283" s="25" t="s">
        <v>590</v>
      </c>
      <c r="C283" s="25" t="s">
        <v>7106</v>
      </c>
      <c r="D283" s="25" t="s">
        <v>888</v>
      </c>
      <c r="E283" s="25" t="s">
        <v>7168</v>
      </c>
      <c r="F283" s="25" t="s">
        <v>888</v>
      </c>
      <c r="G283" s="25">
        <v>3.181883918E7</v>
      </c>
      <c r="H283" s="25">
        <v>51155.69</v>
      </c>
      <c r="I283" s="26" t="s">
        <v>7049</v>
      </c>
      <c r="J283" s="25" t="s">
        <v>7106</v>
      </c>
    </row>
    <row r="284" ht="17.25" customHeight="1">
      <c r="B284" s="25" t="s">
        <v>590</v>
      </c>
      <c r="C284" s="25" t="s">
        <v>7106</v>
      </c>
      <c r="D284" s="25" t="s">
        <v>1591</v>
      </c>
      <c r="E284" s="25" t="s">
        <v>7169</v>
      </c>
      <c r="F284" s="25" t="s">
        <v>1591</v>
      </c>
      <c r="G284" s="25">
        <v>8.2940989716E8</v>
      </c>
      <c r="H284" s="25">
        <v>1133073.7</v>
      </c>
      <c r="I284" s="26" t="s">
        <v>7049</v>
      </c>
      <c r="J284" s="25" t="s">
        <v>7106</v>
      </c>
    </row>
    <row r="285" ht="17.25" customHeight="1">
      <c r="B285" s="25" t="s">
        <v>590</v>
      </c>
      <c r="C285" s="25" t="s">
        <v>7106</v>
      </c>
      <c r="D285" s="25" t="s">
        <v>896</v>
      </c>
      <c r="E285" s="25" t="s">
        <v>7170</v>
      </c>
      <c r="F285" s="25" t="s">
        <v>896</v>
      </c>
      <c r="G285" s="25">
        <v>9335741.06</v>
      </c>
      <c r="H285" s="25">
        <v>15009.23</v>
      </c>
      <c r="I285" s="26" t="s">
        <v>7049</v>
      </c>
      <c r="J285" s="25" t="s">
        <v>7106</v>
      </c>
    </row>
    <row r="286" ht="17.25" customHeight="1">
      <c r="B286" s="25" t="s">
        <v>590</v>
      </c>
      <c r="C286" s="25" t="s">
        <v>7106</v>
      </c>
      <c r="D286" s="25" t="s">
        <v>898</v>
      </c>
      <c r="E286" s="25" t="s">
        <v>7171</v>
      </c>
      <c r="F286" s="25" t="s">
        <v>898</v>
      </c>
      <c r="G286" s="25">
        <v>2.323907692E7</v>
      </c>
      <c r="H286" s="25">
        <v>37361.88</v>
      </c>
      <c r="I286" s="26" t="s">
        <v>7049</v>
      </c>
      <c r="J286" s="25" t="s">
        <v>7106</v>
      </c>
    </row>
    <row r="287" ht="17.25" customHeight="1">
      <c r="B287" s="25" t="s">
        <v>590</v>
      </c>
      <c r="C287" s="25" t="s">
        <v>7106</v>
      </c>
      <c r="D287" s="25" t="s">
        <v>900</v>
      </c>
      <c r="E287" s="25" t="s">
        <v>7172</v>
      </c>
      <c r="F287" s="25" t="s">
        <v>900</v>
      </c>
      <c r="G287" s="25">
        <v>1901394.91</v>
      </c>
      <c r="H287" s="25">
        <v>3056.91</v>
      </c>
      <c r="I287" s="26" t="s">
        <v>7049</v>
      </c>
      <c r="J287" s="25" t="s">
        <v>7106</v>
      </c>
    </row>
    <row r="288" ht="17.25" customHeight="1">
      <c r="B288" s="25" t="s">
        <v>590</v>
      </c>
      <c r="C288" s="25" t="s">
        <v>7106</v>
      </c>
      <c r="D288" s="25" t="s">
        <v>902</v>
      </c>
      <c r="E288" s="25" t="s">
        <v>7173</v>
      </c>
      <c r="F288" s="25" t="s">
        <v>902</v>
      </c>
      <c r="G288" s="25">
        <v>1.219431622E7</v>
      </c>
      <c r="H288" s="25">
        <v>19605.03</v>
      </c>
      <c r="I288" s="26" t="s">
        <v>7049</v>
      </c>
      <c r="J288" s="25" t="s">
        <v>7106</v>
      </c>
    </row>
    <row r="289" ht="17.25" customHeight="1">
      <c r="B289" s="25" t="s">
        <v>590</v>
      </c>
      <c r="C289" s="25" t="s">
        <v>7106</v>
      </c>
      <c r="D289" s="25" t="s">
        <v>906</v>
      </c>
      <c r="E289" s="25" t="s">
        <v>7174</v>
      </c>
      <c r="F289" s="25" t="s">
        <v>906</v>
      </c>
      <c r="G289" s="25">
        <v>3.17535665E7</v>
      </c>
      <c r="H289" s="25">
        <v>51050.75</v>
      </c>
      <c r="I289" s="26" t="s">
        <v>7049</v>
      </c>
      <c r="J289" s="25" t="s">
        <v>7106</v>
      </c>
    </row>
    <row r="290" ht="17.25" customHeight="1">
      <c r="B290" s="25" t="s">
        <v>590</v>
      </c>
      <c r="C290" s="25" t="s">
        <v>7106</v>
      </c>
      <c r="D290" s="25" t="s">
        <v>908</v>
      </c>
      <c r="E290" s="25" t="s">
        <v>7175</v>
      </c>
      <c r="F290" s="25" t="s">
        <v>908</v>
      </c>
      <c r="G290" s="25">
        <v>1.520244506E7</v>
      </c>
      <c r="H290" s="25">
        <v>24441.23</v>
      </c>
      <c r="I290" s="26" t="s">
        <v>7049</v>
      </c>
      <c r="J290" s="25" t="s">
        <v>7106</v>
      </c>
    </row>
    <row r="291" ht="17.25" customHeight="1">
      <c r="B291" s="25" t="s">
        <v>590</v>
      </c>
      <c r="C291" s="25" t="s">
        <v>7106</v>
      </c>
      <c r="D291" s="25" t="s">
        <v>717</v>
      </c>
      <c r="E291" s="25" t="s">
        <v>7176</v>
      </c>
      <c r="F291" s="25" t="s">
        <v>717</v>
      </c>
      <c r="G291" s="25">
        <v>1.9133262352E8</v>
      </c>
      <c r="H291" s="25">
        <v>261740.97</v>
      </c>
      <c r="I291" s="26" t="s">
        <v>7049</v>
      </c>
      <c r="J291" s="25" t="s">
        <v>7106</v>
      </c>
    </row>
    <row r="292" ht="17.25" customHeight="1">
      <c r="B292" s="25" t="s">
        <v>590</v>
      </c>
      <c r="C292" s="25" t="s">
        <v>7106</v>
      </c>
      <c r="D292" s="25" t="s">
        <v>915</v>
      </c>
      <c r="E292" s="25" t="s">
        <v>7177</v>
      </c>
      <c r="F292" s="25" t="s">
        <v>915</v>
      </c>
      <c r="G292" s="25">
        <v>6.620653788E7</v>
      </c>
      <c r="H292" s="25">
        <v>90446.1</v>
      </c>
      <c r="I292" s="26" t="s">
        <v>7049</v>
      </c>
      <c r="J292" s="25" t="s">
        <v>7106</v>
      </c>
    </row>
    <row r="293" ht="17.25" customHeight="1">
      <c r="B293" s="25" t="s">
        <v>590</v>
      </c>
      <c r="C293" s="25" t="s">
        <v>7106</v>
      </c>
      <c r="D293" s="25" t="s">
        <v>968</v>
      </c>
      <c r="E293" s="25" t="s">
        <v>7178</v>
      </c>
      <c r="F293" s="25" t="s">
        <v>968</v>
      </c>
      <c r="G293" s="25">
        <v>7996404.01</v>
      </c>
      <c r="H293" s="25">
        <v>12855.97</v>
      </c>
      <c r="I293" s="26" t="s">
        <v>7049</v>
      </c>
      <c r="J293" s="25" t="s">
        <v>7106</v>
      </c>
    </row>
    <row r="294" ht="17.25" customHeight="1">
      <c r="B294" s="25" t="s">
        <v>590</v>
      </c>
      <c r="C294" s="25" t="s">
        <v>7106</v>
      </c>
      <c r="D294" s="25" t="s">
        <v>917</v>
      </c>
      <c r="E294" s="25" t="s">
        <v>7179</v>
      </c>
      <c r="F294" s="25" t="s">
        <v>917</v>
      </c>
      <c r="G294" s="25">
        <v>3.86684649E7</v>
      </c>
      <c r="H294" s="25">
        <v>62167.96</v>
      </c>
      <c r="I294" s="26" t="s">
        <v>7049</v>
      </c>
      <c r="J294" s="25" t="s">
        <v>7106</v>
      </c>
    </row>
    <row r="295" ht="17.25" customHeight="1">
      <c r="B295" s="25" t="s">
        <v>590</v>
      </c>
      <c r="C295" s="25" t="s">
        <v>7106</v>
      </c>
      <c r="D295" s="25" t="s">
        <v>919</v>
      </c>
      <c r="E295" s="25" t="s">
        <v>7180</v>
      </c>
      <c r="F295" s="25" t="s">
        <v>919</v>
      </c>
      <c r="G295" s="25">
        <v>3.4351152E7</v>
      </c>
      <c r="H295" s="25">
        <v>48246.0</v>
      </c>
      <c r="I295" s="26" t="s">
        <v>7049</v>
      </c>
      <c r="J295" s="25" t="s">
        <v>7106</v>
      </c>
    </row>
    <row r="296" ht="17.25" customHeight="1">
      <c r="B296" s="25" t="s">
        <v>590</v>
      </c>
      <c r="C296" s="25" t="s">
        <v>7106</v>
      </c>
      <c r="D296" s="25" t="s">
        <v>921</v>
      </c>
      <c r="E296" s="25" t="s">
        <v>7181</v>
      </c>
      <c r="F296" s="25" t="s">
        <v>921</v>
      </c>
      <c r="G296" s="25">
        <v>5.556235188E7</v>
      </c>
      <c r="H296" s="25">
        <v>89328.56</v>
      </c>
      <c r="I296" s="26" t="s">
        <v>7049</v>
      </c>
      <c r="J296" s="25" t="s">
        <v>7106</v>
      </c>
    </row>
    <row r="297" ht="17.25" customHeight="1">
      <c r="B297" s="25" t="s">
        <v>590</v>
      </c>
      <c r="C297" s="25" t="s">
        <v>7106</v>
      </c>
      <c r="D297" s="25" t="s">
        <v>925</v>
      </c>
      <c r="E297" s="25" t="s">
        <v>7182</v>
      </c>
      <c r="F297" s="25" t="s">
        <v>925</v>
      </c>
      <c r="G297" s="25">
        <v>8415362.58</v>
      </c>
      <c r="H297" s="25">
        <v>13955.93</v>
      </c>
      <c r="I297" s="26" t="s">
        <v>7049</v>
      </c>
      <c r="J297" s="25" t="s">
        <v>7106</v>
      </c>
    </row>
    <row r="298" ht="17.25" customHeight="1">
      <c r="B298" s="25" t="s">
        <v>590</v>
      </c>
      <c r="C298" s="25" t="s">
        <v>7106</v>
      </c>
      <c r="D298" s="25" t="s">
        <v>927</v>
      </c>
      <c r="E298" s="25" t="s">
        <v>7183</v>
      </c>
      <c r="F298" s="25" t="s">
        <v>927</v>
      </c>
      <c r="G298" s="25">
        <v>6793683.04</v>
      </c>
      <c r="H298" s="25">
        <v>10922.32</v>
      </c>
      <c r="I298" s="26" t="s">
        <v>7049</v>
      </c>
      <c r="J298" s="25" t="s">
        <v>7106</v>
      </c>
    </row>
    <row r="299" ht="17.25" customHeight="1">
      <c r="B299" s="25" t="s">
        <v>590</v>
      </c>
      <c r="C299" s="25" t="s">
        <v>7106</v>
      </c>
      <c r="D299" s="25" t="s">
        <v>7184</v>
      </c>
      <c r="E299" s="25" t="s">
        <v>7185</v>
      </c>
      <c r="F299" s="25" t="s">
        <v>7184</v>
      </c>
      <c r="G299" s="25">
        <v>574460.54</v>
      </c>
      <c r="H299" s="25">
        <v>923.57</v>
      </c>
      <c r="I299" s="26" t="s">
        <v>7049</v>
      </c>
      <c r="J299" s="25" t="s">
        <v>7106</v>
      </c>
    </row>
    <row r="300" ht="17.25" customHeight="1">
      <c r="B300" s="25" t="s">
        <v>590</v>
      </c>
      <c r="C300" s="25" t="s">
        <v>7106</v>
      </c>
      <c r="D300" s="25" t="s">
        <v>933</v>
      </c>
      <c r="E300" s="25" t="s">
        <v>7186</v>
      </c>
      <c r="F300" s="25" t="s">
        <v>933</v>
      </c>
      <c r="G300" s="25">
        <v>6.148767938E7</v>
      </c>
      <c r="H300" s="25">
        <v>98854.79</v>
      </c>
      <c r="I300" s="26" t="s">
        <v>7049</v>
      </c>
      <c r="J300" s="25" t="s">
        <v>7106</v>
      </c>
    </row>
    <row r="301" ht="17.25" customHeight="1">
      <c r="B301" s="25" t="s">
        <v>590</v>
      </c>
      <c r="C301" s="25" t="s">
        <v>7106</v>
      </c>
      <c r="D301" s="25" t="s">
        <v>935</v>
      </c>
      <c r="E301" s="25" t="s">
        <v>7187</v>
      </c>
      <c r="F301" s="25" t="s">
        <v>712</v>
      </c>
      <c r="G301" s="25">
        <v>6.92284974E7</v>
      </c>
      <c r="H301" s="25">
        <v>94574.45</v>
      </c>
      <c r="I301" s="26" t="s">
        <v>7049</v>
      </c>
      <c r="J301" s="25" t="s">
        <v>7106</v>
      </c>
    </row>
    <row r="302" ht="17.25" customHeight="1">
      <c r="B302" s="25" t="s">
        <v>590</v>
      </c>
      <c r="C302" s="25" t="s">
        <v>7106</v>
      </c>
      <c r="D302" s="25" t="s">
        <v>937</v>
      </c>
      <c r="E302" s="25" t="s">
        <v>7188</v>
      </c>
      <c r="F302" s="25" t="s">
        <v>937</v>
      </c>
      <c r="G302" s="25">
        <v>1.64847416E7</v>
      </c>
      <c r="H302" s="25">
        <v>26502.82</v>
      </c>
      <c r="I302" s="26" t="s">
        <v>7049</v>
      </c>
      <c r="J302" s="25" t="s">
        <v>7106</v>
      </c>
    </row>
    <row r="303" ht="17.25" customHeight="1">
      <c r="B303" s="25" t="s">
        <v>590</v>
      </c>
      <c r="C303" s="25" t="s">
        <v>7106</v>
      </c>
      <c r="D303" s="25" t="s">
        <v>736</v>
      </c>
      <c r="E303" s="25" t="s">
        <v>7189</v>
      </c>
      <c r="F303" s="25" t="s">
        <v>736</v>
      </c>
      <c r="G303" s="25">
        <v>1.009384088E8</v>
      </c>
      <c r="H303" s="25">
        <v>162280.43</v>
      </c>
      <c r="I303" s="26" t="s">
        <v>7049</v>
      </c>
      <c r="J303" s="25" t="s">
        <v>7106</v>
      </c>
    </row>
    <row r="304" ht="17.25" customHeight="1">
      <c r="B304" s="25" t="s">
        <v>590</v>
      </c>
      <c r="C304" s="25" t="s">
        <v>7106</v>
      </c>
      <c r="D304" s="25" t="s">
        <v>939</v>
      </c>
      <c r="E304" s="25" t="s">
        <v>7190</v>
      </c>
      <c r="F304" s="25" t="s">
        <v>939</v>
      </c>
      <c r="G304" s="25">
        <v>3.424885443E7</v>
      </c>
      <c r="H304" s="25">
        <v>46788.15</v>
      </c>
      <c r="I304" s="26" t="s">
        <v>7049</v>
      </c>
      <c r="J304" s="25" t="s">
        <v>7106</v>
      </c>
    </row>
    <row r="305" ht="17.25" customHeight="1">
      <c r="B305" s="25" t="s">
        <v>590</v>
      </c>
      <c r="C305" s="25" t="s">
        <v>7106</v>
      </c>
      <c r="D305" s="25" t="s">
        <v>941</v>
      </c>
      <c r="E305" s="25" t="s">
        <v>130</v>
      </c>
      <c r="F305" s="25" t="s">
        <v>941</v>
      </c>
      <c r="G305" s="25">
        <v>6.5085991278E8</v>
      </c>
      <c r="H305" s="25">
        <v>916704.2</v>
      </c>
      <c r="I305" s="26" t="s">
        <v>7049</v>
      </c>
      <c r="J305" s="25" t="s">
        <v>7106</v>
      </c>
    </row>
    <row r="306" ht="17.25" customHeight="1">
      <c r="B306" s="25" t="s">
        <v>599</v>
      </c>
      <c r="C306" s="25" t="s">
        <v>7191</v>
      </c>
      <c r="D306" s="25" t="s">
        <v>1777</v>
      </c>
      <c r="E306" s="25" t="s">
        <v>7192</v>
      </c>
      <c r="F306" s="25" t="s">
        <v>1777</v>
      </c>
      <c r="G306" s="25">
        <v>2.7859697478E9</v>
      </c>
      <c r="H306" s="25">
        <v>1858552.2</v>
      </c>
      <c r="I306" s="26" t="s">
        <v>7193</v>
      </c>
      <c r="J306" s="26" t="s">
        <v>7194</v>
      </c>
    </row>
    <row r="307" ht="17.25" customHeight="1">
      <c r="B307" s="25" t="s">
        <v>601</v>
      </c>
      <c r="C307" s="25" t="s">
        <v>7195</v>
      </c>
      <c r="D307" s="25" t="s">
        <v>904</v>
      </c>
      <c r="E307" s="25" t="s">
        <v>7196</v>
      </c>
      <c r="F307" s="25" t="s">
        <v>904</v>
      </c>
      <c r="G307" s="25">
        <v>8.1700867692E8</v>
      </c>
      <c r="H307" s="25">
        <v>2388914.26</v>
      </c>
      <c r="I307" s="25" t="s">
        <v>1851</v>
      </c>
      <c r="J307" s="26" t="s">
        <v>5234</v>
      </c>
    </row>
    <row r="308" ht="17.25" customHeight="1">
      <c r="B308" s="25" t="s">
        <v>603</v>
      </c>
      <c r="C308" s="25" t="s">
        <v>7197</v>
      </c>
      <c r="D308" s="25" t="s">
        <v>6682</v>
      </c>
      <c r="E308" s="25" t="s">
        <v>7198</v>
      </c>
      <c r="F308" s="25" t="s">
        <v>6682</v>
      </c>
      <c r="G308" s="25">
        <v>9.138542555E8</v>
      </c>
      <c r="H308" s="25">
        <v>883659.72</v>
      </c>
      <c r="I308" s="26" t="s">
        <v>7199</v>
      </c>
      <c r="J308" s="26" t="s">
        <v>7200</v>
      </c>
    </row>
    <row r="309" ht="17.25" customHeight="1">
      <c r="B309" s="25" t="s">
        <v>603</v>
      </c>
      <c r="C309" s="25" t="s">
        <v>7201</v>
      </c>
      <c r="D309" s="25" t="s">
        <v>880</v>
      </c>
      <c r="E309" s="25" t="s">
        <v>7202</v>
      </c>
      <c r="F309" s="25" t="s">
        <v>1791</v>
      </c>
      <c r="G309" s="25">
        <v>4.924452511E8</v>
      </c>
      <c r="H309" s="25">
        <v>1259450.8</v>
      </c>
      <c r="I309" s="26" t="s">
        <v>7199</v>
      </c>
      <c r="J309" s="25" t="s">
        <v>7201</v>
      </c>
    </row>
    <row r="310" ht="17.25" customHeight="1">
      <c r="B310" s="25" t="s">
        <v>603</v>
      </c>
      <c r="C310" s="25" t="s">
        <v>7203</v>
      </c>
      <c r="D310" s="25" t="s">
        <v>695</v>
      </c>
      <c r="E310" s="25" t="s">
        <v>7204</v>
      </c>
      <c r="F310" s="25" t="s">
        <v>695</v>
      </c>
      <c r="G310" s="25">
        <v>2.9815345404E8</v>
      </c>
      <c r="H310" s="25">
        <v>920226.71</v>
      </c>
      <c r="I310" s="6" t="s">
        <v>7205</v>
      </c>
      <c r="J310" s="25" t="s">
        <v>7203</v>
      </c>
    </row>
    <row r="311" ht="17.25" customHeight="1">
      <c r="B311" s="25" t="s">
        <v>603</v>
      </c>
      <c r="C311" s="25" t="s">
        <v>7203</v>
      </c>
      <c r="D311" s="25" t="s">
        <v>761</v>
      </c>
      <c r="E311" s="25" t="s">
        <v>7206</v>
      </c>
      <c r="F311" s="25" t="s">
        <v>761</v>
      </c>
      <c r="G311" s="25">
        <v>1.0468487628E8</v>
      </c>
      <c r="H311" s="25">
        <v>323101.47</v>
      </c>
      <c r="I311" s="6" t="s">
        <v>7207</v>
      </c>
      <c r="J311" s="25" t="s">
        <v>7203</v>
      </c>
    </row>
    <row r="312" ht="17.25" customHeight="1">
      <c r="B312" s="25" t="s">
        <v>603</v>
      </c>
      <c r="C312" s="25" t="s">
        <v>7203</v>
      </c>
      <c r="D312" s="25" t="s">
        <v>768</v>
      </c>
      <c r="E312" s="25" t="s">
        <v>7208</v>
      </c>
      <c r="F312" s="25" t="s">
        <v>768</v>
      </c>
      <c r="G312" s="25">
        <v>1.9001710296E8</v>
      </c>
      <c r="H312" s="25">
        <v>586472.54</v>
      </c>
      <c r="I312" s="6" t="s">
        <v>7209</v>
      </c>
      <c r="J312" s="25" t="s">
        <v>7203</v>
      </c>
    </row>
    <row r="313" ht="17.25" customHeight="1">
      <c r="B313" s="25" t="s">
        <v>603</v>
      </c>
      <c r="C313" s="25" t="s">
        <v>7203</v>
      </c>
      <c r="D313" s="25" t="s">
        <v>1093</v>
      </c>
      <c r="E313" s="25" t="s">
        <v>7210</v>
      </c>
      <c r="F313" s="25" t="s">
        <v>1093</v>
      </c>
      <c r="G313" s="25">
        <v>9.500393772E7</v>
      </c>
      <c r="H313" s="25">
        <v>293222.03</v>
      </c>
      <c r="I313" s="6" t="s">
        <v>7211</v>
      </c>
      <c r="J313" s="25" t="s">
        <v>7203</v>
      </c>
    </row>
    <row r="314" ht="17.25" customHeight="1">
      <c r="B314" s="25" t="s">
        <v>603</v>
      </c>
      <c r="C314" s="25" t="s">
        <v>7203</v>
      </c>
      <c r="D314" s="25" t="s">
        <v>726</v>
      </c>
      <c r="E314" s="25" t="s">
        <v>7212</v>
      </c>
      <c r="F314" s="25" t="s">
        <v>726</v>
      </c>
      <c r="G314" s="25">
        <v>1.3370311332E8</v>
      </c>
      <c r="H314" s="25">
        <v>412663.93</v>
      </c>
      <c r="I314" s="6" t="s">
        <v>7213</v>
      </c>
      <c r="J314" s="25" t="s">
        <v>7203</v>
      </c>
    </row>
    <row r="315" ht="17.25" customHeight="1">
      <c r="B315" s="25" t="s">
        <v>603</v>
      </c>
      <c r="C315" s="25" t="s">
        <v>7203</v>
      </c>
      <c r="D315" s="25" t="s">
        <v>774</v>
      </c>
      <c r="E315" s="25" t="s">
        <v>7214</v>
      </c>
      <c r="F315" s="25" t="s">
        <v>774</v>
      </c>
      <c r="G315" s="25">
        <v>2.8582469676E8</v>
      </c>
      <c r="H315" s="25">
        <v>882174.99</v>
      </c>
      <c r="I315" s="6" t="s">
        <v>7215</v>
      </c>
      <c r="J315" s="25" t="s">
        <v>7203</v>
      </c>
    </row>
    <row r="316" ht="17.25" customHeight="1">
      <c r="B316" s="25" t="s">
        <v>603</v>
      </c>
      <c r="C316" s="25" t="s">
        <v>7203</v>
      </c>
      <c r="D316" s="25" t="s">
        <v>776</v>
      </c>
      <c r="E316" s="25" t="s">
        <v>7216</v>
      </c>
      <c r="F316" s="25" t="s">
        <v>776</v>
      </c>
      <c r="G316" s="25">
        <v>1.054306044E8</v>
      </c>
      <c r="H316" s="25">
        <v>325403.1</v>
      </c>
      <c r="I316" s="6" t="s">
        <v>7217</v>
      </c>
      <c r="J316" s="25" t="s">
        <v>7203</v>
      </c>
    </row>
    <row r="317" ht="17.25" customHeight="1">
      <c r="B317" s="25" t="s">
        <v>603</v>
      </c>
      <c r="C317" s="25" t="s">
        <v>7203</v>
      </c>
      <c r="D317" s="25" t="s">
        <v>779</v>
      </c>
      <c r="E317" s="25" t="s">
        <v>7218</v>
      </c>
      <c r="F317" s="25" t="s">
        <v>779</v>
      </c>
      <c r="G317" s="25">
        <v>8.495839872E7</v>
      </c>
      <c r="H317" s="25">
        <v>262217.28</v>
      </c>
      <c r="I317" s="6" t="s">
        <v>7219</v>
      </c>
      <c r="J317" s="25" t="s">
        <v>7203</v>
      </c>
    </row>
    <row r="318" ht="17.25" customHeight="1">
      <c r="B318" s="25" t="s">
        <v>603</v>
      </c>
      <c r="C318" s="25" t="s">
        <v>7203</v>
      </c>
      <c r="D318" s="25" t="s">
        <v>783</v>
      </c>
      <c r="E318" s="25" t="s">
        <v>7220</v>
      </c>
      <c r="F318" s="25" t="s">
        <v>783</v>
      </c>
      <c r="G318" s="25">
        <v>1.7439397848E8</v>
      </c>
      <c r="H318" s="25">
        <v>538253.02</v>
      </c>
      <c r="I318" s="6" t="s">
        <v>7221</v>
      </c>
      <c r="J318" s="25" t="s">
        <v>7203</v>
      </c>
    </row>
    <row r="319" ht="17.25" customHeight="1">
      <c r="B319" s="25" t="s">
        <v>603</v>
      </c>
      <c r="C319" s="25" t="s">
        <v>7203</v>
      </c>
      <c r="D319" s="25" t="s">
        <v>788</v>
      </c>
      <c r="E319" s="25" t="s">
        <v>7222</v>
      </c>
      <c r="F319" s="25" t="s">
        <v>788</v>
      </c>
      <c r="G319" s="25">
        <v>6.313864464E7</v>
      </c>
      <c r="H319" s="25">
        <v>194872.36</v>
      </c>
      <c r="I319" s="6" t="s">
        <v>7223</v>
      </c>
      <c r="J319" s="25" t="s">
        <v>7203</v>
      </c>
    </row>
    <row r="320" ht="17.25" customHeight="1">
      <c r="B320" s="25" t="s">
        <v>603</v>
      </c>
      <c r="C320" s="25" t="s">
        <v>7203</v>
      </c>
      <c r="D320" s="25" t="s">
        <v>800</v>
      </c>
      <c r="E320" s="25" t="s">
        <v>7224</v>
      </c>
      <c r="F320" s="25" t="s">
        <v>800</v>
      </c>
      <c r="G320" s="25">
        <v>9646857.0</v>
      </c>
      <c r="H320" s="25">
        <v>29774.25</v>
      </c>
      <c r="I320" s="6" t="s">
        <v>7225</v>
      </c>
      <c r="J320" s="25" t="s">
        <v>7203</v>
      </c>
    </row>
    <row r="321" ht="17.25" customHeight="1">
      <c r="B321" s="25" t="s">
        <v>603</v>
      </c>
      <c r="C321" s="25" t="s">
        <v>7203</v>
      </c>
      <c r="D321" s="25" t="s">
        <v>6859</v>
      </c>
      <c r="E321" s="25" t="s">
        <v>7226</v>
      </c>
      <c r="F321" s="25" t="s">
        <v>6859</v>
      </c>
      <c r="G321" s="25">
        <v>3.1700977242E9</v>
      </c>
      <c r="H321" s="25">
        <v>8864029.17</v>
      </c>
      <c r="I321" s="6" t="s">
        <v>7227</v>
      </c>
      <c r="J321" s="25" t="s">
        <v>7203</v>
      </c>
    </row>
    <row r="322" ht="17.25" customHeight="1">
      <c r="B322" s="25" t="s">
        <v>603</v>
      </c>
      <c r="C322" s="25" t="s">
        <v>7203</v>
      </c>
      <c r="D322" s="25" t="s">
        <v>826</v>
      </c>
      <c r="E322" s="25" t="s">
        <v>7228</v>
      </c>
      <c r="F322" s="25" t="s">
        <v>826</v>
      </c>
      <c r="G322" s="25">
        <v>3.302354772E7</v>
      </c>
      <c r="H322" s="25">
        <v>101924.53</v>
      </c>
      <c r="I322" s="6" t="s">
        <v>7229</v>
      </c>
      <c r="J322" s="25" t="s">
        <v>7203</v>
      </c>
    </row>
    <row r="323" ht="17.25" customHeight="1">
      <c r="B323" s="25" t="s">
        <v>603</v>
      </c>
      <c r="C323" s="25" t="s">
        <v>7203</v>
      </c>
      <c r="D323" s="25" t="s">
        <v>830</v>
      </c>
      <c r="E323" s="25" t="s">
        <v>7230</v>
      </c>
      <c r="F323" s="25" t="s">
        <v>830</v>
      </c>
      <c r="G323" s="25">
        <v>4.670913924E7</v>
      </c>
      <c r="H323" s="25">
        <v>144164.01</v>
      </c>
      <c r="I323" s="6" t="s">
        <v>7231</v>
      </c>
      <c r="J323" s="25" t="s">
        <v>7203</v>
      </c>
    </row>
    <row r="324" ht="17.25" customHeight="1">
      <c r="B324" s="25" t="s">
        <v>603</v>
      </c>
      <c r="C324" s="25" t="s">
        <v>7203</v>
      </c>
      <c r="D324" s="25" t="s">
        <v>983</v>
      </c>
      <c r="E324" s="25" t="s">
        <v>7232</v>
      </c>
      <c r="F324" s="25" t="s">
        <v>983</v>
      </c>
      <c r="G324" s="25">
        <v>2.0420730451E8</v>
      </c>
      <c r="H324" s="25">
        <v>640148.29</v>
      </c>
      <c r="I324" s="6" t="s">
        <v>7233</v>
      </c>
      <c r="J324" s="25" t="s">
        <v>7203</v>
      </c>
    </row>
    <row r="325" ht="17.25" customHeight="1">
      <c r="B325" s="25" t="s">
        <v>603</v>
      </c>
      <c r="C325" s="25" t="s">
        <v>7203</v>
      </c>
      <c r="D325" s="25" t="s">
        <v>874</v>
      </c>
      <c r="E325" s="25" t="s">
        <v>7234</v>
      </c>
      <c r="F325" s="25" t="s">
        <v>874</v>
      </c>
      <c r="G325" s="25">
        <v>5.7786343914E8</v>
      </c>
      <c r="H325" s="25">
        <v>1516701.94</v>
      </c>
      <c r="I325" s="6" t="s">
        <v>7235</v>
      </c>
      <c r="J325" s="25" t="s">
        <v>7203</v>
      </c>
    </row>
    <row r="326" ht="17.25" customHeight="1">
      <c r="B326" s="25" t="s">
        <v>603</v>
      </c>
      <c r="C326" s="25" t="s">
        <v>7203</v>
      </c>
      <c r="D326" s="25" t="s">
        <v>880</v>
      </c>
      <c r="E326" s="25" t="s">
        <v>7236</v>
      </c>
      <c r="F326" s="25" t="s">
        <v>880</v>
      </c>
      <c r="G326" s="25">
        <v>6.7057581939E8</v>
      </c>
      <c r="H326" s="25">
        <v>1934351.79</v>
      </c>
      <c r="I326" s="6" t="s">
        <v>7237</v>
      </c>
      <c r="J326" s="25" t="s">
        <v>7203</v>
      </c>
    </row>
    <row r="327" ht="17.25" customHeight="1">
      <c r="B327" s="25" t="s">
        <v>603</v>
      </c>
      <c r="C327" s="25" t="s">
        <v>7203</v>
      </c>
      <c r="D327" s="25" t="s">
        <v>1591</v>
      </c>
      <c r="E327" s="25" t="s">
        <v>7238</v>
      </c>
      <c r="F327" s="25" t="s">
        <v>1591</v>
      </c>
      <c r="G327" s="25">
        <v>2.1218139864E8</v>
      </c>
      <c r="H327" s="25">
        <v>654880.86</v>
      </c>
      <c r="I327" s="6" t="s">
        <v>7239</v>
      </c>
      <c r="J327" s="25" t="s">
        <v>7203</v>
      </c>
    </row>
    <row r="328" ht="17.25" customHeight="1">
      <c r="B328" s="25" t="s">
        <v>603</v>
      </c>
      <c r="C328" s="25" t="s">
        <v>7203</v>
      </c>
      <c r="D328" s="25" t="s">
        <v>917</v>
      </c>
      <c r="E328" s="25" t="s">
        <v>7240</v>
      </c>
      <c r="F328" s="25" t="s">
        <v>917</v>
      </c>
      <c r="G328" s="25">
        <v>1.6923696893E9</v>
      </c>
      <c r="H328" s="25">
        <v>4441915.2</v>
      </c>
      <c r="I328" s="6" t="s">
        <v>7241</v>
      </c>
      <c r="J328" s="25" t="s">
        <v>7203</v>
      </c>
    </row>
    <row r="329" ht="17.25" customHeight="1">
      <c r="B329" s="25" t="s">
        <v>603</v>
      </c>
      <c r="C329" s="25" t="s">
        <v>7203</v>
      </c>
      <c r="D329" s="25" t="s">
        <v>931</v>
      </c>
      <c r="E329" s="25" t="s">
        <v>7242</v>
      </c>
      <c r="F329" s="25" t="s">
        <v>931</v>
      </c>
      <c r="G329" s="25">
        <v>6.757596072E7</v>
      </c>
      <c r="H329" s="25">
        <v>208567.78</v>
      </c>
      <c r="I329" s="6" t="s">
        <v>7243</v>
      </c>
      <c r="J329" s="25" t="s">
        <v>7203</v>
      </c>
    </row>
    <row r="330" ht="17.25" customHeight="1">
      <c r="B330" s="25" t="s">
        <v>603</v>
      </c>
      <c r="C330" s="25" t="s">
        <v>7203</v>
      </c>
      <c r="D330" s="25" t="s">
        <v>935</v>
      </c>
      <c r="E330" s="25" t="s">
        <v>7244</v>
      </c>
      <c r="F330" s="25" t="s">
        <v>935</v>
      </c>
      <c r="G330" s="25">
        <v>4.105716984E7</v>
      </c>
      <c r="H330" s="25">
        <v>126719.66</v>
      </c>
      <c r="I330" s="6" t="s">
        <v>7245</v>
      </c>
      <c r="J330" s="25" t="s">
        <v>7203</v>
      </c>
    </row>
    <row r="331" ht="17.25" customHeight="1">
      <c r="B331" s="25" t="s">
        <v>603</v>
      </c>
      <c r="C331" s="25" t="s">
        <v>7203</v>
      </c>
      <c r="D331" s="25" t="s">
        <v>736</v>
      </c>
      <c r="E331" s="25" t="s">
        <v>7246</v>
      </c>
      <c r="F331" s="25" t="s">
        <v>736</v>
      </c>
      <c r="G331" s="25">
        <v>3.585849264E7</v>
      </c>
      <c r="H331" s="25">
        <v>110674.36</v>
      </c>
      <c r="I331" s="6" t="s">
        <v>7247</v>
      </c>
      <c r="J331" s="25" t="s">
        <v>7203</v>
      </c>
    </row>
    <row r="332" ht="17.25" customHeight="1">
      <c r="B332" s="25" t="s">
        <v>603</v>
      </c>
      <c r="C332" s="25" t="s">
        <v>7203</v>
      </c>
      <c r="D332" s="25" t="s">
        <v>939</v>
      </c>
      <c r="E332" s="25" t="s">
        <v>7248</v>
      </c>
      <c r="F332" s="25" t="s">
        <v>939</v>
      </c>
      <c r="G332" s="25">
        <v>3.794427828E7</v>
      </c>
      <c r="H332" s="25">
        <v>117111.97</v>
      </c>
      <c r="I332" s="6" t="s">
        <v>7249</v>
      </c>
      <c r="J332" s="25" t="s">
        <v>7203</v>
      </c>
    </row>
    <row r="333" ht="17.25" customHeight="1">
      <c r="B333" s="25" t="s">
        <v>603</v>
      </c>
      <c r="C333" s="25" t="s">
        <v>7250</v>
      </c>
      <c r="D333" s="25" t="s">
        <v>720</v>
      </c>
      <c r="E333" s="25" t="s">
        <v>7251</v>
      </c>
      <c r="F333" s="25" t="s">
        <v>720</v>
      </c>
      <c r="G333" s="25">
        <v>4.381460897E7</v>
      </c>
      <c r="H333" s="25">
        <v>234303.05</v>
      </c>
      <c r="I333" s="26" t="s">
        <v>7199</v>
      </c>
      <c r="J333" s="26" t="s">
        <v>7252</v>
      </c>
    </row>
    <row r="334" ht="17.25" customHeight="1">
      <c r="B334" s="25" t="s">
        <v>603</v>
      </c>
      <c r="C334" s="25" t="s">
        <v>7253</v>
      </c>
      <c r="D334" s="25" t="s">
        <v>761</v>
      </c>
      <c r="E334" s="25" t="s">
        <v>7254</v>
      </c>
      <c r="F334" s="25" t="s">
        <v>761</v>
      </c>
      <c r="G334" s="25">
        <v>3.679171506E7</v>
      </c>
      <c r="H334" s="25">
        <v>84578.79</v>
      </c>
      <c r="I334" s="26" t="s">
        <v>7199</v>
      </c>
      <c r="J334" s="26" t="s">
        <v>7255</v>
      </c>
    </row>
    <row r="335" ht="17.25" customHeight="1">
      <c r="B335" s="25" t="s">
        <v>603</v>
      </c>
      <c r="C335" s="25" t="s">
        <v>7253</v>
      </c>
      <c r="D335" s="25" t="s">
        <v>763</v>
      </c>
      <c r="E335" s="25" t="s">
        <v>7256</v>
      </c>
      <c r="F335" s="25" t="s">
        <v>763</v>
      </c>
      <c r="G335" s="25">
        <v>1.920927244E7</v>
      </c>
      <c r="H335" s="25">
        <v>31285.47</v>
      </c>
      <c r="I335" s="26" t="s">
        <v>7199</v>
      </c>
      <c r="J335" s="26" t="s">
        <v>7255</v>
      </c>
    </row>
    <row r="336" ht="17.25" customHeight="1">
      <c r="B336" s="25" t="s">
        <v>603</v>
      </c>
      <c r="C336" s="25" t="s">
        <v>7253</v>
      </c>
      <c r="D336" s="25" t="s">
        <v>772</v>
      </c>
      <c r="E336" s="25" t="s">
        <v>7257</v>
      </c>
      <c r="F336" s="25" t="s">
        <v>772</v>
      </c>
      <c r="G336" s="25">
        <v>3.471570143E7</v>
      </c>
      <c r="H336" s="25">
        <v>56448.3</v>
      </c>
      <c r="I336" s="26" t="s">
        <v>7199</v>
      </c>
      <c r="J336" s="26" t="s">
        <v>7255</v>
      </c>
    </row>
    <row r="337" ht="17.25" customHeight="1">
      <c r="B337" s="25" t="s">
        <v>603</v>
      </c>
      <c r="C337" s="25" t="s">
        <v>7253</v>
      </c>
      <c r="D337" s="25" t="s">
        <v>774</v>
      </c>
      <c r="E337" s="25" t="s">
        <v>7258</v>
      </c>
      <c r="F337" s="25" t="s">
        <v>774</v>
      </c>
      <c r="G337" s="25">
        <v>7.075702305E7</v>
      </c>
      <c r="H337" s="25">
        <v>135290.7</v>
      </c>
      <c r="I337" s="26" t="s">
        <v>7199</v>
      </c>
      <c r="J337" s="26" t="s">
        <v>7255</v>
      </c>
    </row>
    <row r="338" ht="17.25" customHeight="1">
      <c r="B338" s="25" t="s">
        <v>603</v>
      </c>
      <c r="C338" s="25" t="s">
        <v>7253</v>
      </c>
      <c r="D338" s="25" t="s">
        <v>776</v>
      </c>
      <c r="E338" s="25" t="s">
        <v>7259</v>
      </c>
      <c r="F338" s="25" t="s">
        <v>776</v>
      </c>
      <c r="G338" s="25">
        <v>5.876725243E7</v>
      </c>
      <c r="H338" s="25">
        <v>95712.2</v>
      </c>
      <c r="I338" s="26" t="s">
        <v>7199</v>
      </c>
      <c r="J338" s="26" t="s">
        <v>7255</v>
      </c>
    </row>
    <row r="339" ht="17.25" customHeight="1">
      <c r="B339" s="25" t="s">
        <v>603</v>
      </c>
      <c r="C339" s="25" t="s">
        <v>7253</v>
      </c>
      <c r="D339" s="25" t="s">
        <v>779</v>
      </c>
      <c r="E339" s="25" t="s">
        <v>7260</v>
      </c>
      <c r="F339" s="25" t="s">
        <v>779</v>
      </c>
      <c r="G339" s="25">
        <v>2.691869497E7</v>
      </c>
      <c r="H339" s="25">
        <v>51469.81</v>
      </c>
      <c r="I339" s="26" t="s">
        <v>7199</v>
      </c>
      <c r="J339" s="26" t="s">
        <v>7255</v>
      </c>
    </row>
    <row r="340" ht="17.25" customHeight="1">
      <c r="B340" s="25" t="s">
        <v>603</v>
      </c>
      <c r="C340" s="25" t="s">
        <v>7253</v>
      </c>
      <c r="D340" s="25" t="s">
        <v>708</v>
      </c>
      <c r="E340" s="25" t="s">
        <v>7261</v>
      </c>
      <c r="F340" s="25" t="s">
        <v>708</v>
      </c>
      <c r="G340" s="25">
        <v>8.013257896E7</v>
      </c>
      <c r="H340" s="25">
        <v>145713.61</v>
      </c>
      <c r="I340" s="26" t="s">
        <v>7199</v>
      </c>
      <c r="J340" s="26" t="s">
        <v>7255</v>
      </c>
    </row>
    <row r="341" ht="17.25" customHeight="1">
      <c r="B341" s="25" t="s">
        <v>603</v>
      </c>
      <c r="C341" s="25" t="s">
        <v>7253</v>
      </c>
      <c r="D341" s="25" t="s">
        <v>786</v>
      </c>
      <c r="E341" s="25" t="s">
        <v>7262</v>
      </c>
      <c r="F341" s="25" t="s">
        <v>786</v>
      </c>
      <c r="G341" s="25">
        <v>4.247750265E7</v>
      </c>
      <c r="H341" s="25">
        <v>69069.11</v>
      </c>
      <c r="I341" s="26" t="s">
        <v>7199</v>
      </c>
      <c r="J341" s="26" t="s">
        <v>7255</v>
      </c>
    </row>
    <row r="342" ht="17.25" customHeight="1">
      <c r="B342" s="25" t="s">
        <v>603</v>
      </c>
      <c r="C342" s="25" t="s">
        <v>7253</v>
      </c>
      <c r="D342" s="25" t="s">
        <v>814</v>
      </c>
      <c r="E342" s="25" t="s">
        <v>7263</v>
      </c>
      <c r="F342" s="25" t="s">
        <v>814</v>
      </c>
      <c r="G342" s="25">
        <v>1.691523936E7</v>
      </c>
      <c r="H342" s="25">
        <v>27639.28</v>
      </c>
      <c r="I342" s="26" t="s">
        <v>7199</v>
      </c>
      <c r="J342" s="26" t="s">
        <v>7255</v>
      </c>
    </row>
    <row r="343" ht="17.25" customHeight="1">
      <c r="B343" s="25" t="s">
        <v>603</v>
      </c>
      <c r="C343" s="25" t="s">
        <v>7253</v>
      </c>
      <c r="D343" s="25" t="s">
        <v>836</v>
      </c>
      <c r="E343" s="25" t="s">
        <v>7264</v>
      </c>
      <c r="F343" s="25" t="s">
        <v>836</v>
      </c>
      <c r="G343" s="25">
        <v>9700553.72</v>
      </c>
      <c r="H343" s="25">
        <v>15876.52</v>
      </c>
      <c r="I343" s="26" t="s">
        <v>7199</v>
      </c>
      <c r="J343" s="26" t="s">
        <v>7255</v>
      </c>
    </row>
    <row r="344" ht="17.25" customHeight="1">
      <c r="B344" s="25" t="s">
        <v>603</v>
      </c>
      <c r="C344" s="25" t="s">
        <v>7253</v>
      </c>
      <c r="D344" s="25" t="s">
        <v>6876</v>
      </c>
      <c r="E344" s="25" t="s">
        <v>7265</v>
      </c>
      <c r="F344" s="25" t="s">
        <v>757</v>
      </c>
      <c r="G344" s="25">
        <v>5011464.45</v>
      </c>
      <c r="H344" s="25">
        <v>9582.15</v>
      </c>
      <c r="I344" s="26" t="s">
        <v>7199</v>
      </c>
      <c r="J344" s="26" t="s">
        <v>7255</v>
      </c>
    </row>
    <row r="345" ht="17.25" customHeight="1">
      <c r="B345" s="25" t="s">
        <v>603</v>
      </c>
      <c r="C345" s="25" t="s">
        <v>7253</v>
      </c>
      <c r="D345" s="25" t="s">
        <v>856</v>
      </c>
      <c r="E345" s="25" t="s">
        <v>7266</v>
      </c>
      <c r="F345" s="25" t="s">
        <v>856</v>
      </c>
      <c r="G345" s="25">
        <v>1.249633711E7</v>
      </c>
      <c r="H345" s="25">
        <v>23893.57</v>
      </c>
      <c r="I345" s="26" t="s">
        <v>7199</v>
      </c>
      <c r="J345" s="26" t="s">
        <v>7255</v>
      </c>
    </row>
    <row r="346" ht="17.25" customHeight="1">
      <c r="B346" s="25" t="s">
        <v>603</v>
      </c>
      <c r="C346" s="25" t="s">
        <v>7253</v>
      </c>
      <c r="D346" s="25" t="s">
        <v>870</v>
      </c>
      <c r="E346" s="25" t="s">
        <v>7267</v>
      </c>
      <c r="F346" s="25" t="s">
        <v>870</v>
      </c>
      <c r="G346" s="25">
        <v>5.08181755E7</v>
      </c>
      <c r="H346" s="25">
        <v>98385.32</v>
      </c>
      <c r="I346" s="26" t="s">
        <v>7199</v>
      </c>
      <c r="J346" s="26" t="s">
        <v>7255</v>
      </c>
    </row>
    <row r="347" ht="17.25" customHeight="1">
      <c r="B347" s="25" t="s">
        <v>603</v>
      </c>
      <c r="C347" s="25" t="s">
        <v>7253</v>
      </c>
      <c r="D347" s="25" t="s">
        <v>983</v>
      </c>
      <c r="E347" s="25" t="s">
        <v>7268</v>
      </c>
      <c r="F347" s="25" t="s">
        <v>983</v>
      </c>
      <c r="G347" s="25">
        <v>1.070328166E7</v>
      </c>
      <c r="H347" s="25">
        <v>17720.67</v>
      </c>
      <c r="I347" s="26" t="s">
        <v>7199</v>
      </c>
      <c r="J347" s="26" t="s">
        <v>7255</v>
      </c>
    </row>
    <row r="348" ht="17.25" customHeight="1">
      <c r="B348" s="25" t="s">
        <v>603</v>
      </c>
      <c r="C348" s="25" t="s">
        <v>7253</v>
      </c>
      <c r="D348" s="25" t="s">
        <v>734</v>
      </c>
      <c r="E348" s="25" t="s">
        <v>7269</v>
      </c>
      <c r="F348" s="25" t="s">
        <v>734</v>
      </c>
      <c r="G348" s="25">
        <v>5.830309164E7</v>
      </c>
      <c r="H348" s="25">
        <v>94801.79</v>
      </c>
      <c r="I348" s="26" t="s">
        <v>7199</v>
      </c>
      <c r="J348" s="26" t="s">
        <v>7255</v>
      </c>
    </row>
    <row r="349" ht="17.25" customHeight="1">
      <c r="B349" s="25" t="s">
        <v>603</v>
      </c>
      <c r="C349" s="25" t="s">
        <v>7253</v>
      </c>
      <c r="D349" s="25" t="s">
        <v>876</v>
      </c>
      <c r="E349" s="25" t="s">
        <v>7270</v>
      </c>
      <c r="F349" s="25" t="s">
        <v>876</v>
      </c>
      <c r="G349" s="25">
        <v>6.5830783164E8</v>
      </c>
      <c r="H349" s="25">
        <v>1398768.86</v>
      </c>
      <c r="I349" s="26" t="s">
        <v>7199</v>
      </c>
      <c r="J349" s="26" t="s">
        <v>7255</v>
      </c>
    </row>
    <row r="350" ht="17.25" customHeight="1">
      <c r="B350" s="25" t="s">
        <v>603</v>
      </c>
      <c r="C350" s="25" t="s">
        <v>7253</v>
      </c>
      <c r="D350" s="25" t="s">
        <v>890</v>
      </c>
      <c r="E350" s="25" t="s">
        <v>7271</v>
      </c>
      <c r="F350" s="25" t="s">
        <v>890</v>
      </c>
      <c r="G350" s="25">
        <v>5995915.2</v>
      </c>
      <c r="H350" s="25">
        <v>11464.47</v>
      </c>
      <c r="I350" s="26" t="s">
        <v>7199</v>
      </c>
      <c r="J350" s="26" t="s">
        <v>7255</v>
      </c>
    </row>
    <row r="351" ht="17.25" customHeight="1">
      <c r="B351" s="25" t="s">
        <v>603</v>
      </c>
      <c r="C351" s="25" t="s">
        <v>7253</v>
      </c>
      <c r="D351" s="25" t="s">
        <v>898</v>
      </c>
      <c r="E351" s="25" t="s">
        <v>7272</v>
      </c>
      <c r="F351" s="25" t="s">
        <v>898</v>
      </c>
      <c r="G351" s="25">
        <v>4.094956375E7</v>
      </c>
      <c r="H351" s="25">
        <v>78297.46</v>
      </c>
      <c r="I351" s="26" t="s">
        <v>7199</v>
      </c>
      <c r="J351" s="26" t="s">
        <v>7255</v>
      </c>
    </row>
    <row r="352" ht="17.25" customHeight="1">
      <c r="B352" s="25" t="s">
        <v>603</v>
      </c>
      <c r="C352" s="25" t="s">
        <v>7253</v>
      </c>
      <c r="D352" s="25" t="s">
        <v>717</v>
      </c>
      <c r="E352" s="25" t="s">
        <v>7273</v>
      </c>
      <c r="F352" s="25" t="s">
        <v>717</v>
      </c>
      <c r="G352" s="25">
        <v>2.857318996E7</v>
      </c>
      <c r="H352" s="25">
        <v>46536.14</v>
      </c>
      <c r="I352" s="26" t="s">
        <v>7199</v>
      </c>
      <c r="J352" s="26" t="s">
        <v>7255</v>
      </c>
    </row>
    <row r="353" ht="17.25" customHeight="1">
      <c r="B353" s="25" t="s">
        <v>603</v>
      </c>
      <c r="C353" s="25" t="s">
        <v>7253</v>
      </c>
      <c r="D353" s="25" t="s">
        <v>935</v>
      </c>
      <c r="E353" s="25" t="s">
        <v>7274</v>
      </c>
      <c r="F353" s="25" t="s">
        <v>935</v>
      </c>
      <c r="G353" s="25">
        <v>9.885326423E7</v>
      </c>
      <c r="H353" s="25">
        <v>160737.02</v>
      </c>
      <c r="I353" s="26" t="s">
        <v>7199</v>
      </c>
      <c r="J353" s="26" t="s">
        <v>7255</v>
      </c>
    </row>
    <row r="354" ht="17.25" customHeight="1">
      <c r="B354" s="25" t="s">
        <v>603</v>
      </c>
      <c r="C354" s="25" t="s">
        <v>7253</v>
      </c>
      <c r="D354" s="25" t="s">
        <v>937</v>
      </c>
      <c r="E354" s="25" t="s">
        <v>7275</v>
      </c>
      <c r="F354" s="25" t="s">
        <v>937</v>
      </c>
      <c r="G354" s="25">
        <v>9209548.84</v>
      </c>
      <c r="H354" s="25">
        <v>17609.08</v>
      </c>
      <c r="I354" s="26" t="s">
        <v>7199</v>
      </c>
      <c r="J354" s="26" t="s">
        <v>7255</v>
      </c>
    </row>
    <row r="355" ht="17.25" customHeight="1">
      <c r="B355" s="25" t="s">
        <v>603</v>
      </c>
      <c r="C355" s="25" t="s">
        <v>7253</v>
      </c>
      <c r="D355" s="25" t="s">
        <v>736</v>
      </c>
      <c r="E355" s="25" t="s">
        <v>7276</v>
      </c>
      <c r="F355" s="25" t="s">
        <v>736</v>
      </c>
      <c r="G355" s="25">
        <v>1.323773145E7</v>
      </c>
      <c r="H355" s="25">
        <v>25311.15</v>
      </c>
      <c r="I355" s="26" t="s">
        <v>7199</v>
      </c>
      <c r="J355" s="26" t="s">
        <v>7255</v>
      </c>
    </row>
    <row r="356" ht="17.25" customHeight="1">
      <c r="B356" s="25" t="s">
        <v>603</v>
      </c>
      <c r="C356" s="25" t="s">
        <v>7253</v>
      </c>
      <c r="D356" s="25" t="s">
        <v>939</v>
      </c>
      <c r="E356" s="25" t="s">
        <v>7277</v>
      </c>
      <c r="F356" s="25" t="s">
        <v>939</v>
      </c>
      <c r="G356" s="25">
        <v>4517167.2</v>
      </c>
      <c r="H356" s="25">
        <v>9391.2</v>
      </c>
      <c r="I356" s="26" t="s">
        <v>7199</v>
      </c>
      <c r="J356" s="26" t="s">
        <v>7255</v>
      </c>
    </row>
    <row r="357" ht="17.25" customHeight="1">
      <c r="B357" s="25" t="s">
        <v>603</v>
      </c>
      <c r="C357" s="25" t="s">
        <v>7278</v>
      </c>
      <c r="D357" s="25" t="s">
        <v>830</v>
      </c>
      <c r="E357" s="25" t="s">
        <v>7279</v>
      </c>
      <c r="F357" s="25" t="s">
        <v>7280</v>
      </c>
      <c r="G357" s="25">
        <v>1.9269431385E8</v>
      </c>
      <c r="H357" s="25">
        <v>360850.82</v>
      </c>
      <c r="I357" s="26" t="s">
        <v>7199</v>
      </c>
      <c r="J357" s="26" t="s">
        <v>7281</v>
      </c>
    </row>
    <row r="358" ht="17.25" customHeight="1">
      <c r="B358" s="25" t="s">
        <v>603</v>
      </c>
      <c r="C358" s="25" t="s">
        <v>7282</v>
      </c>
      <c r="D358" s="25" t="s">
        <v>739</v>
      </c>
      <c r="E358" s="25" t="s">
        <v>7283</v>
      </c>
      <c r="F358" s="25" t="s">
        <v>739</v>
      </c>
      <c r="G358" s="25">
        <v>2513689.04</v>
      </c>
      <c r="H358" s="25">
        <v>5536.76</v>
      </c>
      <c r="I358" s="26" t="s">
        <v>7199</v>
      </c>
      <c r="J358" s="26" t="s">
        <v>7281</v>
      </c>
    </row>
    <row r="359" ht="17.25" customHeight="1">
      <c r="B359" s="25" t="s">
        <v>603</v>
      </c>
      <c r="C359" s="25" t="s">
        <v>7282</v>
      </c>
      <c r="D359" s="25" t="s">
        <v>695</v>
      </c>
      <c r="E359" s="25" t="s">
        <v>7284</v>
      </c>
      <c r="F359" s="25" t="s">
        <v>695</v>
      </c>
      <c r="G359" s="25">
        <v>1467132.96</v>
      </c>
      <c r="H359" s="25">
        <v>2747.44</v>
      </c>
      <c r="I359" s="26" t="s">
        <v>7199</v>
      </c>
      <c r="J359" s="26" t="s">
        <v>7281</v>
      </c>
    </row>
    <row r="360" ht="17.25" customHeight="1">
      <c r="B360" s="25" t="s">
        <v>603</v>
      </c>
      <c r="C360" s="25" t="s">
        <v>7282</v>
      </c>
      <c r="D360" s="25" t="s">
        <v>744</v>
      </c>
      <c r="E360" s="25" t="s">
        <v>7285</v>
      </c>
      <c r="F360" s="25" t="s">
        <v>744</v>
      </c>
      <c r="G360" s="25">
        <v>3535071.0</v>
      </c>
      <c r="H360" s="25">
        <v>7786.5</v>
      </c>
      <c r="I360" s="26" t="s">
        <v>7199</v>
      </c>
      <c r="J360" s="26" t="s">
        <v>7281</v>
      </c>
    </row>
    <row r="361" ht="17.25" customHeight="1">
      <c r="B361" s="25" t="s">
        <v>603</v>
      </c>
      <c r="C361" s="25" t="s">
        <v>7282</v>
      </c>
      <c r="D361" s="25" t="s">
        <v>705</v>
      </c>
      <c r="E361" s="25" t="s">
        <v>7286</v>
      </c>
      <c r="F361" s="25" t="s">
        <v>705</v>
      </c>
      <c r="G361" s="25">
        <v>8471889.7</v>
      </c>
      <c r="H361" s="25">
        <v>18660.55</v>
      </c>
      <c r="I361" s="26" t="s">
        <v>7199</v>
      </c>
      <c r="J361" s="26" t="s">
        <v>7281</v>
      </c>
    </row>
    <row r="362" ht="17.25" customHeight="1">
      <c r="B362" s="25" t="s">
        <v>603</v>
      </c>
      <c r="C362" s="25" t="s">
        <v>7282</v>
      </c>
      <c r="D362" s="25" t="s">
        <v>751</v>
      </c>
      <c r="E362" s="25" t="s">
        <v>7287</v>
      </c>
      <c r="F362" s="25" t="s">
        <v>751</v>
      </c>
      <c r="G362" s="25">
        <v>1.35028907E7</v>
      </c>
      <c r="H362" s="25">
        <v>29742.06</v>
      </c>
      <c r="I362" s="26" t="s">
        <v>7199</v>
      </c>
      <c r="J362" s="26" t="s">
        <v>7281</v>
      </c>
    </row>
    <row r="363" ht="17.25" customHeight="1">
      <c r="B363" s="25" t="s">
        <v>603</v>
      </c>
      <c r="C363" s="25" t="s">
        <v>7282</v>
      </c>
      <c r="D363" s="25" t="s">
        <v>757</v>
      </c>
      <c r="E363" s="25" t="s">
        <v>7288</v>
      </c>
      <c r="F363" s="25" t="s">
        <v>757</v>
      </c>
      <c r="G363" s="25">
        <v>7222549.8</v>
      </c>
      <c r="H363" s="25">
        <v>15908.7</v>
      </c>
      <c r="I363" s="26" t="s">
        <v>7199</v>
      </c>
      <c r="J363" s="26" t="s">
        <v>7281</v>
      </c>
    </row>
    <row r="364" ht="17.25" customHeight="1">
      <c r="B364" s="25" t="s">
        <v>603</v>
      </c>
      <c r="C364" s="25" t="s">
        <v>7282</v>
      </c>
      <c r="D364" s="25" t="s">
        <v>761</v>
      </c>
      <c r="E364" s="25" t="s">
        <v>7289</v>
      </c>
      <c r="F364" s="25" t="s">
        <v>761</v>
      </c>
      <c r="G364" s="25">
        <v>3.528568358E7</v>
      </c>
      <c r="H364" s="25">
        <v>77721.82</v>
      </c>
      <c r="I364" s="26" t="s">
        <v>7199</v>
      </c>
      <c r="J364" s="26" t="s">
        <v>7281</v>
      </c>
    </row>
    <row r="365" ht="17.25" customHeight="1">
      <c r="B365" s="25" t="s">
        <v>603</v>
      </c>
      <c r="C365" s="25" t="s">
        <v>7282</v>
      </c>
      <c r="D365" s="25" t="s">
        <v>768</v>
      </c>
      <c r="E365" s="25" t="s">
        <v>7290</v>
      </c>
      <c r="F365" s="25" t="s">
        <v>768</v>
      </c>
      <c r="G365" s="25">
        <v>5.415556995E7</v>
      </c>
      <c r="H365" s="25">
        <v>101414.93</v>
      </c>
      <c r="I365" s="26" t="s">
        <v>7199</v>
      </c>
      <c r="J365" s="26" t="s">
        <v>7281</v>
      </c>
    </row>
    <row r="366" ht="17.25" customHeight="1">
      <c r="B366" s="25" t="s">
        <v>603</v>
      </c>
      <c r="C366" s="25" t="s">
        <v>7282</v>
      </c>
      <c r="D366" s="25" t="s">
        <v>772</v>
      </c>
      <c r="E366" s="25" t="s">
        <v>7291</v>
      </c>
      <c r="F366" s="25" t="s">
        <v>772</v>
      </c>
      <c r="G366" s="25">
        <v>3.194794107E7</v>
      </c>
      <c r="H366" s="25">
        <v>59827.61</v>
      </c>
      <c r="I366" s="26" t="s">
        <v>7199</v>
      </c>
      <c r="J366" s="26" t="s">
        <v>7281</v>
      </c>
    </row>
    <row r="367" ht="17.25" customHeight="1">
      <c r="B367" s="25" t="s">
        <v>603</v>
      </c>
      <c r="C367" s="25" t="s">
        <v>7282</v>
      </c>
      <c r="D367" s="25" t="s">
        <v>1093</v>
      </c>
      <c r="E367" s="25" t="s">
        <v>7292</v>
      </c>
      <c r="F367" s="25" t="s">
        <v>1093</v>
      </c>
      <c r="G367" s="25">
        <v>2.213697871E7</v>
      </c>
      <c r="H367" s="25">
        <v>48759.95</v>
      </c>
      <c r="I367" s="26" t="s">
        <v>7199</v>
      </c>
      <c r="J367" s="26" t="s">
        <v>7281</v>
      </c>
    </row>
    <row r="368" ht="17.25" customHeight="1">
      <c r="B368" s="25" t="s">
        <v>603</v>
      </c>
      <c r="C368" s="25" t="s">
        <v>7282</v>
      </c>
      <c r="D368" s="25" t="s">
        <v>726</v>
      </c>
      <c r="E368" s="25" t="s">
        <v>7293</v>
      </c>
      <c r="F368" s="25" t="s">
        <v>726</v>
      </c>
      <c r="G368" s="25">
        <v>1.0137916842E8</v>
      </c>
      <c r="H368" s="25">
        <v>189848.63</v>
      </c>
      <c r="I368" s="26" t="s">
        <v>7199</v>
      </c>
      <c r="J368" s="26" t="s">
        <v>7281</v>
      </c>
    </row>
    <row r="369" ht="17.25" customHeight="1">
      <c r="B369" s="25" t="s">
        <v>603</v>
      </c>
      <c r="C369" s="25" t="s">
        <v>7282</v>
      </c>
      <c r="D369" s="25" t="s">
        <v>774</v>
      </c>
      <c r="E369" s="25" t="s">
        <v>7294</v>
      </c>
      <c r="F369" s="25" t="s">
        <v>774</v>
      </c>
      <c r="G369" s="25">
        <v>2348953.86</v>
      </c>
      <c r="H369" s="25">
        <v>4398.79</v>
      </c>
      <c r="I369" s="26" t="s">
        <v>7199</v>
      </c>
      <c r="J369" s="26" t="s">
        <v>7281</v>
      </c>
    </row>
    <row r="370" ht="17.25" customHeight="1">
      <c r="B370" s="25" t="s">
        <v>603</v>
      </c>
      <c r="C370" s="25" t="s">
        <v>7282</v>
      </c>
      <c r="D370" s="25" t="s">
        <v>776</v>
      </c>
      <c r="E370" s="25" t="s">
        <v>7295</v>
      </c>
      <c r="F370" s="25" t="s">
        <v>776</v>
      </c>
      <c r="G370" s="25">
        <v>1632084.6</v>
      </c>
      <c r="H370" s="25">
        <v>3594.9</v>
      </c>
      <c r="I370" s="26" t="s">
        <v>7199</v>
      </c>
      <c r="J370" s="26" t="s">
        <v>7281</v>
      </c>
    </row>
    <row r="371" ht="17.25" customHeight="1">
      <c r="B371" s="25" t="s">
        <v>603</v>
      </c>
      <c r="C371" s="25" t="s">
        <v>7282</v>
      </c>
      <c r="D371" s="25" t="s">
        <v>779</v>
      </c>
      <c r="E371" s="25" t="s">
        <v>7296</v>
      </c>
      <c r="F371" s="25" t="s">
        <v>779</v>
      </c>
      <c r="G371" s="25">
        <v>5.557641681E7</v>
      </c>
      <c r="H371" s="25">
        <v>122415.02</v>
      </c>
      <c r="I371" s="26" t="s">
        <v>7199</v>
      </c>
      <c r="J371" s="26" t="s">
        <v>7281</v>
      </c>
    </row>
    <row r="372" ht="17.25" customHeight="1">
      <c r="B372" s="25" t="s">
        <v>603</v>
      </c>
      <c r="C372" s="25" t="s">
        <v>7282</v>
      </c>
      <c r="D372" s="25" t="s">
        <v>783</v>
      </c>
      <c r="E372" s="25" t="s">
        <v>7297</v>
      </c>
      <c r="F372" s="25" t="s">
        <v>783</v>
      </c>
      <c r="G372" s="25">
        <v>1.6292798334E8</v>
      </c>
      <c r="H372" s="25">
        <v>358872.38</v>
      </c>
      <c r="I372" s="26" t="s">
        <v>7199</v>
      </c>
      <c r="J372" s="26" t="s">
        <v>7281</v>
      </c>
    </row>
    <row r="373" ht="17.25" customHeight="1">
      <c r="B373" s="25" t="s">
        <v>603</v>
      </c>
      <c r="C373" s="25" t="s">
        <v>7282</v>
      </c>
      <c r="D373" s="25" t="s">
        <v>708</v>
      </c>
      <c r="E373" s="25" t="s">
        <v>7298</v>
      </c>
      <c r="F373" s="25" t="s">
        <v>708</v>
      </c>
      <c r="G373" s="25">
        <v>3.389282066E7</v>
      </c>
      <c r="H373" s="25">
        <v>74653.79</v>
      </c>
      <c r="I373" s="26" t="s">
        <v>7199</v>
      </c>
      <c r="J373" s="26" t="s">
        <v>7281</v>
      </c>
    </row>
    <row r="374" ht="17.25" customHeight="1">
      <c r="B374" s="25" t="s">
        <v>603</v>
      </c>
      <c r="C374" s="25" t="s">
        <v>7282</v>
      </c>
      <c r="D374" s="25" t="s">
        <v>786</v>
      </c>
      <c r="E374" s="25" t="s">
        <v>7299</v>
      </c>
      <c r="F374" s="25" t="s">
        <v>786</v>
      </c>
      <c r="G374" s="25">
        <v>1.992467076E7</v>
      </c>
      <c r="H374" s="25">
        <v>43886.94</v>
      </c>
      <c r="I374" s="26" t="s">
        <v>7199</v>
      </c>
      <c r="J374" s="26" t="s">
        <v>7281</v>
      </c>
    </row>
    <row r="375" ht="17.25" customHeight="1">
      <c r="B375" s="25" t="s">
        <v>603</v>
      </c>
      <c r="C375" s="25" t="s">
        <v>7282</v>
      </c>
      <c r="D375" s="25" t="s">
        <v>790</v>
      </c>
      <c r="E375" s="25" t="s">
        <v>7300</v>
      </c>
      <c r="F375" s="25" t="s">
        <v>790</v>
      </c>
      <c r="G375" s="25">
        <v>6099657.98</v>
      </c>
      <c r="H375" s="25">
        <v>13435.37</v>
      </c>
      <c r="I375" s="26" t="s">
        <v>7199</v>
      </c>
      <c r="J375" s="26" t="s">
        <v>7281</v>
      </c>
    </row>
    <row r="376" ht="17.25" customHeight="1">
      <c r="B376" s="25" t="s">
        <v>603</v>
      </c>
      <c r="C376" s="25" t="s">
        <v>7282</v>
      </c>
      <c r="D376" s="25" t="s">
        <v>792</v>
      </c>
      <c r="E376" s="25" t="s">
        <v>7301</v>
      </c>
      <c r="F376" s="25" t="s">
        <v>792</v>
      </c>
      <c r="G376" s="25">
        <v>1.653444846E7</v>
      </c>
      <c r="H376" s="25">
        <v>36419.49</v>
      </c>
      <c r="I376" s="26" t="s">
        <v>7199</v>
      </c>
      <c r="J376" s="26" t="s">
        <v>7281</v>
      </c>
    </row>
    <row r="377" ht="17.25" customHeight="1">
      <c r="B377" s="25" t="s">
        <v>603</v>
      </c>
      <c r="C377" s="25" t="s">
        <v>7282</v>
      </c>
      <c r="D377" s="25" t="s">
        <v>794</v>
      </c>
      <c r="E377" s="25" t="s">
        <v>7302</v>
      </c>
      <c r="F377" s="25" t="s">
        <v>794</v>
      </c>
      <c r="G377" s="25">
        <v>1228855.42</v>
      </c>
      <c r="H377" s="25">
        <v>2706.73</v>
      </c>
      <c r="I377" s="26" t="s">
        <v>7199</v>
      </c>
      <c r="J377" s="26" t="s">
        <v>7281</v>
      </c>
    </row>
    <row r="378" ht="17.25" customHeight="1">
      <c r="B378" s="25" t="s">
        <v>603</v>
      </c>
      <c r="C378" s="25" t="s">
        <v>7282</v>
      </c>
      <c r="D378" s="25" t="s">
        <v>796</v>
      </c>
      <c r="E378" s="25" t="s">
        <v>7303</v>
      </c>
      <c r="F378" s="25" t="s">
        <v>796</v>
      </c>
      <c r="G378" s="25">
        <v>2.113794944E7</v>
      </c>
      <c r="H378" s="25">
        <v>46559.36</v>
      </c>
      <c r="I378" s="26" t="s">
        <v>7199</v>
      </c>
      <c r="J378" s="26" t="s">
        <v>7281</v>
      </c>
    </row>
    <row r="379" ht="17.25" customHeight="1">
      <c r="B379" s="25" t="s">
        <v>603</v>
      </c>
      <c r="C379" s="25" t="s">
        <v>7282</v>
      </c>
      <c r="D379" s="25" t="s">
        <v>810</v>
      </c>
      <c r="E379" s="25" t="s">
        <v>7304</v>
      </c>
      <c r="F379" s="25" t="s">
        <v>810</v>
      </c>
      <c r="G379" s="25">
        <v>8.467077609E7</v>
      </c>
      <c r="H379" s="25">
        <v>187740.09</v>
      </c>
      <c r="I379" s="26" t="s">
        <v>7199</v>
      </c>
      <c r="J379" s="26" t="s">
        <v>7281</v>
      </c>
    </row>
    <row r="380" ht="17.25" customHeight="1">
      <c r="B380" s="25" t="s">
        <v>603</v>
      </c>
      <c r="C380" s="25" t="s">
        <v>7282</v>
      </c>
      <c r="D380" s="25" t="s">
        <v>814</v>
      </c>
      <c r="E380" s="25" t="s">
        <v>7305</v>
      </c>
      <c r="F380" s="25" t="s">
        <v>814</v>
      </c>
      <c r="G380" s="25">
        <v>9300556.85</v>
      </c>
      <c r="H380" s="25">
        <v>17449.45</v>
      </c>
      <c r="I380" s="26" t="s">
        <v>7199</v>
      </c>
      <c r="J380" s="26" t="s">
        <v>7281</v>
      </c>
    </row>
    <row r="381" ht="17.25" customHeight="1">
      <c r="B381" s="25" t="s">
        <v>603</v>
      </c>
      <c r="C381" s="25" t="s">
        <v>7282</v>
      </c>
      <c r="D381" s="25" t="s">
        <v>816</v>
      </c>
      <c r="E381" s="25" t="s">
        <v>7306</v>
      </c>
      <c r="F381" s="25" t="s">
        <v>816</v>
      </c>
      <c r="G381" s="25">
        <v>3.201470438E7</v>
      </c>
      <c r="H381" s="25">
        <v>70516.97</v>
      </c>
      <c r="I381" s="26" t="s">
        <v>7199</v>
      </c>
      <c r="J381" s="26" t="s">
        <v>7281</v>
      </c>
    </row>
    <row r="382" ht="17.25" customHeight="1">
      <c r="B382" s="25" t="s">
        <v>603</v>
      </c>
      <c r="C382" s="25" t="s">
        <v>7282</v>
      </c>
      <c r="D382" s="25" t="s">
        <v>6859</v>
      </c>
      <c r="E382" s="25" t="s">
        <v>7307</v>
      </c>
      <c r="F382" s="25" t="s">
        <v>6859</v>
      </c>
      <c r="G382" s="25">
        <v>1.17500498688E9</v>
      </c>
      <c r="H382" s="25">
        <v>2286002.26</v>
      </c>
      <c r="I382" s="26" t="s">
        <v>7199</v>
      </c>
      <c r="J382" s="26" t="s">
        <v>7281</v>
      </c>
    </row>
    <row r="383" ht="17.25" customHeight="1">
      <c r="B383" s="25" t="s">
        <v>603</v>
      </c>
      <c r="C383" s="25" t="s">
        <v>7282</v>
      </c>
      <c r="D383" s="25" t="s">
        <v>826</v>
      </c>
      <c r="E383" s="25" t="s">
        <v>7308</v>
      </c>
      <c r="F383" s="25" t="s">
        <v>826</v>
      </c>
      <c r="G383" s="25">
        <v>5.067957735E7</v>
      </c>
      <c r="H383" s="25">
        <v>111629.04</v>
      </c>
      <c r="I383" s="26" t="s">
        <v>7199</v>
      </c>
      <c r="J383" s="26" t="s">
        <v>7281</v>
      </c>
    </row>
    <row r="384" ht="17.25" customHeight="1">
      <c r="B384" s="25" t="s">
        <v>603</v>
      </c>
      <c r="C384" s="25" t="s">
        <v>7282</v>
      </c>
      <c r="D384" s="25" t="s">
        <v>834</v>
      </c>
      <c r="E384" s="25" t="s">
        <v>7309</v>
      </c>
      <c r="F384" s="25" t="s">
        <v>834</v>
      </c>
      <c r="G384" s="25">
        <v>8.388373563E7</v>
      </c>
      <c r="H384" s="25">
        <v>184765.95</v>
      </c>
      <c r="I384" s="26" t="s">
        <v>7199</v>
      </c>
      <c r="J384" s="26" t="s">
        <v>7281</v>
      </c>
    </row>
    <row r="385" ht="17.25" customHeight="1">
      <c r="B385" s="25" t="s">
        <v>603</v>
      </c>
      <c r="C385" s="25" t="s">
        <v>7282</v>
      </c>
      <c r="D385" s="25" t="s">
        <v>836</v>
      </c>
      <c r="E385" s="25" t="s">
        <v>7310</v>
      </c>
      <c r="F385" s="25" t="s">
        <v>836</v>
      </c>
      <c r="G385" s="25">
        <v>1.219551144E7</v>
      </c>
      <c r="H385" s="25">
        <v>26862.36</v>
      </c>
      <c r="I385" s="26" t="s">
        <v>7199</v>
      </c>
      <c r="J385" s="26" t="s">
        <v>7281</v>
      </c>
    </row>
    <row r="386" ht="17.25" customHeight="1">
      <c r="B386" s="25" t="s">
        <v>603</v>
      </c>
      <c r="C386" s="25" t="s">
        <v>7282</v>
      </c>
      <c r="D386" s="25" t="s">
        <v>6876</v>
      </c>
      <c r="E386" s="25" t="s">
        <v>7311</v>
      </c>
      <c r="F386" s="25" t="s">
        <v>1265</v>
      </c>
      <c r="G386" s="25">
        <v>4.549308362E7</v>
      </c>
      <c r="H386" s="25">
        <v>100205.03</v>
      </c>
      <c r="I386" s="26" t="s">
        <v>7199</v>
      </c>
      <c r="J386" s="26" t="s">
        <v>7281</v>
      </c>
    </row>
    <row r="387" ht="17.25" customHeight="1">
      <c r="B387" s="25" t="s">
        <v>603</v>
      </c>
      <c r="C387" s="25" t="s">
        <v>7282</v>
      </c>
      <c r="D387" s="25" t="s">
        <v>710</v>
      </c>
      <c r="E387" s="25" t="s">
        <v>7312</v>
      </c>
      <c r="F387" s="25" t="s">
        <v>710</v>
      </c>
      <c r="G387" s="25">
        <v>1.2894643746E8</v>
      </c>
      <c r="H387" s="25">
        <v>284023.0</v>
      </c>
      <c r="I387" s="26" t="s">
        <v>7199</v>
      </c>
      <c r="J387" s="26" t="s">
        <v>7281</v>
      </c>
    </row>
    <row r="388" ht="17.25" customHeight="1">
      <c r="B388" s="25" t="s">
        <v>603</v>
      </c>
      <c r="C388" s="25" t="s">
        <v>7282</v>
      </c>
      <c r="D388" s="25" t="s">
        <v>1139</v>
      </c>
      <c r="E388" s="25" t="s">
        <v>7313</v>
      </c>
      <c r="F388" s="25" t="s">
        <v>1139</v>
      </c>
      <c r="G388" s="25">
        <v>2.833024326E7</v>
      </c>
      <c r="H388" s="25">
        <v>53052.89</v>
      </c>
      <c r="I388" s="26" t="s">
        <v>7199</v>
      </c>
      <c r="J388" s="26" t="s">
        <v>7281</v>
      </c>
    </row>
    <row r="389" ht="17.25" customHeight="1">
      <c r="B389" s="25" t="s">
        <v>603</v>
      </c>
      <c r="C389" s="25" t="s">
        <v>7282</v>
      </c>
      <c r="D389" s="25" t="s">
        <v>846</v>
      </c>
      <c r="E389" s="25" t="s">
        <v>7314</v>
      </c>
      <c r="F389" s="25" t="s">
        <v>846</v>
      </c>
      <c r="G389" s="25">
        <v>741327.52</v>
      </c>
      <c r="H389" s="25">
        <v>1632.88</v>
      </c>
      <c r="I389" s="26" t="s">
        <v>7199</v>
      </c>
      <c r="J389" s="26" t="s">
        <v>7281</v>
      </c>
    </row>
    <row r="390" ht="17.25" customHeight="1">
      <c r="B390" s="25" t="s">
        <v>603</v>
      </c>
      <c r="C390" s="25" t="s">
        <v>7282</v>
      </c>
      <c r="D390" s="25" t="s">
        <v>856</v>
      </c>
      <c r="E390" s="25" t="s">
        <v>7315</v>
      </c>
      <c r="F390" s="25" t="s">
        <v>856</v>
      </c>
      <c r="G390" s="25">
        <v>1.25432482E7</v>
      </c>
      <c r="H390" s="25">
        <v>27628.3</v>
      </c>
      <c r="I390" s="26" t="s">
        <v>7199</v>
      </c>
      <c r="J390" s="26" t="s">
        <v>7281</v>
      </c>
    </row>
    <row r="391" ht="17.25" customHeight="1">
      <c r="B391" s="25" t="s">
        <v>603</v>
      </c>
      <c r="C391" s="25" t="s">
        <v>7282</v>
      </c>
      <c r="D391" s="25" t="s">
        <v>862</v>
      </c>
      <c r="E391" s="25" t="s">
        <v>7316</v>
      </c>
      <c r="F391" s="25" t="s">
        <v>862</v>
      </c>
      <c r="G391" s="25">
        <v>2.3873320732E8</v>
      </c>
      <c r="H391" s="25">
        <v>448457.93</v>
      </c>
      <c r="I391" s="26" t="s">
        <v>7199</v>
      </c>
      <c r="J391" s="26" t="s">
        <v>7281</v>
      </c>
    </row>
    <row r="392" ht="17.25" customHeight="1">
      <c r="B392" s="25" t="s">
        <v>603</v>
      </c>
      <c r="C392" s="25" t="s">
        <v>7282</v>
      </c>
      <c r="D392" s="25" t="s">
        <v>1040</v>
      </c>
      <c r="E392" s="25" t="s">
        <v>7317</v>
      </c>
      <c r="F392" s="25" t="s">
        <v>1040</v>
      </c>
      <c r="G392" s="25">
        <v>2.206224204E7</v>
      </c>
      <c r="H392" s="25">
        <v>41315.06</v>
      </c>
      <c r="I392" s="26" t="s">
        <v>7199</v>
      </c>
      <c r="J392" s="26" t="s">
        <v>7281</v>
      </c>
    </row>
    <row r="393" ht="17.25" customHeight="1">
      <c r="B393" s="25" t="s">
        <v>603</v>
      </c>
      <c r="C393" s="25" t="s">
        <v>7282</v>
      </c>
      <c r="D393" s="25" t="s">
        <v>983</v>
      </c>
      <c r="E393" s="25" t="s">
        <v>7318</v>
      </c>
      <c r="F393" s="25" t="s">
        <v>983</v>
      </c>
      <c r="G393" s="25">
        <v>2.481555672E7</v>
      </c>
      <c r="H393" s="25">
        <v>46471.09</v>
      </c>
      <c r="I393" s="26" t="s">
        <v>7199</v>
      </c>
      <c r="J393" s="26" t="s">
        <v>7281</v>
      </c>
    </row>
    <row r="394" ht="17.25" customHeight="1">
      <c r="B394" s="25" t="s">
        <v>603</v>
      </c>
      <c r="C394" s="25" t="s">
        <v>7282</v>
      </c>
      <c r="D394" s="25" t="s">
        <v>6454</v>
      </c>
      <c r="E394" s="25" t="s">
        <v>7319</v>
      </c>
      <c r="F394" s="25" t="s">
        <v>6454</v>
      </c>
      <c r="G394" s="25">
        <v>1776238.68</v>
      </c>
      <c r="H394" s="25">
        <v>3912.42</v>
      </c>
      <c r="I394" s="26" t="s">
        <v>7199</v>
      </c>
      <c r="J394" s="26" t="s">
        <v>7281</v>
      </c>
    </row>
    <row r="395" ht="17.25" customHeight="1">
      <c r="B395" s="25" t="s">
        <v>603</v>
      </c>
      <c r="C395" s="25" t="s">
        <v>7282</v>
      </c>
      <c r="D395" s="25" t="s">
        <v>874</v>
      </c>
      <c r="E395" s="25" t="s">
        <v>7320</v>
      </c>
      <c r="F395" s="25" t="s">
        <v>874</v>
      </c>
      <c r="G395" s="25">
        <v>8.358262251E7</v>
      </c>
      <c r="H395" s="25">
        <v>156521.79</v>
      </c>
      <c r="I395" s="26" t="s">
        <v>7199</v>
      </c>
      <c r="J395" s="26" t="s">
        <v>7281</v>
      </c>
    </row>
    <row r="396" ht="17.25" customHeight="1">
      <c r="B396" s="25" t="s">
        <v>603</v>
      </c>
      <c r="C396" s="25" t="s">
        <v>7282</v>
      </c>
      <c r="D396" s="25" t="s">
        <v>999</v>
      </c>
      <c r="E396" s="25" t="s">
        <v>7321</v>
      </c>
      <c r="F396" s="25" t="s">
        <v>999</v>
      </c>
      <c r="G396" s="25">
        <v>3.023114495E7</v>
      </c>
      <c r="H396" s="25">
        <v>66588.43</v>
      </c>
      <c r="I396" s="26" t="s">
        <v>7199</v>
      </c>
      <c r="J396" s="26" t="s">
        <v>7281</v>
      </c>
    </row>
    <row r="397" ht="17.25" customHeight="1">
      <c r="B397" s="25" t="s">
        <v>603</v>
      </c>
      <c r="C397" s="25" t="s">
        <v>7282</v>
      </c>
      <c r="D397" s="25" t="s">
        <v>876</v>
      </c>
      <c r="E397" s="25" t="s">
        <v>7322</v>
      </c>
      <c r="F397" s="25" t="s">
        <v>876</v>
      </c>
      <c r="G397" s="25">
        <v>4.148311716E7</v>
      </c>
      <c r="H397" s="25">
        <v>77683.78</v>
      </c>
      <c r="I397" s="26" t="s">
        <v>7199</v>
      </c>
      <c r="J397" s="26" t="s">
        <v>7281</v>
      </c>
    </row>
    <row r="398" ht="17.25" customHeight="1">
      <c r="B398" s="25" t="s">
        <v>603</v>
      </c>
      <c r="C398" s="25" t="s">
        <v>7282</v>
      </c>
      <c r="D398" s="25" t="s">
        <v>900</v>
      </c>
      <c r="E398" s="25" t="s">
        <v>7323</v>
      </c>
      <c r="F398" s="25" t="s">
        <v>900</v>
      </c>
      <c r="G398" s="25">
        <v>7.912841818E7</v>
      </c>
      <c r="H398" s="25">
        <v>174291.72</v>
      </c>
      <c r="I398" s="26" t="s">
        <v>7199</v>
      </c>
      <c r="J398" s="26" t="s">
        <v>7281</v>
      </c>
    </row>
    <row r="399" ht="17.25" customHeight="1">
      <c r="B399" s="25" t="s">
        <v>603</v>
      </c>
      <c r="C399" s="25" t="s">
        <v>7282</v>
      </c>
      <c r="D399" s="25" t="s">
        <v>904</v>
      </c>
      <c r="E399" s="25" t="s">
        <v>7324</v>
      </c>
      <c r="F399" s="25" t="s">
        <v>904</v>
      </c>
      <c r="G399" s="25">
        <v>1.51140913E7</v>
      </c>
      <c r="H399" s="25">
        <v>33290.95</v>
      </c>
      <c r="I399" s="26" t="s">
        <v>7199</v>
      </c>
      <c r="J399" s="26" t="s">
        <v>7281</v>
      </c>
    </row>
    <row r="400" ht="17.25" customHeight="1">
      <c r="B400" s="25" t="s">
        <v>603</v>
      </c>
      <c r="C400" s="25" t="s">
        <v>7282</v>
      </c>
      <c r="D400" s="25" t="s">
        <v>906</v>
      </c>
      <c r="E400" s="25" t="s">
        <v>7325</v>
      </c>
      <c r="F400" s="25" t="s">
        <v>906</v>
      </c>
      <c r="G400" s="25">
        <v>5.600620272E7</v>
      </c>
      <c r="H400" s="25">
        <v>123361.68</v>
      </c>
      <c r="I400" s="26" t="s">
        <v>7199</v>
      </c>
      <c r="J400" s="26" t="s">
        <v>7281</v>
      </c>
    </row>
    <row r="401" ht="17.25" customHeight="1">
      <c r="B401" s="25" t="s">
        <v>603</v>
      </c>
      <c r="C401" s="25" t="s">
        <v>7282</v>
      </c>
      <c r="D401" s="25" t="s">
        <v>717</v>
      </c>
      <c r="E401" s="25" t="s">
        <v>7326</v>
      </c>
      <c r="F401" s="25" t="s">
        <v>717</v>
      </c>
      <c r="G401" s="25">
        <v>3.987040712E7</v>
      </c>
      <c r="H401" s="25">
        <v>87820.28</v>
      </c>
      <c r="I401" s="26" t="s">
        <v>7199</v>
      </c>
      <c r="J401" s="26" t="s">
        <v>7281</v>
      </c>
    </row>
    <row r="402" ht="17.25" customHeight="1">
      <c r="B402" s="25" t="s">
        <v>603</v>
      </c>
      <c r="C402" s="25" t="s">
        <v>7282</v>
      </c>
      <c r="D402" s="25" t="s">
        <v>915</v>
      </c>
      <c r="E402" s="25" t="s">
        <v>7327</v>
      </c>
      <c r="F402" s="25" t="s">
        <v>915</v>
      </c>
      <c r="G402" s="25">
        <v>3.9964485E7</v>
      </c>
      <c r="H402" s="25">
        <v>88027.5</v>
      </c>
      <c r="I402" s="26" t="s">
        <v>7199</v>
      </c>
      <c r="J402" s="26" t="s">
        <v>7281</v>
      </c>
    </row>
    <row r="403" ht="17.25" customHeight="1">
      <c r="B403" s="25" t="s">
        <v>603</v>
      </c>
      <c r="C403" s="25" t="s">
        <v>7282</v>
      </c>
      <c r="D403" s="25" t="s">
        <v>927</v>
      </c>
      <c r="E403" s="25" t="s">
        <v>7328</v>
      </c>
      <c r="F403" s="25" t="s">
        <v>927</v>
      </c>
      <c r="G403" s="25">
        <v>2871332.08</v>
      </c>
      <c r="H403" s="25">
        <v>6324.52</v>
      </c>
      <c r="I403" s="26" t="s">
        <v>7199</v>
      </c>
      <c r="J403" s="26" t="s">
        <v>7281</v>
      </c>
    </row>
    <row r="404" ht="17.25" customHeight="1">
      <c r="B404" s="25" t="s">
        <v>603</v>
      </c>
      <c r="C404" s="25" t="s">
        <v>7282</v>
      </c>
      <c r="D404" s="25" t="s">
        <v>736</v>
      </c>
      <c r="E404" s="25" t="s">
        <v>7329</v>
      </c>
      <c r="F404" s="25" t="s">
        <v>736</v>
      </c>
      <c r="G404" s="25">
        <v>4.510075271E7</v>
      </c>
      <c r="H404" s="25">
        <v>99340.87</v>
      </c>
      <c r="I404" s="26" t="s">
        <v>7199</v>
      </c>
      <c r="J404" s="26" t="s">
        <v>7281</v>
      </c>
    </row>
    <row r="405" ht="17.25" customHeight="1">
      <c r="B405" s="25" t="s">
        <v>603</v>
      </c>
      <c r="C405" s="25" t="s">
        <v>7282</v>
      </c>
      <c r="D405" s="25" t="s">
        <v>939</v>
      </c>
      <c r="E405" s="25" t="s">
        <v>7330</v>
      </c>
      <c r="F405" s="25" t="s">
        <v>939</v>
      </c>
      <c r="G405" s="25">
        <v>1465883.4</v>
      </c>
      <c r="H405" s="25">
        <v>2745.1</v>
      </c>
      <c r="I405" s="26" t="s">
        <v>7199</v>
      </c>
      <c r="J405" s="26" t="s">
        <v>7281</v>
      </c>
    </row>
    <row r="406" ht="17.25" customHeight="1">
      <c r="B406" s="25" t="s">
        <v>603</v>
      </c>
      <c r="C406" s="25" t="s">
        <v>7331</v>
      </c>
      <c r="D406" s="25" t="s">
        <v>917</v>
      </c>
      <c r="E406" s="25" t="s">
        <v>7332</v>
      </c>
      <c r="F406" s="25" t="s">
        <v>917</v>
      </c>
      <c r="G406" s="25">
        <v>1.6135179261E8</v>
      </c>
      <c r="H406" s="25">
        <v>302156.93</v>
      </c>
      <c r="I406" s="26" t="s">
        <v>7199</v>
      </c>
      <c r="J406" s="26" t="s">
        <v>7281</v>
      </c>
    </row>
    <row r="407" ht="17.25" customHeight="1">
      <c r="B407" s="25" t="s">
        <v>603</v>
      </c>
      <c r="C407" s="25" t="s">
        <v>7333</v>
      </c>
      <c r="D407" s="25" t="s">
        <v>695</v>
      </c>
      <c r="E407" s="25" t="s">
        <v>7334</v>
      </c>
      <c r="F407" s="25" t="s">
        <v>695</v>
      </c>
      <c r="G407" s="25">
        <v>1.2022189348E8</v>
      </c>
      <c r="H407" s="25">
        <v>199042.89</v>
      </c>
      <c r="I407" s="26" t="s">
        <v>7199</v>
      </c>
      <c r="J407" s="26" t="s">
        <v>7335</v>
      </c>
    </row>
    <row r="408" ht="17.25" customHeight="1">
      <c r="B408" s="25" t="s">
        <v>603</v>
      </c>
      <c r="C408" s="25" t="s">
        <v>7333</v>
      </c>
      <c r="D408" s="25" t="s">
        <v>1639</v>
      </c>
      <c r="E408" s="25" t="s">
        <v>7336</v>
      </c>
      <c r="F408" s="25" t="s">
        <v>1639</v>
      </c>
      <c r="G408" s="25">
        <v>6.134991432E7</v>
      </c>
      <c r="H408" s="25">
        <v>78665.74</v>
      </c>
      <c r="I408" s="26" t="s">
        <v>7199</v>
      </c>
      <c r="J408" s="26" t="s">
        <v>7335</v>
      </c>
    </row>
    <row r="409" ht="17.25" customHeight="1">
      <c r="B409" s="25" t="s">
        <v>603</v>
      </c>
      <c r="C409" s="25" t="s">
        <v>7333</v>
      </c>
      <c r="D409" s="25" t="s">
        <v>730</v>
      </c>
      <c r="E409" s="25" t="s">
        <v>7337</v>
      </c>
      <c r="F409" s="25" t="s">
        <v>730</v>
      </c>
      <c r="G409" s="25">
        <v>6.541673786E7</v>
      </c>
      <c r="H409" s="25">
        <v>107474.52</v>
      </c>
      <c r="I409" s="26" t="s">
        <v>7199</v>
      </c>
      <c r="J409" s="26" t="s">
        <v>7335</v>
      </c>
    </row>
    <row r="410" ht="17.25" customHeight="1">
      <c r="B410" s="25" t="s">
        <v>603</v>
      </c>
      <c r="C410" s="25" t="s">
        <v>7333</v>
      </c>
      <c r="D410" s="25" t="s">
        <v>925</v>
      </c>
      <c r="E410" s="25" t="s">
        <v>7338</v>
      </c>
      <c r="F410" s="25" t="s">
        <v>925</v>
      </c>
      <c r="G410" s="25">
        <v>2332816.9</v>
      </c>
      <c r="H410" s="25">
        <v>3824.29</v>
      </c>
      <c r="I410" s="26" t="s">
        <v>7199</v>
      </c>
      <c r="J410" s="26" t="s">
        <v>7335</v>
      </c>
    </row>
    <row r="411" ht="17.25" customHeight="1">
      <c r="B411" s="25" t="s">
        <v>603</v>
      </c>
      <c r="C411" s="25" t="s">
        <v>7339</v>
      </c>
      <c r="D411" s="25" t="s">
        <v>1274</v>
      </c>
      <c r="E411" s="25" t="s">
        <v>7340</v>
      </c>
      <c r="F411" s="25" t="s">
        <v>1274</v>
      </c>
      <c r="G411" s="25">
        <v>1.6363493016E8</v>
      </c>
      <c r="H411" s="25">
        <v>590739.84</v>
      </c>
      <c r="I411" s="26" t="s">
        <v>7199</v>
      </c>
      <c r="J411" s="26" t="s">
        <v>7341</v>
      </c>
    </row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>
      <c r="B419" s="25"/>
    </row>
    <row r="420" ht="17.25" customHeight="1">
      <c r="B420" s="25"/>
    </row>
    <row r="421" ht="17.25" customHeight="1">
      <c r="B421" s="25"/>
    </row>
    <row r="422" ht="17.25" customHeight="1">
      <c r="B422" s="25"/>
    </row>
    <row r="423" ht="17.25" customHeight="1">
      <c r="B423" s="25"/>
    </row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autoFilter ref="$B$5:$I$411"/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21.75"/>
    <col customWidth="1" min="3" max="4" width="7.75"/>
    <col customWidth="1" min="5" max="5" width="18.38"/>
    <col customWidth="1" min="6" max="10" width="7.75"/>
    <col customWidth="1" min="11" max="11" width="20.13"/>
    <col customWidth="1" min="12" max="12" width="22.5"/>
    <col customWidth="1" min="13" max="26" width="7.63"/>
  </cols>
  <sheetData>
    <row r="1" ht="14.25" customHeight="1">
      <c r="A1" s="6"/>
      <c r="B1" s="9" t="s">
        <v>1222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0" customHeight="1">
      <c r="A2" s="79"/>
      <c r="B2" s="80" t="s">
        <v>7342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4.25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14.25" customHeight="1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4.25" customHeight="1">
      <c r="A5" s="58"/>
      <c r="B5" s="58"/>
      <c r="C5" s="20" t="s">
        <v>0</v>
      </c>
      <c r="D5" s="20" t="s">
        <v>1</v>
      </c>
      <c r="E5" s="20" t="s">
        <v>1224</v>
      </c>
      <c r="F5" s="20" t="s">
        <v>2</v>
      </c>
      <c r="G5" s="20" t="s">
        <v>1225</v>
      </c>
      <c r="H5" s="20" t="s">
        <v>3</v>
      </c>
      <c r="I5" s="15" t="s">
        <v>555</v>
      </c>
      <c r="J5" s="15" t="s">
        <v>7343</v>
      </c>
      <c r="K5" s="81" t="s">
        <v>7344</v>
      </c>
      <c r="L5" s="81" t="s">
        <v>7345</v>
      </c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14.25" customHeight="1">
      <c r="A6" s="58"/>
      <c r="B6" s="58" t="str">
        <f>CONCAT(C6:D6)</f>
        <v>#N/A</v>
      </c>
      <c r="C6" s="20" t="s">
        <v>92</v>
      </c>
      <c r="D6" s="20" t="s">
        <v>93</v>
      </c>
      <c r="E6" s="20" t="s">
        <v>7346</v>
      </c>
      <c r="F6" s="20" t="s">
        <v>12</v>
      </c>
      <c r="G6" s="20" t="s">
        <v>7347</v>
      </c>
      <c r="H6" s="20" t="s">
        <v>7348</v>
      </c>
      <c r="I6" s="20" t="s">
        <v>7349</v>
      </c>
      <c r="J6" s="82" t="s">
        <v>7350</v>
      </c>
      <c r="K6" s="82" t="s">
        <v>7351</v>
      </c>
      <c r="L6" s="82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4.25" customHeight="1">
      <c r="A7" s="58"/>
      <c r="B7" s="58"/>
      <c r="C7" s="20" t="s">
        <v>92</v>
      </c>
      <c r="D7" s="20" t="s">
        <v>93</v>
      </c>
      <c r="E7" s="20" t="s">
        <v>7352</v>
      </c>
      <c r="F7" s="20" t="s">
        <v>12</v>
      </c>
      <c r="G7" s="20" t="s">
        <v>7353</v>
      </c>
      <c r="H7" s="20" t="s">
        <v>7354</v>
      </c>
      <c r="I7" s="20" t="s">
        <v>7349</v>
      </c>
      <c r="J7" s="82" t="s">
        <v>7355</v>
      </c>
      <c r="K7" s="82" t="s">
        <v>7351</v>
      </c>
      <c r="L7" s="82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14.25" customHeight="1">
      <c r="A8" s="58"/>
      <c r="B8" s="58"/>
      <c r="C8" s="20" t="s">
        <v>92</v>
      </c>
      <c r="D8" s="20" t="s">
        <v>93</v>
      </c>
      <c r="E8" s="20" t="s">
        <v>7352</v>
      </c>
      <c r="F8" s="20" t="s">
        <v>12</v>
      </c>
      <c r="G8" s="20" t="s">
        <v>7356</v>
      </c>
      <c r="H8" s="20" t="s">
        <v>7357</v>
      </c>
      <c r="I8" s="20" t="s">
        <v>7349</v>
      </c>
      <c r="J8" s="82" t="s">
        <v>7358</v>
      </c>
      <c r="K8" s="82" t="s">
        <v>7351</v>
      </c>
      <c r="L8" s="82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14.25" customHeight="1">
      <c r="A9" s="58"/>
      <c r="B9" s="58"/>
      <c r="C9" s="20" t="s">
        <v>92</v>
      </c>
      <c r="D9" s="20" t="s">
        <v>93</v>
      </c>
      <c r="E9" s="20" t="s">
        <v>7359</v>
      </c>
      <c r="F9" s="20" t="s">
        <v>12</v>
      </c>
      <c r="G9" s="20" t="s">
        <v>7360</v>
      </c>
      <c r="H9" s="20" t="s">
        <v>7361</v>
      </c>
      <c r="I9" s="20" t="s">
        <v>7349</v>
      </c>
      <c r="J9" s="82" t="s">
        <v>7362</v>
      </c>
      <c r="K9" s="82" t="s">
        <v>7351</v>
      </c>
      <c r="L9" s="82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14.25" customHeight="1">
      <c r="A10" s="58"/>
      <c r="B10" s="58"/>
      <c r="C10" s="20" t="s">
        <v>92</v>
      </c>
      <c r="D10" s="20" t="s">
        <v>93</v>
      </c>
      <c r="E10" s="20" t="s">
        <v>7363</v>
      </c>
      <c r="F10" s="20" t="s">
        <v>12</v>
      </c>
      <c r="G10" s="20" t="s">
        <v>7364</v>
      </c>
      <c r="H10" s="20" t="s">
        <v>7365</v>
      </c>
      <c r="I10" s="20" t="s">
        <v>7349</v>
      </c>
      <c r="J10" s="82" t="s">
        <v>7366</v>
      </c>
      <c r="K10" s="82" t="s">
        <v>7351</v>
      </c>
      <c r="L10" s="82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4.25" customHeight="1">
      <c r="A11" s="58"/>
      <c r="B11" s="58"/>
      <c r="C11" s="20" t="s">
        <v>92</v>
      </c>
      <c r="D11" s="20" t="s">
        <v>93</v>
      </c>
      <c r="E11" s="83" t="s">
        <v>7367</v>
      </c>
      <c r="F11" s="20" t="s">
        <v>12</v>
      </c>
      <c r="G11" s="20" t="s">
        <v>7368</v>
      </c>
      <c r="H11" s="20" t="s">
        <v>7369</v>
      </c>
      <c r="I11" s="20" t="s">
        <v>7349</v>
      </c>
      <c r="J11" s="82" t="s">
        <v>7370</v>
      </c>
      <c r="K11" s="82" t="s">
        <v>7351</v>
      </c>
      <c r="L11" s="84" t="s">
        <v>7371</v>
      </c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4.25" customHeight="1">
      <c r="A12" s="58"/>
      <c r="B12" s="58"/>
      <c r="C12" s="20" t="s">
        <v>92</v>
      </c>
      <c r="D12" s="20" t="s">
        <v>93</v>
      </c>
      <c r="E12" s="20" t="s">
        <v>7367</v>
      </c>
      <c r="F12" s="20" t="s">
        <v>12</v>
      </c>
      <c r="G12" s="20" t="s">
        <v>7372</v>
      </c>
      <c r="H12" s="20" t="s">
        <v>7373</v>
      </c>
      <c r="I12" s="20" t="s">
        <v>7349</v>
      </c>
      <c r="J12" s="82" t="s">
        <v>7374</v>
      </c>
      <c r="K12" s="82" t="s">
        <v>7351</v>
      </c>
      <c r="L12" s="82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14.25" customHeight="1">
      <c r="A13" s="58"/>
      <c r="B13" s="58"/>
      <c r="C13" s="20" t="s">
        <v>92</v>
      </c>
      <c r="D13" s="20" t="s">
        <v>93</v>
      </c>
      <c r="E13" s="20" t="s">
        <v>7375</v>
      </c>
      <c r="F13" s="20" t="s">
        <v>12</v>
      </c>
      <c r="G13" s="20" t="s">
        <v>7376</v>
      </c>
      <c r="H13" s="20" t="s">
        <v>7377</v>
      </c>
      <c r="I13" s="20" t="s">
        <v>7349</v>
      </c>
      <c r="J13" s="82" t="s">
        <v>7378</v>
      </c>
      <c r="K13" s="82" t="s">
        <v>7351</v>
      </c>
      <c r="L13" s="82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14.25" customHeight="1">
      <c r="A14" s="58"/>
      <c r="B14" s="58" t="str">
        <f>CONCAT(C14:D14)</f>
        <v>#N/A</v>
      </c>
      <c r="C14" s="20" t="s">
        <v>146</v>
      </c>
      <c r="D14" s="20" t="s">
        <v>147</v>
      </c>
      <c r="E14" s="20" t="s">
        <v>7379</v>
      </c>
      <c r="F14" s="20" t="s">
        <v>12</v>
      </c>
      <c r="G14" s="20" t="s">
        <v>7380</v>
      </c>
      <c r="H14" s="20" t="s">
        <v>7381</v>
      </c>
      <c r="I14" s="82" t="s">
        <v>7382</v>
      </c>
      <c r="J14" s="82"/>
      <c r="K14" s="82" t="s">
        <v>7383</v>
      </c>
      <c r="L14" s="82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14.25" customHeight="1">
      <c r="A15" s="58"/>
      <c r="B15" s="58"/>
      <c r="C15" s="20" t="s">
        <v>146</v>
      </c>
      <c r="D15" s="20" t="s">
        <v>147</v>
      </c>
      <c r="E15" s="20" t="s">
        <v>7379</v>
      </c>
      <c r="F15" s="20" t="s">
        <v>12</v>
      </c>
      <c r="G15" s="20" t="s">
        <v>7384</v>
      </c>
      <c r="H15" s="20" t="s">
        <v>7385</v>
      </c>
      <c r="I15" s="82" t="s">
        <v>7382</v>
      </c>
      <c r="J15" s="82"/>
      <c r="K15" s="82" t="s">
        <v>7383</v>
      </c>
      <c r="L15" s="82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14.25" customHeight="1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14.25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4.25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14.25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4.25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4.25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4.25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4.25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4.2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14.2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4.2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4.2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4.2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4.25" customHeight="1">
      <c r="A29" s="58"/>
      <c r="B29" s="58"/>
      <c r="C29" s="58"/>
      <c r="D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4.25" customHeight="1">
      <c r="A30" s="58"/>
      <c r="B30" s="58"/>
      <c r="C30" s="58"/>
      <c r="D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4.2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4.2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4.2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4.2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4.2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4.2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4.2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4.2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4.2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4.2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4.2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4.2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4.2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4.2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4.2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4.2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4.2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4.2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4.2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4.2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4.2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4.2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4.2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4.2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4.2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4.2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4.2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4.2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4.2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4.2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4.2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4.2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4.2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4.2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4.2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4.2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4.2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4.2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4.2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4.2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4.2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4.2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4.2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4.2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4.2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4.2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4.2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4.2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4.2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4.2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4.2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4.2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4.2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4.2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4.2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4.2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4.2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4.2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4.2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4.2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4.2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4.2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4.2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4.2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4.2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4.2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4.2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4.2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4.2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4.2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4.2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4.2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4.2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4.2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4.2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4.2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4.2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4.2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4.2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4.2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4.2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4.2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4.2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4.2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4.2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4.2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4.2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4.2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4.2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4.2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4.2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4.2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4.2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4.2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4.2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4.2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4.2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4.2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4.2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4.2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4.2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4.2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4.2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4.2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4.2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4.2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4.2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4.2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4.2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4.2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4.2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4.2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4.2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4.2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4.2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4.2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4.2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4.2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4.2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4.2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4.2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4.2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4.2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4.2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4.2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4.2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4.2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4.2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4.2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4.2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4.2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4.2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4.2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4.2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4.2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4.2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4.2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4.2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4.2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4.2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4.2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4.2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4.2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4.2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4.2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4.2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4.2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4.2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4.2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4.2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4.2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4.2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4.2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4.2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4.2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4.2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4.2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4.2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4.2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4.2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4.2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4.2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4.2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4.2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4.2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4.2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4.2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4.2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4.2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4.2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4.2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4.2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4.2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4.2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4.2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4.2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4.2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4.2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4.2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4.2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4.2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4.2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4.2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4.2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4.2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4.2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4.2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4.2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4.2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4.2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4.2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4.2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14.2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14.2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4.2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4.2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4.2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14.2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4.2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14.2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4.2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14.2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14.2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4.2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14.2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ht="14.2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ht="14.2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ht="14.2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ht="14.2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ht="14.2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14.2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ht="14.2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ht="14.2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ht="14.2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ht="14.2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ht="14.2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ht="14.2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14.2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ht="14.2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ht="14.2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4.2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ht="14.2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ht="14.2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ht="14.2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ht="14.2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ht="14.2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ht="14.2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4.2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ht="14.2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4.2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ht="14.2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14.2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ht="14.2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ht="14.2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ht="14.2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ht="14.2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ht="14.2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ht="14.2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ht="14.2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ht="14.2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14.2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ht="14.2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ht="14.2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14.2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ht="14.2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ht="14.2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ht="14.2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ht="14.2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ht="14.2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ht="14.2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ht="14.2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ht="14.2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ht="14.2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ht="14.2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ht="14.2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ht="14.2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ht="14.2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ht="14.2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ht="14.2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ht="14.2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ht="14.2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ht="14.2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ht="14.2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ht="14.2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ht="14.2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14.2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ht="14.2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ht="14.2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ht="14.2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ht="14.2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ht="14.2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14.2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14.2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ht="14.2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ht="14.2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ht="14.2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ht="14.2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ht="14.2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ht="14.2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ht="14.2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ht="14.2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ht="14.2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ht="14.2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ht="14.2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ht="14.2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ht="14.2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ht="14.2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ht="14.2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ht="14.2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ht="14.2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ht="14.2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14.2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ht="14.2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ht="14.2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ht="14.2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ht="14.2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ht="14.2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ht="14.2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ht="14.2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ht="14.2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14.2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ht="14.2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ht="14.2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ht="14.2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ht="14.2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ht="14.2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ht="14.2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14.2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ht="14.2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ht="14.2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ht="14.2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ht="14.2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ht="14.2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ht="14.2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ht="14.2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ht="14.2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ht="14.2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ht="14.2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ht="14.2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ht="14.2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ht="14.2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ht="14.2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ht="14.2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ht="14.2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ht="14.2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ht="14.2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ht="14.2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ht="14.2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ht="14.2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ht="14.2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ht="14.2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14.2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14.2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ht="14.2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14.2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14.2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ht="14.2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14.2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14.2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14.2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14.2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14.2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14.2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ht="14.2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ht="14.2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14.2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ht="14.2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ht="14.2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14.2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14.2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ht="14.2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ht="14.2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ht="14.2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ht="14.2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ht="14.2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ht="14.2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ht="14.2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ht="14.2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ht="14.2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ht="14.2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14.2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ht="14.2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ht="14.2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ht="14.2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ht="14.2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ht="14.2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ht="14.2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ht="14.2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ht="14.2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ht="14.2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ht="14.2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ht="14.2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ht="14.2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ht="14.2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ht="14.2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ht="14.2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ht="14.2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ht="14.2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ht="14.2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ht="14.2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ht="14.2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ht="14.2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ht="14.2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ht="14.2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ht="14.2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ht="14.2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ht="14.2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ht="14.2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t="14.2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ht="14.2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ht="14.2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ht="14.2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ht="14.2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ht="14.2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ht="14.2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ht="14.2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14.2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ht="14.2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14.2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ht="14.2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ht="14.2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ht="14.2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ht="14.2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14.2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ht="14.2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14.2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ht="14.2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ht="14.2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14.2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ht="14.2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ht="14.2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ht="14.2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ht="14.2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14.2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ht="14.2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14.2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ht="14.2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ht="14.2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ht="14.2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ht="14.2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ht="14.2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ht="14.2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ht="14.2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ht="14.2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ht="14.2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ht="14.2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ht="14.2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ht="14.2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ht="14.2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ht="14.2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14.2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ht="14.2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ht="14.2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ht="14.2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ht="14.2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ht="14.2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ht="14.2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ht="14.2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14.2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ht="14.2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14.2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ht="14.2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ht="14.2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14.2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ht="14.2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ht="14.2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ht="14.2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ht="14.2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ht="14.2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ht="14.2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ht="14.2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ht="14.2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14.2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14.2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ht="14.2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ht="14.2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ht="14.2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ht="14.2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ht="14.2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14.2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ht="14.2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ht="14.2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14.2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14.2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14.2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14.2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14.2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ht="14.2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ht="14.2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14.2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14.2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ht="14.2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14.2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t="14.2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ht="14.2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14.2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ht="14.2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ht="14.2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14.2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ht="14.2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ht="14.2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ht="14.2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ht="14.2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ht="14.2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14.2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ht="14.2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14.2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14.2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14.2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14.2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14.2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14.2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14.2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14.2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14.2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ht="14.2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14.2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ht="14.2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14.2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14.2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14.2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14.2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14.2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14.2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14.2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14.2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14.2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ht="14.2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14.2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14.2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14.2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14.2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14.2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14.2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14.2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14.2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14.2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14.2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14.2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14.2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14.2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14.2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14.2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14.2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14.2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14.2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14.2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14.2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14.2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14.2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14.2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14.2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14.2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14.2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14.2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14.2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14.2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14.2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14.2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14.2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14.2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14.2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14.2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ht="14.2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14.2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14.2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14.2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14.2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14.2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14.2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14.2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14.2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14.2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14.2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14.2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14.2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14.2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14.2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14.2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14.2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14.2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14.2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14.2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ht="14.2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14.2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14.2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14.2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14.2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ht="14.2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14.2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ht="14.2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14.2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ht="14.2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14.2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ht="14.2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14.2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14.2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14.2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14.2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14.2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14.2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14.2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ht="14.2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14.2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ht="14.2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14.2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14.2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14.2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14.2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14.2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14.2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14.2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14.2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14.2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ht="14.2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14.2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14.2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14.2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14.2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14.2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14.2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14.2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14.2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14.2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14.2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14.2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14.2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14.2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14.2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14.2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14.2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14.2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ht="14.2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14.2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14.2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14.2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14.2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14.2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14.2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14.2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14.2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14.2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14.2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14.2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14.2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14.2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14.2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14.2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14.2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14.2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14.2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14.2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14.2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14.2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14.2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14.2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14.2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14.2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14.2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14.2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14.2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14.2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14.2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14.2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14.2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14.2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14.2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14.2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14.2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14.2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14.2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14.2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14.2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14.2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14.2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ht="14.2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14.2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ht="14.2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14.2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ht="14.2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14.2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ht="14.2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14.2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14.2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14.2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14.2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14.2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14.2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14.2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ht="14.2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14.2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ht="14.2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14.2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14.2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14.2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14.2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14.2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14.2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14.2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14.2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14.2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14.2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14.2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14.2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14.2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14.2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14.2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14.2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14.2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14.2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14.2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14.2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14.2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14.2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14.2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14.2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14.2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14.2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14.2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ht="14.2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14.2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14.2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14.2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14.2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14.2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14.2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14.2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14.2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14.2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14.2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14.2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14.2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14.2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14.2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14.2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14.2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14.2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14.2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14.2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14.2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14.2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14.2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14.2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14.2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14.2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14.2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14.2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14.2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14.2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14.2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14.2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14.2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14.2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14.2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14.2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14.2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14.2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14.2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14.2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14.2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14.2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14.2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ht="14.2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14.2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ht="14.2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14.2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14.2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14.2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14.2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ht="14.2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14.2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14.2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14.2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14.2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14.2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14.2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14.2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14.2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14.2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ht="14.2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14.2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14.2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14.2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14.2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14.2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14.2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14.2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14.2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14.2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ht="14.2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14.2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14.2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14.2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14.2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14.2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14.2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14.2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14.2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14.2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14.2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14.2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14.2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14.2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14.2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14.2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14.2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14.2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14.2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14.2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14.2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14.2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14.2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14.2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14.2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14.2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14.2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14.2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14.2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14.2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14.2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14.2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14.2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14.2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14.2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14.2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ht="14.2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14.2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14.2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14.2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14.2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14.2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14.2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14.2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14.2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14.2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14.2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14.2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14.2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14.2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14.2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14.2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14.2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14.2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14.2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14.2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14.2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14.2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14.2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14.2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ht="14.2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ht="14.2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t="14.2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14.2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ht="14.2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14.2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14.2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ht="14.2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14.2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14.2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ht="14.2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ht="14.2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ht="14.2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14.2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14.2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14.2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ht="14.2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ht="14.2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ht="14.2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ht="14.2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ht="14.2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ht="14.2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ht="14.2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14.2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14.2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14.2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ht="14.2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ht="14.2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ht="14.2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14.2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ht="14.2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ht="14.2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ht="14.2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ht="14.2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ht="14.2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14.2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14.2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14.2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14.2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ht="14.2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ht="14.2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ht="14.2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ht="14.2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ht="14.2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t="14.2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14.2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ht="14.2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ht="14.2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ht="14.2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ht="14.2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ht="14.2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ht="14.2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ht="14.2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14.2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ht="14.2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ht="14.2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ht="14.2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14.2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14.2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14.2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14.2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14.2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14.2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14.2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14.2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ht="14.2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14.2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ht="14.2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14.2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ht="14.2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ht="14.2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ht="14.2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ht="14.2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ht="14.2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ht="14.2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14.2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ht="14.2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14.2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ht="14.2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ht="14.2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ht="14.2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ht="14.2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ht="14.2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14.2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14.2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14.2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14.2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14.2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14.2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14.2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14.2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ht="14.2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ht="14.2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14.2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ht="14.2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ht="14.2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ht="14.2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ht="14.2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14.2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ht="14.2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ht="14.2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ht="14.2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ht="14.2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ht="14.2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ht="14.2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ht="14.2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ht="14.2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14.2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14.2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14.2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14.2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ht="14.2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14.2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14.2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14.2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14.2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ht="14.2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14.2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ht="14.2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14.2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ht="14.2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ht="14.2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ht="14.2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ht="14.2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ht="14.2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ht="14.2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ht="14.2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ht="14.2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ht="14.2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ht="14.2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ht="14.2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ht="14.2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ht="14.2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ht="14.2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ht="14.2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ht="14.2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ht="14.2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ht="14.2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ht="14.2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ht="14.2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ht="14.2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25.25"/>
    <col customWidth="1" min="4" max="4" width="16.13"/>
    <col customWidth="1" min="5" max="5" width="13.75"/>
    <col customWidth="1" min="6" max="6" width="19.13"/>
    <col customWidth="1" min="7" max="7" width="14.0"/>
    <col customWidth="1" min="8" max="8" width="15.0"/>
    <col customWidth="1" min="9" max="9" width="17.38"/>
    <col customWidth="1" min="10" max="26" width="7.63"/>
  </cols>
  <sheetData>
    <row r="1" ht="17.25" customHeight="1">
      <c r="A1" s="6"/>
      <c r="B1" s="9" t="s">
        <v>1222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0" customHeight="1">
      <c r="A2" s="79"/>
      <c r="B2" s="8" t="s">
        <v>7386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7.25" customHeight="1"/>
    <row r="4" ht="17.25" customHeight="1"/>
    <row r="5" ht="17.25" customHeight="1">
      <c r="B5" s="28" t="s">
        <v>0</v>
      </c>
      <c r="C5" s="28" t="s">
        <v>1</v>
      </c>
      <c r="D5" s="28" t="s">
        <v>1224</v>
      </c>
      <c r="E5" s="28" t="s">
        <v>3</v>
      </c>
      <c r="F5" s="28" t="s">
        <v>1225</v>
      </c>
      <c r="G5" s="29" t="s">
        <v>7387</v>
      </c>
      <c r="H5" s="29" t="s">
        <v>7388</v>
      </c>
      <c r="I5" s="29" t="s">
        <v>7389</v>
      </c>
      <c r="J5" s="29" t="s">
        <v>7345</v>
      </c>
    </row>
    <row r="6" ht="17.25" customHeight="1">
      <c r="B6" s="28" t="s">
        <v>7390</v>
      </c>
      <c r="C6" s="28" t="s">
        <v>7391</v>
      </c>
      <c r="D6" s="28" t="s">
        <v>7392</v>
      </c>
      <c r="E6" s="28" t="s">
        <v>7393</v>
      </c>
      <c r="F6" s="28" t="s">
        <v>7394</v>
      </c>
      <c r="G6" s="28" t="s">
        <v>7395</v>
      </c>
      <c r="H6" s="28" t="s">
        <v>7396</v>
      </c>
      <c r="I6" s="28" t="s">
        <v>7397</v>
      </c>
    </row>
    <row r="7" ht="17.25" customHeight="1">
      <c r="B7" s="28" t="s">
        <v>7390</v>
      </c>
      <c r="C7" s="28" t="s">
        <v>7391</v>
      </c>
      <c r="D7" s="28" t="s">
        <v>7392</v>
      </c>
      <c r="E7" s="28" t="s">
        <v>7398</v>
      </c>
      <c r="F7" s="28" t="s">
        <v>7399</v>
      </c>
      <c r="G7" s="28" t="s">
        <v>7395</v>
      </c>
      <c r="H7" s="28" t="s">
        <v>7396</v>
      </c>
      <c r="I7" s="28" t="s">
        <v>7400</v>
      </c>
    </row>
    <row r="8" ht="17.25" customHeight="1">
      <c r="B8" s="28" t="s">
        <v>7390</v>
      </c>
      <c r="C8" s="28" t="s">
        <v>7391</v>
      </c>
      <c r="D8" s="28" t="s">
        <v>7392</v>
      </c>
      <c r="E8" s="28" t="s">
        <v>7401</v>
      </c>
      <c r="F8" s="28" t="s">
        <v>810</v>
      </c>
      <c r="G8" s="28" t="s">
        <v>7395</v>
      </c>
      <c r="H8" s="28" t="s">
        <v>7396</v>
      </c>
      <c r="I8" s="28" t="s">
        <v>7400</v>
      </c>
    </row>
    <row r="9" ht="17.25" customHeight="1">
      <c r="B9" s="28" t="s">
        <v>7390</v>
      </c>
      <c r="C9" s="28" t="s">
        <v>7391</v>
      </c>
      <c r="D9" s="28" t="s">
        <v>7392</v>
      </c>
      <c r="E9" s="28" t="s">
        <v>7402</v>
      </c>
      <c r="F9" s="28" t="s">
        <v>7403</v>
      </c>
      <c r="G9" s="28" t="s">
        <v>7395</v>
      </c>
      <c r="H9" s="28" t="s">
        <v>7396</v>
      </c>
      <c r="I9" s="28" t="s">
        <v>7400</v>
      </c>
    </row>
    <row r="10" ht="17.25" customHeight="1">
      <c r="B10" s="28" t="s">
        <v>7390</v>
      </c>
      <c r="C10" s="28" t="s">
        <v>7391</v>
      </c>
      <c r="D10" s="28" t="s">
        <v>7404</v>
      </c>
      <c r="E10" s="28" t="s">
        <v>7405</v>
      </c>
      <c r="F10" s="28" t="s">
        <v>7406</v>
      </c>
      <c r="G10" s="28" t="s">
        <v>7395</v>
      </c>
      <c r="H10" s="28" t="s">
        <v>7396</v>
      </c>
      <c r="I10" s="28" t="s">
        <v>7397</v>
      </c>
      <c r="J10" s="28" t="s">
        <v>7407</v>
      </c>
    </row>
    <row r="11" ht="17.25" customHeight="1">
      <c r="B11" s="28" t="s">
        <v>7390</v>
      </c>
      <c r="C11" s="28" t="s">
        <v>7391</v>
      </c>
      <c r="D11" s="28" t="s">
        <v>7404</v>
      </c>
      <c r="E11" s="28" t="s">
        <v>7408</v>
      </c>
      <c r="F11" s="28" t="s">
        <v>7406</v>
      </c>
      <c r="G11" s="28" t="s">
        <v>7395</v>
      </c>
      <c r="H11" s="28" t="s">
        <v>7396</v>
      </c>
      <c r="I11" s="28" t="s">
        <v>7397</v>
      </c>
      <c r="J11" s="28" t="s">
        <v>7407</v>
      </c>
    </row>
    <row r="12" ht="17.25" customHeight="1">
      <c r="B12" s="28" t="s">
        <v>7390</v>
      </c>
      <c r="C12" s="28" t="s">
        <v>7391</v>
      </c>
      <c r="D12" s="28" t="s">
        <v>7404</v>
      </c>
      <c r="E12" s="28" t="s">
        <v>7409</v>
      </c>
      <c r="F12" s="28" t="s">
        <v>7403</v>
      </c>
      <c r="G12" s="28" t="s">
        <v>7395</v>
      </c>
      <c r="H12" s="28" t="s">
        <v>7396</v>
      </c>
      <c r="I12" s="28" t="s">
        <v>7400</v>
      </c>
    </row>
    <row r="13" ht="17.25" customHeight="1">
      <c r="B13" s="28" t="s">
        <v>7390</v>
      </c>
      <c r="C13" s="28" t="s">
        <v>7391</v>
      </c>
      <c r="D13" s="28" t="s">
        <v>7404</v>
      </c>
      <c r="E13" s="28" t="s">
        <v>7410</v>
      </c>
      <c r="F13" s="28" t="s">
        <v>7399</v>
      </c>
      <c r="G13" s="28" t="s">
        <v>7395</v>
      </c>
      <c r="H13" s="28" t="s">
        <v>7396</v>
      </c>
      <c r="I13" s="28" t="s">
        <v>7400</v>
      </c>
    </row>
    <row r="14" ht="17.25" customHeight="1">
      <c r="B14" s="28" t="s">
        <v>7390</v>
      </c>
      <c r="C14" s="28" t="s">
        <v>7391</v>
      </c>
      <c r="D14" s="28" t="s">
        <v>7411</v>
      </c>
      <c r="E14" s="28" t="s">
        <v>7412</v>
      </c>
      <c r="F14" s="28" t="s">
        <v>7413</v>
      </c>
      <c r="G14" s="28" t="s">
        <v>7395</v>
      </c>
      <c r="H14" s="28" t="s">
        <v>7396</v>
      </c>
      <c r="I14" s="28" t="s">
        <v>7397</v>
      </c>
    </row>
    <row r="15" ht="17.25" customHeight="1">
      <c r="B15" s="28" t="s">
        <v>7390</v>
      </c>
      <c r="C15" s="28" t="s">
        <v>7391</v>
      </c>
      <c r="D15" s="28" t="s">
        <v>7414</v>
      </c>
      <c r="E15" s="28" t="s">
        <v>7415</v>
      </c>
      <c r="F15" s="28" t="s">
        <v>7413</v>
      </c>
      <c r="G15" s="28" t="s">
        <v>7395</v>
      </c>
      <c r="H15" s="28" t="s">
        <v>7396</v>
      </c>
      <c r="I15" s="28" t="s">
        <v>7397</v>
      </c>
    </row>
    <row r="16" ht="17.25" customHeight="1">
      <c r="B16" s="28" t="s">
        <v>7390</v>
      </c>
      <c r="C16" s="28" t="s">
        <v>7391</v>
      </c>
      <c r="D16" s="28" t="s">
        <v>7414</v>
      </c>
      <c r="E16" s="28" t="s">
        <v>7416</v>
      </c>
      <c r="F16" s="28" t="s">
        <v>810</v>
      </c>
      <c r="G16" s="28" t="s">
        <v>7395</v>
      </c>
      <c r="H16" s="28" t="s">
        <v>7396</v>
      </c>
      <c r="I16" s="28" t="s">
        <v>7400</v>
      </c>
    </row>
    <row r="17" ht="17.25" customHeight="1">
      <c r="B17" s="28" t="s">
        <v>7390</v>
      </c>
      <c r="C17" s="28" t="s">
        <v>7391</v>
      </c>
      <c r="D17" s="28" t="s">
        <v>7414</v>
      </c>
      <c r="E17" s="28" t="s">
        <v>7417</v>
      </c>
      <c r="F17" s="28" t="s">
        <v>701</v>
      </c>
      <c r="G17" s="28" t="s">
        <v>7395</v>
      </c>
      <c r="H17" s="28" t="s">
        <v>7396</v>
      </c>
      <c r="I17" s="28" t="s">
        <v>7400</v>
      </c>
    </row>
    <row r="18" ht="17.25" customHeight="1">
      <c r="B18" s="28" t="s">
        <v>7418</v>
      </c>
      <c r="C18" s="28" t="s">
        <v>7419</v>
      </c>
      <c r="D18" s="28" t="s">
        <v>7420</v>
      </c>
      <c r="E18" s="28" t="s">
        <v>7421</v>
      </c>
      <c r="F18" s="28" t="s">
        <v>7422</v>
      </c>
      <c r="G18" s="28" t="s">
        <v>7423</v>
      </c>
      <c r="H18" s="28" t="s">
        <v>7423</v>
      </c>
      <c r="I18" s="28" t="s">
        <v>7397</v>
      </c>
    </row>
    <row r="19" ht="17.25" customHeight="1">
      <c r="B19" s="28" t="s">
        <v>7418</v>
      </c>
      <c r="C19" s="28" t="s">
        <v>7419</v>
      </c>
      <c r="D19" s="28" t="s">
        <v>7424</v>
      </c>
      <c r="E19" s="28" t="s">
        <v>7425</v>
      </c>
      <c r="F19" s="28" t="s">
        <v>7426</v>
      </c>
      <c r="G19" s="28" t="s">
        <v>7423</v>
      </c>
      <c r="H19" s="28" t="s">
        <v>7423</v>
      </c>
      <c r="I19" s="28" t="s">
        <v>7397</v>
      </c>
    </row>
    <row r="20" ht="17.25" customHeight="1">
      <c r="B20" s="28" t="s">
        <v>7418</v>
      </c>
      <c r="C20" s="28" t="s">
        <v>7419</v>
      </c>
      <c r="D20" s="28" t="s">
        <v>7427</v>
      </c>
      <c r="E20" s="28" t="s">
        <v>7428</v>
      </c>
      <c r="F20" s="28" t="s">
        <v>7394</v>
      </c>
      <c r="G20" s="28" t="s">
        <v>7423</v>
      </c>
      <c r="H20" s="28" t="s">
        <v>7423</v>
      </c>
      <c r="I20" s="28" t="s">
        <v>7397</v>
      </c>
    </row>
    <row r="21" ht="17.25" customHeight="1">
      <c r="B21" s="28" t="s">
        <v>7429</v>
      </c>
      <c r="C21" s="28" t="s">
        <v>7430</v>
      </c>
      <c r="D21" s="28" t="s">
        <v>7431</v>
      </c>
      <c r="E21" s="28" t="s">
        <v>7432</v>
      </c>
      <c r="F21" s="28" t="s">
        <v>7433</v>
      </c>
      <c r="G21" s="28" t="s">
        <v>7395</v>
      </c>
      <c r="H21" s="28" t="s">
        <v>7434</v>
      </c>
      <c r="I21" s="28" t="s">
        <v>7397</v>
      </c>
    </row>
    <row r="22" ht="17.25" customHeight="1">
      <c r="B22" s="28" t="s">
        <v>7429</v>
      </c>
      <c r="C22" s="28" t="s">
        <v>7430</v>
      </c>
      <c r="D22" s="28" t="s">
        <v>7431</v>
      </c>
      <c r="E22" s="28" t="s">
        <v>7435</v>
      </c>
      <c r="F22" s="28" t="s">
        <v>810</v>
      </c>
      <c r="G22" s="28" t="s">
        <v>7395</v>
      </c>
      <c r="H22" s="28" t="s">
        <v>7434</v>
      </c>
      <c r="I22" s="28" t="s">
        <v>7400</v>
      </c>
    </row>
    <row r="23" ht="17.25" customHeight="1">
      <c r="B23" s="28" t="s">
        <v>40</v>
      </c>
      <c r="C23" s="28" t="s">
        <v>41</v>
      </c>
      <c r="D23" s="28" t="s">
        <v>7436</v>
      </c>
      <c r="E23" s="28" t="s">
        <v>7437</v>
      </c>
      <c r="F23" s="28" t="s">
        <v>7438</v>
      </c>
      <c r="G23" s="28" t="s">
        <v>7395</v>
      </c>
      <c r="H23" s="28" t="s">
        <v>7439</v>
      </c>
      <c r="I23" s="28" t="s">
        <v>7397</v>
      </c>
      <c r="J23" s="28" t="s">
        <v>7440</v>
      </c>
    </row>
    <row r="24" ht="17.25" customHeight="1">
      <c r="B24" s="28" t="s">
        <v>40</v>
      </c>
      <c r="C24" s="28" t="s">
        <v>41</v>
      </c>
      <c r="D24" s="28" t="s">
        <v>7436</v>
      </c>
      <c r="E24" s="28" t="s">
        <v>7441</v>
      </c>
      <c r="F24" s="28" t="s">
        <v>7438</v>
      </c>
      <c r="G24" s="28" t="s">
        <v>7395</v>
      </c>
      <c r="H24" s="28" t="s">
        <v>7439</v>
      </c>
      <c r="I24" s="28" t="s">
        <v>7397</v>
      </c>
      <c r="J24" s="28" t="s">
        <v>7440</v>
      </c>
    </row>
    <row r="25" ht="17.25" customHeight="1">
      <c r="B25" s="28" t="s">
        <v>40</v>
      </c>
      <c r="C25" s="28" t="s">
        <v>41</v>
      </c>
      <c r="D25" s="28" t="s">
        <v>7442</v>
      </c>
      <c r="E25" s="28" t="s">
        <v>42</v>
      </c>
      <c r="F25" s="28" t="s">
        <v>1305</v>
      </c>
      <c r="G25" s="28" t="s">
        <v>7395</v>
      </c>
      <c r="H25" s="28" t="s">
        <v>7443</v>
      </c>
      <c r="I25" s="28" t="s">
        <v>7397</v>
      </c>
    </row>
    <row r="26" ht="17.25" customHeight="1">
      <c r="B26" s="28" t="s">
        <v>40</v>
      </c>
      <c r="C26" s="28" t="s">
        <v>41</v>
      </c>
      <c r="D26" s="28" t="s">
        <v>7442</v>
      </c>
      <c r="E26" s="28" t="s">
        <v>7444</v>
      </c>
      <c r="F26" s="28" t="s">
        <v>810</v>
      </c>
      <c r="G26" s="28" t="s">
        <v>7395</v>
      </c>
      <c r="H26" s="28" t="s">
        <v>7443</v>
      </c>
      <c r="I26" s="28" t="s">
        <v>7400</v>
      </c>
    </row>
    <row r="27" ht="17.25" customHeight="1">
      <c r="B27" s="28" t="s">
        <v>7418</v>
      </c>
      <c r="C27" s="28" t="s">
        <v>7419</v>
      </c>
      <c r="D27" s="28" t="s">
        <v>7445</v>
      </c>
      <c r="E27" s="28" t="s">
        <v>7446</v>
      </c>
      <c r="F27" s="28" t="s">
        <v>7406</v>
      </c>
      <c r="G27" s="28" t="s">
        <v>7423</v>
      </c>
      <c r="H27" s="28" t="s">
        <v>7423</v>
      </c>
      <c r="I27" s="28" t="s">
        <v>7397</v>
      </c>
      <c r="J27" s="28" t="s">
        <v>7447</v>
      </c>
    </row>
    <row r="28" ht="17.25" customHeight="1">
      <c r="B28" s="28" t="s">
        <v>7418</v>
      </c>
      <c r="C28" s="28" t="s">
        <v>7419</v>
      </c>
      <c r="D28" s="28" t="s">
        <v>7445</v>
      </c>
      <c r="E28" s="28" t="s">
        <v>7448</v>
      </c>
      <c r="F28" s="28" t="s">
        <v>7406</v>
      </c>
      <c r="G28" s="28" t="s">
        <v>7423</v>
      </c>
      <c r="H28" s="28" t="s">
        <v>7423</v>
      </c>
      <c r="I28" s="28" t="s">
        <v>7397</v>
      </c>
      <c r="J28" s="28" t="s">
        <v>7447</v>
      </c>
    </row>
    <row r="29" ht="17.25" customHeight="1">
      <c r="B29" s="28" t="s">
        <v>7418</v>
      </c>
      <c r="C29" s="28" t="s">
        <v>7419</v>
      </c>
      <c r="D29" s="28" t="s">
        <v>7445</v>
      </c>
      <c r="E29" s="28" t="s">
        <v>7449</v>
      </c>
      <c r="F29" s="28" t="s">
        <v>7450</v>
      </c>
      <c r="G29" s="28" t="s">
        <v>7423</v>
      </c>
      <c r="H29" s="28" t="s">
        <v>7423</v>
      </c>
      <c r="I29" s="28" t="s">
        <v>7451</v>
      </c>
    </row>
    <row r="30" ht="17.25" customHeight="1">
      <c r="B30" s="28" t="s">
        <v>7418</v>
      </c>
      <c r="C30" s="28" t="s">
        <v>7419</v>
      </c>
      <c r="D30" s="28" t="s">
        <v>7445</v>
      </c>
      <c r="E30" s="28" t="s">
        <v>7452</v>
      </c>
      <c r="F30" s="28" t="s">
        <v>710</v>
      </c>
      <c r="G30" s="28" t="s">
        <v>7423</v>
      </c>
      <c r="H30" s="28" t="s">
        <v>7423</v>
      </c>
      <c r="I30" s="28" t="s">
        <v>7451</v>
      </c>
    </row>
    <row r="31" ht="17.25" customHeight="1">
      <c r="B31" s="28" t="s">
        <v>7418</v>
      </c>
      <c r="C31" s="28" t="s">
        <v>7419</v>
      </c>
      <c r="D31" s="28" t="s">
        <v>7445</v>
      </c>
      <c r="E31" s="28" t="s">
        <v>7453</v>
      </c>
      <c r="F31" s="28" t="s">
        <v>999</v>
      </c>
      <c r="G31" s="28" t="s">
        <v>7423</v>
      </c>
      <c r="H31" s="28" t="s">
        <v>7423</v>
      </c>
      <c r="I31" s="28" t="s">
        <v>7451</v>
      </c>
    </row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autoFilter ref="$B$5:$I$26"/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3" width="7.75"/>
    <col customWidth="1" min="4" max="4" width="14.13"/>
    <col customWidth="1" min="5" max="7" width="7.75"/>
    <col customWidth="1" min="8" max="8" width="19.63"/>
    <col customWidth="1" min="9" max="9" width="7.63"/>
    <col customWidth="1" min="10" max="11" width="20.25"/>
    <col customWidth="1" min="12" max="12" width="14.38"/>
    <col customWidth="1" min="13" max="17" width="7.75"/>
    <col customWidth="1" min="18" max="18" width="10.5"/>
    <col customWidth="1" min="19" max="19" width="22.0"/>
    <col customWidth="1" min="20" max="22" width="7.75"/>
    <col customWidth="1" min="23" max="26" width="7.63"/>
  </cols>
  <sheetData>
    <row r="1" ht="14.25" customHeight="1">
      <c r="A1" s="6"/>
      <c r="B1" s="9" t="s">
        <v>1222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0" customHeight="1">
      <c r="A2" s="79"/>
      <c r="B2" s="80" t="s">
        <v>7454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4.25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14.25" customHeight="1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4.25" customHeight="1">
      <c r="A5" s="58"/>
      <c r="B5" s="82" t="s">
        <v>0</v>
      </c>
      <c r="C5" s="82" t="s">
        <v>1</v>
      </c>
      <c r="D5" s="82" t="s">
        <v>1224</v>
      </c>
      <c r="E5" s="82" t="s">
        <v>2</v>
      </c>
      <c r="F5" s="82" t="s">
        <v>1225</v>
      </c>
      <c r="G5" s="82" t="s">
        <v>3</v>
      </c>
      <c r="H5" s="82" t="s">
        <v>1441</v>
      </c>
      <c r="I5" s="81" t="s">
        <v>7455</v>
      </c>
      <c r="J5" s="81" t="s">
        <v>558</v>
      </c>
      <c r="K5" s="81" t="s">
        <v>7456</v>
      </c>
      <c r="L5" s="81" t="s">
        <v>1847</v>
      </c>
      <c r="M5" s="58"/>
      <c r="N5" s="58"/>
      <c r="O5" s="58"/>
      <c r="P5" s="21" t="s">
        <v>3</v>
      </c>
      <c r="Q5" s="21" t="s">
        <v>7457</v>
      </c>
      <c r="R5" s="21" t="s">
        <v>1224</v>
      </c>
      <c r="S5" s="21" t="s">
        <v>7458</v>
      </c>
      <c r="T5" s="21" t="s">
        <v>7459</v>
      </c>
      <c r="U5" s="21" t="s">
        <v>7460</v>
      </c>
      <c r="V5" s="58"/>
      <c r="W5" s="58"/>
      <c r="X5" s="58"/>
      <c r="Y5" s="58"/>
      <c r="Z5" s="58"/>
    </row>
    <row r="6" ht="14.25" customHeight="1">
      <c r="A6" s="58" t="str">
        <f>CONCAT(B6:C6)</f>
        <v>#N/A</v>
      </c>
      <c r="B6" s="82" t="s">
        <v>43</v>
      </c>
      <c r="C6" s="82" t="s">
        <v>44</v>
      </c>
      <c r="D6" s="82" t="s">
        <v>7461</v>
      </c>
      <c r="E6" s="82" t="s">
        <v>12</v>
      </c>
      <c r="F6" s="82" t="s">
        <v>7462</v>
      </c>
      <c r="G6" s="82" t="s">
        <v>7463</v>
      </c>
      <c r="H6" s="82" t="s">
        <v>7464</v>
      </c>
      <c r="I6" s="82" t="s">
        <v>7465</v>
      </c>
      <c r="J6" s="82" t="s">
        <v>7466</v>
      </c>
      <c r="K6" s="82">
        <v>20.0</v>
      </c>
      <c r="L6" s="85">
        <f>5*K6</f>
        <v>100</v>
      </c>
      <c r="M6" s="58"/>
      <c r="N6" s="58"/>
      <c r="O6" s="58"/>
      <c r="P6" s="21" t="s">
        <v>7467</v>
      </c>
      <c r="Q6" s="21" t="s">
        <v>7468</v>
      </c>
      <c r="R6" s="21" t="s">
        <v>7461</v>
      </c>
      <c r="S6" s="21" t="s">
        <v>7466</v>
      </c>
      <c r="T6" s="21" t="s">
        <v>7469</v>
      </c>
      <c r="U6" s="21">
        <v>20.0</v>
      </c>
      <c r="V6" s="58"/>
      <c r="W6" s="58"/>
      <c r="X6" s="58"/>
      <c r="Y6" s="58"/>
      <c r="Z6" s="58"/>
    </row>
    <row r="7" ht="14.25" customHeight="1">
      <c r="A7" s="58"/>
      <c r="B7" s="82" t="s">
        <v>43</v>
      </c>
      <c r="C7" s="82" t="s">
        <v>44</v>
      </c>
      <c r="D7" s="82" t="s">
        <v>7461</v>
      </c>
      <c r="E7" s="82" t="s">
        <v>12</v>
      </c>
      <c r="F7" s="82" t="s">
        <v>7470</v>
      </c>
      <c r="G7" s="82" t="s">
        <v>7471</v>
      </c>
      <c r="H7" s="82" t="s">
        <v>7472</v>
      </c>
      <c r="I7" s="82" t="s">
        <v>7465</v>
      </c>
      <c r="J7" s="82" t="s">
        <v>7466</v>
      </c>
      <c r="K7" s="82">
        <v>20.0</v>
      </c>
      <c r="L7" s="85">
        <f>K7*10</f>
        <v>200</v>
      </c>
      <c r="M7" s="58"/>
      <c r="N7" s="58"/>
      <c r="O7" s="58"/>
      <c r="P7" s="21" t="s">
        <v>46</v>
      </c>
      <c r="Q7" s="21" t="s">
        <v>7468</v>
      </c>
      <c r="R7" s="21" t="s">
        <v>7461</v>
      </c>
      <c r="S7" s="21" t="s">
        <v>7466</v>
      </c>
      <c r="T7" s="21" t="s">
        <v>7469</v>
      </c>
      <c r="U7" s="21">
        <v>20.0</v>
      </c>
      <c r="V7" s="58"/>
      <c r="W7" s="58"/>
      <c r="X7" s="58"/>
      <c r="Y7" s="58"/>
      <c r="Z7" s="58"/>
    </row>
    <row r="8" ht="14.25" customHeight="1">
      <c r="A8" s="58"/>
      <c r="B8" s="82" t="s">
        <v>43</v>
      </c>
      <c r="C8" s="82" t="s">
        <v>44</v>
      </c>
      <c r="D8" s="82" t="s">
        <v>7461</v>
      </c>
      <c r="E8" s="82" t="s">
        <v>12</v>
      </c>
      <c r="F8" s="82" t="s">
        <v>7473</v>
      </c>
      <c r="G8" s="82" t="s">
        <v>7474</v>
      </c>
      <c r="H8" s="82" t="s">
        <v>7475</v>
      </c>
      <c r="I8" s="82" t="s">
        <v>7465</v>
      </c>
      <c r="J8" s="82" t="s">
        <v>7466</v>
      </c>
      <c r="K8" s="82">
        <v>20.0</v>
      </c>
      <c r="L8" s="85">
        <f>K8*5</f>
        <v>100</v>
      </c>
      <c r="M8" s="58"/>
      <c r="N8" s="58"/>
      <c r="O8" s="58"/>
      <c r="P8" s="21" t="s">
        <v>7476</v>
      </c>
      <c r="Q8" s="21" t="s">
        <v>7477</v>
      </c>
      <c r="R8" s="21" t="s">
        <v>7461</v>
      </c>
      <c r="S8" s="21" t="s">
        <v>7466</v>
      </c>
      <c r="T8" s="21" t="s">
        <v>7469</v>
      </c>
      <c r="U8" s="21">
        <v>20.0</v>
      </c>
      <c r="V8" s="58"/>
      <c r="W8" s="58"/>
      <c r="X8" s="58"/>
      <c r="Y8" s="58"/>
      <c r="Z8" s="58"/>
    </row>
    <row r="9" ht="14.25" customHeight="1">
      <c r="A9" s="86"/>
      <c r="B9" s="87" t="s">
        <v>43</v>
      </c>
      <c r="C9" s="87" t="s">
        <v>44</v>
      </c>
      <c r="D9" s="87" t="s">
        <v>7461</v>
      </c>
      <c r="E9" s="87" t="s">
        <v>12</v>
      </c>
      <c r="F9" s="87" t="s">
        <v>7478</v>
      </c>
      <c r="G9" s="87" t="s">
        <v>7479</v>
      </c>
      <c r="H9" s="87" t="s">
        <v>7480</v>
      </c>
      <c r="I9" s="87" t="s">
        <v>7465</v>
      </c>
      <c r="J9" s="87" t="s">
        <v>7481</v>
      </c>
      <c r="K9" s="87">
        <v>50.0</v>
      </c>
      <c r="L9" s="88">
        <f>K9*10</f>
        <v>500</v>
      </c>
      <c r="M9" s="86"/>
      <c r="N9" s="86"/>
      <c r="O9" s="86"/>
      <c r="P9" s="89" t="s">
        <v>7482</v>
      </c>
      <c r="Q9" s="89" t="s">
        <v>7483</v>
      </c>
      <c r="R9" s="89" t="s">
        <v>7461</v>
      </c>
      <c r="S9" s="89" t="s">
        <v>7466</v>
      </c>
      <c r="T9" s="89" t="s">
        <v>7469</v>
      </c>
      <c r="U9" s="89">
        <v>20.0</v>
      </c>
      <c r="V9" s="86"/>
      <c r="W9" s="86"/>
      <c r="X9" s="86"/>
      <c r="Y9" s="86"/>
      <c r="Z9" s="86"/>
    </row>
    <row r="10" ht="14.25" customHeight="1">
      <c r="A10" s="86"/>
      <c r="B10" s="87" t="s">
        <v>43</v>
      </c>
      <c r="C10" s="87" t="s">
        <v>44</v>
      </c>
      <c r="D10" s="87" t="s">
        <v>7461</v>
      </c>
      <c r="E10" s="87" t="s">
        <v>12</v>
      </c>
      <c r="F10" s="87" t="s">
        <v>7484</v>
      </c>
      <c r="G10" s="87" t="s">
        <v>7485</v>
      </c>
      <c r="H10" s="87" t="s">
        <v>7486</v>
      </c>
      <c r="I10" s="87" t="s">
        <v>7465</v>
      </c>
      <c r="J10" s="87" t="s">
        <v>7481</v>
      </c>
      <c r="K10" s="87">
        <v>50.0</v>
      </c>
      <c r="L10" s="88">
        <f>K10*20</f>
        <v>1000</v>
      </c>
      <c r="M10" s="86"/>
      <c r="N10" s="86"/>
      <c r="O10" s="86"/>
      <c r="P10" s="89" t="s">
        <v>7487</v>
      </c>
      <c r="Q10" s="89" t="s">
        <v>7468</v>
      </c>
      <c r="R10" s="89" t="s">
        <v>7461</v>
      </c>
      <c r="S10" s="89" t="s">
        <v>7466</v>
      </c>
      <c r="T10" s="89" t="s">
        <v>7469</v>
      </c>
      <c r="U10" s="89">
        <v>20.0</v>
      </c>
      <c r="V10" s="86"/>
      <c r="W10" s="86"/>
      <c r="X10" s="86"/>
      <c r="Y10" s="86"/>
      <c r="Z10" s="86"/>
    </row>
    <row r="11" ht="14.25" customHeight="1">
      <c r="A11" s="86"/>
      <c r="B11" s="87" t="s">
        <v>43</v>
      </c>
      <c r="C11" s="87" t="s">
        <v>44</v>
      </c>
      <c r="D11" s="87" t="s">
        <v>7461</v>
      </c>
      <c r="E11" s="87" t="s">
        <v>12</v>
      </c>
      <c r="F11" s="87" t="s">
        <v>7488</v>
      </c>
      <c r="G11" s="87" t="s">
        <v>7489</v>
      </c>
      <c r="H11" s="87" t="s">
        <v>7490</v>
      </c>
      <c r="I11" s="87" t="s">
        <v>7465</v>
      </c>
      <c r="J11" s="87" t="s">
        <v>7481</v>
      </c>
      <c r="K11" s="87">
        <v>50.0</v>
      </c>
      <c r="L11" s="88">
        <f>K11*2</f>
        <v>100</v>
      </c>
      <c r="M11" s="86"/>
      <c r="N11" s="86"/>
      <c r="O11" s="86"/>
      <c r="P11" s="89" t="s">
        <v>7491</v>
      </c>
      <c r="Q11" s="89" t="s">
        <v>7492</v>
      </c>
      <c r="R11" s="89" t="s">
        <v>7461</v>
      </c>
      <c r="S11" s="89" t="s">
        <v>7493</v>
      </c>
      <c r="T11" s="89" t="s">
        <v>7469</v>
      </c>
      <c r="U11" s="89">
        <v>100.0</v>
      </c>
      <c r="V11" s="86"/>
      <c r="W11" s="86"/>
      <c r="X11" s="86"/>
      <c r="Y11" s="86"/>
      <c r="Z11" s="86"/>
    </row>
    <row r="12" ht="14.25" customHeight="1">
      <c r="A12" s="86"/>
      <c r="B12" s="87" t="s">
        <v>43</v>
      </c>
      <c r="C12" s="87" t="s">
        <v>44</v>
      </c>
      <c r="D12" s="87" t="s">
        <v>7461</v>
      </c>
      <c r="E12" s="87" t="s">
        <v>12</v>
      </c>
      <c r="F12" s="87" t="s">
        <v>7494</v>
      </c>
      <c r="G12" s="87" t="s">
        <v>7495</v>
      </c>
      <c r="H12" s="87" t="s">
        <v>7475</v>
      </c>
      <c r="I12" s="87" t="s">
        <v>7465</v>
      </c>
      <c r="J12" s="87" t="s">
        <v>7466</v>
      </c>
      <c r="K12" s="87">
        <v>20.0</v>
      </c>
      <c r="L12" s="88">
        <f t="shared" ref="L12:L14" si="1">5*20</f>
        <v>100</v>
      </c>
      <c r="M12" s="86"/>
      <c r="N12" s="86"/>
      <c r="O12" s="86"/>
      <c r="P12" s="89" t="s">
        <v>45</v>
      </c>
      <c r="Q12" s="89" t="s">
        <v>7496</v>
      </c>
      <c r="R12" s="89" t="s">
        <v>7461</v>
      </c>
      <c r="S12" s="89" t="s">
        <v>7481</v>
      </c>
      <c r="T12" s="89" t="s">
        <v>7469</v>
      </c>
      <c r="U12" s="89">
        <v>50.0</v>
      </c>
      <c r="V12" s="86"/>
      <c r="W12" s="86"/>
      <c r="X12" s="86"/>
      <c r="Y12" s="86"/>
      <c r="Z12" s="86"/>
    </row>
    <row r="13" ht="14.25" customHeight="1">
      <c r="A13" s="58"/>
      <c r="B13" s="82" t="s">
        <v>43</v>
      </c>
      <c r="C13" s="82" t="s">
        <v>44</v>
      </c>
      <c r="D13" s="82" t="s">
        <v>7461</v>
      </c>
      <c r="E13" s="82" t="s">
        <v>12</v>
      </c>
      <c r="F13" s="82" t="s">
        <v>7497</v>
      </c>
      <c r="G13" s="82" t="s">
        <v>7498</v>
      </c>
      <c r="H13" s="82" t="s">
        <v>7499</v>
      </c>
      <c r="I13" s="82" t="s">
        <v>7465</v>
      </c>
      <c r="J13" s="82" t="s">
        <v>7466</v>
      </c>
      <c r="K13" s="82">
        <v>20.0</v>
      </c>
      <c r="L13" s="85">
        <f t="shared" si="1"/>
        <v>100</v>
      </c>
      <c r="M13" s="58"/>
      <c r="N13" s="58"/>
      <c r="O13" s="58"/>
      <c r="P13" s="21" t="s">
        <v>7500</v>
      </c>
      <c r="Q13" s="21" t="s">
        <v>7477</v>
      </c>
      <c r="R13" s="21" t="s">
        <v>7461</v>
      </c>
      <c r="S13" s="21" t="s">
        <v>7466</v>
      </c>
      <c r="T13" s="21" t="s">
        <v>7469</v>
      </c>
      <c r="U13" s="21">
        <v>20.0</v>
      </c>
      <c r="V13" s="58"/>
      <c r="W13" s="58"/>
      <c r="X13" s="58"/>
      <c r="Y13" s="58"/>
      <c r="Z13" s="58"/>
    </row>
    <row r="14" ht="14.25" customHeight="1">
      <c r="A14" s="58"/>
      <c r="B14" s="82" t="s">
        <v>43</v>
      </c>
      <c r="C14" s="82" t="s">
        <v>44</v>
      </c>
      <c r="D14" s="82" t="s">
        <v>7461</v>
      </c>
      <c r="E14" s="82" t="s">
        <v>20</v>
      </c>
      <c r="F14" s="82" t="s">
        <v>7501</v>
      </c>
      <c r="G14" s="82" t="s">
        <v>7502</v>
      </c>
      <c r="H14" s="82" t="s">
        <v>7464</v>
      </c>
      <c r="I14" s="82" t="s">
        <v>7465</v>
      </c>
      <c r="J14" s="82" t="s">
        <v>7466</v>
      </c>
      <c r="K14" s="82">
        <v>20.0</v>
      </c>
      <c r="L14" s="85">
        <f t="shared" si="1"/>
        <v>100</v>
      </c>
      <c r="M14" s="58"/>
      <c r="N14" s="58"/>
      <c r="O14" s="58"/>
      <c r="P14" s="21" t="s">
        <v>7500</v>
      </c>
      <c r="Q14" s="21" t="s">
        <v>7503</v>
      </c>
      <c r="R14" s="21" t="s">
        <v>7461</v>
      </c>
      <c r="S14" s="21" t="s">
        <v>7466</v>
      </c>
      <c r="T14" s="21" t="s">
        <v>7469</v>
      </c>
      <c r="U14" s="21">
        <v>20.0</v>
      </c>
      <c r="V14" s="58"/>
      <c r="W14" s="58"/>
      <c r="X14" s="58"/>
      <c r="Y14" s="58"/>
      <c r="Z14" s="58"/>
    </row>
    <row r="15" ht="14.25" customHeight="1">
      <c r="A15" s="58"/>
      <c r="B15" s="82" t="s">
        <v>43</v>
      </c>
      <c r="C15" s="82" t="s">
        <v>44</v>
      </c>
      <c r="D15" s="82" t="s">
        <v>7461</v>
      </c>
      <c r="E15" s="82" t="s">
        <v>20</v>
      </c>
      <c r="F15" s="82" t="s">
        <v>7504</v>
      </c>
      <c r="G15" s="82" t="s">
        <v>7505</v>
      </c>
      <c r="H15" s="82" t="s">
        <v>7506</v>
      </c>
      <c r="I15" s="82" t="s">
        <v>7465</v>
      </c>
      <c r="J15" s="82" t="s">
        <v>7466</v>
      </c>
      <c r="K15" s="82">
        <v>20.0</v>
      </c>
      <c r="L15" s="85">
        <f>20*10</f>
        <v>200</v>
      </c>
      <c r="M15" s="58"/>
      <c r="N15" s="58"/>
      <c r="O15" s="58"/>
      <c r="P15" s="21" t="s">
        <v>7507</v>
      </c>
      <c r="Q15" s="21" t="s">
        <v>7508</v>
      </c>
      <c r="R15" s="21" t="s">
        <v>7461</v>
      </c>
      <c r="S15" s="21" t="s">
        <v>7509</v>
      </c>
      <c r="T15" s="21" t="s">
        <v>7469</v>
      </c>
      <c r="U15" s="90">
        <f>6.75/4.6</f>
        <v>1.467391304</v>
      </c>
      <c r="V15" s="58"/>
      <c r="W15" s="58"/>
      <c r="X15" s="58"/>
      <c r="Y15" s="58"/>
      <c r="Z15" s="58"/>
    </row>
    <row r="16" ht="14.25" customHeight="1">
      <c r="A16" s="58"/>
      <c r="B16" s="82" t="s">
        <v>43</v>
      </c>
      <c r="C16" s="82" t="s">
        <v>44</v>
      </c>
      <c r="D16" s="82" t="s">
        <v>7461</v>
      </c>
      <c r="E16" s="82" t="s">
        <v>20</v>
      </c>
      <c r="F16" s="82" t="s">
        <v>7510</v>
      </c>
      <c r="G16" s="82" t="s">
        <v>7511</v>
      </c>
      <c r="H16" s="82" t="s">
        <v>7512</v>
      </c>
      <c r="I16" s="82" t="s">
        <v>7465</v>
      </c>
      <c r="J16" s="82" t="s">
        <v>7466</v>
      </c>
      <c r="K16" s="82">
        <v>20.0</v>
      </c>
      <c r="L16" s="85">
        <f>20*5</f>
        <v>100</v>
      </c>
      <c r="M16" s="58"/>
      <c r="N16" s="58"/>
      <c r="O16" s="58"/>
      <c r="P16" s="21" t="s">
        <v>7513</v>
      </c>
      <c r="Q16" s="21" t="s">
        <v>7468</v>
      </c>
      <c r="R16" s="21" t="s">
        <v>7461</v>
      </c>
      <c r="S16" s="21" t="s">
        <v>7466</v>
      </c>
      <c r="T16" s="21" t="s">
        <v>7469</v>
      </c>
      <c r="U16" s="21">
        <v>20.0</v>
      </c>
      <c r="V16" s="58"/>
      <c r="W16" s="58"/>
      <c r="X16" s="58"/>
      <c r="Y16" s="58"/>
      <c r="Z16" s="58"/>
    </row>
    <row r="17" ht="14.25" customHeight="1">
      <c r="A17" s="58"/>
      <c r="B17" s="82" t="s">
        <v>43</v>
      </c>
      <c r="C17" s="82" t="s">
        <v>44</v>
      </c>
      <c r="D17" s="82" t="s">
        <v>7461</v>
      </c>
      <c r="E17" s="82" t="s">
        <v>20</v>
      </c>
      <c r="F17" s="82" t="s">
        <v>7514</v>
      </c>
      <c r="G17" s="82" t="s">
        <v>7515</v>
      </c>
      <c r="H17" s="82" t="s">
        <v>7516</v>
      </c>
      <c r="I17" s="82" t="s">
        <v>7465</v>
      </c>
      <c r="J17" s="82" t="s">
        <v>7509</v>
      </c>
      <c r="K17" s="91">
        <v>1.4673913043478262</v>
      </c>
      <c r="L17" s="85">
        <f>4.5*1.5</f>
        <v>6.75</v>
      </c>
      <c r="M17" s="58"/>
      <c r="N17" s="58"/>
      <c r="O17" s="58"/>
      <c r="P17" s="21" t="s">
        <v>7482</v>
      </c>
      <c r="Q17" s="21" t="s">
        <v>7517</v>
      </c>
      <c r="R17" s="21" t="s">
        <v>7461</v>
      </c>
      <c r="S17" s="21" t="s">
        <v>7466</v>
      </c>
      <c r="T17" s="21" t="s">
        <v>7469</v>
      </c>
      <c r="U17" s="21">
        <v>20.0</v>
      </c>
      <c r="V17" s="58"/>
      <c r="W17" s="58"/>
      <c r="X17" s="58"/>
      <c r="Y17" s="58"/>
      <c r="Z17" s="58"/>
    </row>
    <row r="18" ht="14.25" customHeight="1">
      <c r="A18" s="58"/>
      <c r="B18" s="82" t="s">
        <v>43</v>
      </c>
      <c r="C18" s="82" t="s">
        <v>44</v>
      </c>
      <c r="D18" s="82" t="s">
        <v>7461</v>
      </c>
      <c r="E18" s="82" t="s">
        <v>20</v>
      </c>
      <c r="F18" s="82" t="s">
        <v>7518</v>
      </c>
      <c r="G18" s="82" t="s">
        <v>7519</v>
      </c>
      <c r="H18" s="82" t="s">
        <v>7520</v>
      </c>
      <c r="I18" s="82" t="s">
        <v>7465</v>
      </c>
      <c r="J18" s="82" t="s">
        <v>7493</v>
      </c>
      <c r="K18" s="91">
        <v>100.0</v>
      </c>
      <c r="L18" s="85">
        <f>2*K18</f>
        <v>200</v>
      </c>
      <c r="M18" s="58"/>
      <c r="N18" s="58"/>
      <c r="O18" s="58"/>
      <c r="P18" s="21" t="s">
        <v>7521</v>
      </c>
      <c r="Q18" s="21" t="s">
        <v>7522</v>
      </c>
      <c r="R18" s="21" t="s">
        <v>7523</v>
      </c>
      <c r="S18" s="21" t="s">
        <v>7524</v>
      </c>
      <c r="T18" s="21" t="s">
        <v>7525</v>
      </c>
      <c r="U18" s="92"/>
      <c r="V18" s="58" t="s">
        <v>7526</v>
      </c>
      <c r="W18" s="58"/>
      <c r="X18" s="58"/>
      <c r="Y18" s="58"/>
      <c r="Z18" s="58"/>
    </row>
    <row r="19" ht="14.25" customHeight="1">
      <c r="A19" s="58"/>
      <c r="B19" s="82" t="s">
        <v>43</v>
      </c>
      <c r="C19" s="82" t="s">
        <v>44</v>
      </c>
      <c r="D19" s="82" t="s">
        <v>7461</v>
      </c>
      <c r="E19" s="82" t="s">
        <v>20</v>
      </c>
      <c r="F19" s="82" t="s">
        <v>7527</v>
      </c>
      <c r="G19" s="82" t="s">
        <v>7528</v>
      </c>
      <c r="H19" s="82" t="s">
        <v>7529</v>
      </c>
      <c r="I19" s="82" t="s">
        <v>7465</v>
      </c>
      <c r="J19" s="82" t="s">
        <v>7493</v>
      </c>
      <c r="K19" s="91">
        <v>100.0</v>
      </c>
      <c r="L19" s="85">
        <f>5*K19</f>
        <v>500</v>
      </c>
      <c r="M19" s="58"/>
      <c r="N19" s="58"/>
      <c r="O19" s="58"/>
      <c r="P19" s="21" t="s">
        <v>7530</v>
      </c>
      <c r="Q19" s="21" t="s">
        <v>7531</v>
      </c>
      <c r="R19" s="21" t="s">
        <v>7532</v>
      </c>
      <c r="S19" s="21" t="s">
        <v>7533</v>
      </c>
      <c r="T19" s="21" t="s">
        <v>7525</v>
      </c>
      <c r="U19" s="92"/>
      <c r="V19" s="58" t="s">
        <v>7534</v>
      </c>
      <c r="W19" s="58"/>
      <c r="X19" s="58"/>
      <c r="Y19" s="58"/>
      <c r="Z19" s="58"/>
    </row>
    <row r="20" ht="14.25" customHeight="1">
      <c r="A20" s="58"/>
      <c r="B20" s="82" t="s">
        <v>43</v>
      </c>
      <c r="C20" s="82" t="s">
        <v>44</v>
      </c>
      <c r="D20" s="82" t="s">
        <v>7461</v>
      </c>
      <c r="E20" s="82" t="s">
        <v>20</v>
      </c>
      <c r="F20" s="82" t="s">
        <v>7535</v>
      </c>
      <c r="G20" s="82" t="s">
        <v>7536</v>
      </c>
      <c r="H20" s="82" t="s">
        <v>7499</v>
      </c>
      <c r="I20" s="82" t="s">
        <v>7465</v>
      </c>
      <c r="J20" s="82" t="s">
        <v>7466</v>
      </c>
      <c r="K20" s="85">
        <v>20.0</v>
      </c>
      <c r="L20" s="85">
        <f>5*20</f>
        <v>100</v>
      </c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4.25" customHeight="1">
      <c r="A21" s="58"/>
      <c r="B21" s="82" t="s">
        <v>43</v>
      </c>
      <c r="C21" s="82" t="s">
        <v>44</v>
      </c>
      <c r="D21" s="82" t="s">
        <v>7461</v>
      </c>
      <c r="E21" s="82" t="s">
        <v>20</v>
      </c>
      <c r="F21" s="82" t="s">
        <v>7537</v>
      </c>
      <c r="G21" s="82" t="s">
        <v>7538</v>
      </c>
      <c r="H21" s="82" t="s">
        <v>7539</v>
      </c>
      <c r="I21" s="82" t="s">
        <v>7465</v>
      </c>
      <c r="J21" s="82" t="s">
        <v>7466</v>
      </c>
      <c r="K21" s="85">
        <v>20.0</v>
      </c>
      <c r="L21" s="85">
        <f>K21*10</f>
        <v>200</v>
      </c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4.25" customHeight="1">
      <c r="A22" s="58"/>
      <c r="B22" s="82" t="s">
        <v>43</v>
      </c>
      <c r="C22" s="82" t="s">
        <v>44</v>
      </c>
      <c r="D22" s="82" t="s">
        <v>7540</v>
      </c>
      <c r="E22" s="82" t="s">
        <v>20</v>
      </c>
      <c r="F22" s="82" t="s">
        <v>7541</v>
      </c>
      <c r="G22" s="82" t="s">
        <v>7542</v>
      </c>
      <c r="H22" s="82" t="s">
        <v>7543</v>
      </c>
      <c r="I22" s="82" t="s">
        <v>1315</v>
      </c>
      <c r="J22" s="82"/>
      <c r="K22" s="82"/>
      <c r="L22" s="82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4.25" customHeight="1">
      <c r="A23" s="58"/>
      <c r="B23" s="82" t="s">
        <v>43</v>
      </c>
      <c r="C23" s="82" t="s">
        <v>44</v>
      </c>
      <c r="D23" s="82" t="s">
        <v>7540</v>
      </c>
      <c r="E23" s="82" t="s">
        <v>20</v>
      </c>
      <c r="F23" s="82" t="s">
        <v>7544</v>
      </c>
      <c r="G23" s="82" t="s">
        <v>7545</v>
      </c>
      <c r="H23" s="82" t="s">
        <v>7546</v>
      </c>
      <c r="I23" s="82" t="s">
        <v>1315</v>
      </c>
      <c r="J23" s="82"/>
      <c r="K23" s="82"/>
      <c r="L23" s="82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4.25" customHeight="1">
      <c r="A24" s="58"/>
      <c r="B24" s="82" t="s">
        <v>43</v>
      </c>
      <c r="C24" s="82" t="s">
        <v>44</v>
      </c>
      <c r="D24" s="82" t="s">
        <v>7540</v>
      </c>
      <c r="E24" s="82" t="s">
        <v>20</v>
      </c>
      <c r="F24" s="82" t="s">
        <v>7547</v>
      </c>
      <c r="G24" s="82" t="s">
        <v>7548</v>
      </c>
      <c r="H24" s="82" t="s">
        <v>7549</v>
      </c>
      <c r="I24" s="82" t="s">
        <v>1315</v>
      </c>
      <c r="J24" s="82"/>
      <c r="K24" s="82"/>
      <c r="L24" s="82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14.25" customHeight="1">
      <c r="A25" s="58"/>
      <c r="B25" s="82" t="s">
        <v>43</v>
      </c>
      <c r="C25" s="82" t="s">
        <v>44</v>
      </c>
      <c r="D25" s="82" t="s">
        <v>7540</v>
      </c>
      <c r="E25" s="82" t="s">
        <v>20</v>
      </c>
      <c r="F25" s="82" t="s">
        <v>7550</v>
      </c>
      <c r="G25" s="82" t="s">
        <v>7551</v>
      </c>
      <c r="H25" s="82" t="s">
        <v>7552</v>
      </c>
      <c r="I25" s="82" t="s">
        <v>1315</v>
      </c>
      <c r="J25" s="82"/>
      <c r="K25" s="82"/>
      <c r="L25" s="82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4.25" customHeight="1">
      <c r="A26" s="58"/>
      <c r="B26" s="82" t="s">
        <v>43</v>
      </c>
      <c r="C26" s="82" t="s">
        <v>44</v>
      </c>
      <c r="D26" s="82" t="s">
        <v>7523</v>
      </c>
      <c r="E26" s="82" t="s">
        <v>12</v>
      </c>
      <c r="F26" s="82" t="s">
        <v>7553</v>
      </c>
      <c r="G26" s="82" t="s">
        <v>7554</v>
      </c>
      <c r="H26" s="82" t="s">
        <v>7555</v>
      </c>
      <c r="I26" s="82" t="s">
        <v>1315</v>
      </c>
      <c r="J26" s="82"/>
      <c r="K26" s="82"/>
      <c r="L26" s="82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4.25" customHeight="1">
      <c r="A27" s="58"/>
      <c r="B27" s="82" t="s">
        <v>43</v>
      </c>
      <c r="C27" s="82" t="s">
        <v>44</v>
      </c>
      <c r="D27" s="82" t="s">
        <v>7523</v>
      </c>
      <c r="E27" s="82" t="s">
        <v>12</v>
      </c>
      <c r="F27" s="82" t="s">
        <v>7556</v>
      </c>
      <c r="G27" s="82" t="s">
        <v>7557</v>
      </c>
      <c r="H27" s="82" t="s">
        <v>7558</v>
      </c>
      <c r="I27" s="82" t="s">
        <v>1315</v>
      </c>
      <c r="J27" s="82"/>
      <c r="K27" s="82"/>
      <c r="L27" s="82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4.25" customHeight="1">
      <c r="A28" s="58"/>
      <c r="B28" s="82" t="s">
        <v>43</v>
      </c>
      <c r="C28" s="82" t="s">
        <v>44</v>
      </c>
      <c r="D28" s="82" t="s">
        <v>7523</v>
      </c>
      <c r="E28" s="82" t="s">
        <v>12</v>
      </c>
      <c r="F28" s="82" t="s">
        <v>7559</v>
      </c>
      <c r="G28" s="82" t="s">
        <v>7560</v>
      </c>
      <c r="H28" s="82" t="s">
        <v>7561</v>
      </c>
      <c r="I28" s="82" t="s">
        <v>1315</v>
      </c>
      <c r="J28" s="82"/>
      <c r="K28" s="82"/>
      <c r="L28" s="82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4.25" customHeight="1">
      <c r="A29" s="58"/>
      <c r="B29" s="82" t="s">
        <v>43</v>
      </c>
      <c r="C29" s="82" t="s">
        <v>44</v>
      </c>
      <c r="D29" s="82" t="s">
        <v>7523</v>
      </c>
      <c r="E29" s="82" t="s">
        <v>20</v>
      </c>
      <c r="F29" s="82" t="s">
        <v>7562</v>
      </c>
      <c r="G29" s="82" t="s">
        <v>7563</v>
      </c>
      <c r="H29" s="82" t="s">
        <v>7555</v>
      </c>
      <c r="I29" s="82" t="s">
        <v>1315</v>
      </c>
      <c r="J29" s="82"/>
      <c r="K29" s="82"/>
      <c r="L29" s="82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4.25" customHeight="1">
      <c r="A30" s="58"/>
      <c r="B30" s="82" t="s">
        <v>43</v>
      </c>
      <c r="C30" s="82" t="s">
        <v>44</v>
      </c>
      <c r="D30" s="82" t="s">
        <v>7523</v>
      </c>
      <c r="E30" s="82" t="s">
        <v>20</v>
      </c>
      <c r="F30" s="82" t="s">
        <v>7564</v>
      </c>
      <c r="G30" s="82" t="s">
        <v>7565</v>
      </c>
      <c r="H30" s="82" t="s">
        <v>7558</v>
      </c>
      <c r="I30" s="82" t="s">
        <v>1315</v>
      </c>
      <c r="J30" s="82"/>
      <c r="K30" s="82"/>
      <c r="L30" s="82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4.25" customHeight="1">
      <c r="A31" s="58"/>
      <c r="B31" s="82" t="s">
        <v>43</v>
      </c>
      <c r="C31" s="82" t="s">
        <v>44</v>
      </c>
      <c r="D31" s="82" t="s">
        <v>7461</v>
      </c>
      <c r="E31" s="82" t="s">
        <v>12</v>
      </c>
      <c r="F31" s="82" t="s">
        <v>7566</v>
      </c>
      <c r="G31" s="82" t="s">
        <v>7567</v>
      </c>
      <c r="H31" s="82" t="s">
        <v>7568</v>
      </c>
      <c r="I31" s="82" t="s">
        <v>1315</v>
      </c>
      <c r="J31" s="82"/>
      <c r="K31" s="82"/>
      <c r="L31" s="82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4.25" customHeight="1">
      <c r="A32" s="58"/>
      <c r="B32" s="82" t="s">
        <v>43</v>
      </c>
      <c r="C32" s="82" t="s">
        <v>44</v>
      </c>
      <c r="D32" s="82" t="s">
        <v>7461</v>
      </c>
      <c r="E32" s="82" t="s">
        <v>12</v>
      </c>
      <c r="F32" s="82" t="s">
        <v>7569</v>
      </c>
      <c r="G32" s="82" t="s">
        <v>7570</v>
      </c>
      <c r="H32" s="82" t="s">
        <v>7571</v>
      </c>
      <c r="I32" s="82" t="s">
        <v>1315</v>
      </c>
      <c r="J32" s="82"/>
      <c r="K32" s="82"/>
      <c r="L32" s="82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4.25" customHeight="1">
      <c r="A33" s="58"/>
      <c r="B33" s="82" t="s">
        <v>43</v>
      </c>
      <c r="C33" s="82" t="s">
        <v>44</v>
      </c>
      <c r="D33" s="82" t="s">
        <v>7461</v>
      </c>
      <c r="E33" s="82" t="s">
        <v>12</v>
      </c>
      <c r="F33" s="82" t="s">
        <v>7572</v>
      </c>
      <c r="G33" s="82" t="s">
        <v>7573</v>
      </c>
      <c r="H33" s="82" t="s">
        <v>7568</v>
      </c>
      <c r="I33" s="82" t="s">
        <v>1315</v>
      </c>
      <c r="J33" s="82"/>
      <c r="K33" s="82"/>
      <c r="L33" s="82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4.25" customHeight="1">
      <c r="A34" s="58"/>
      <c r="B34" s="82" t="s">
        <v>43</v>
      </c>
      <c r="C34" s="82" t="s">
        <v>44</v>
      </c>
      <c r="D34" s="82" t="s">
        <v>7461</v>
      </c>
      <c r="E34" s="82" t="s">
        <v>12</v>
      </c>
      <c r="F34" s="82" t="s">
        <v>7574</v>
      </c>
      <c r="G34" s="82" t="s">
        <v>7575</v>
      </c>
      <c r="H34" s="82" t="s">
        <v>7576</v>
      </c>
      <c r="I34" s="82" t="s">
        <v>1315</v>
      </c>
      <c r="J34" s="82"/>
      <c r="K34" s="82"/>
      <c r="L34" s="82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4.25" customHeight="1">
      <c r="A35" s="58"/>
      <c r="B35" s="82" t="s">
        <v>43</v>
      </c>
      <c r="C35" s="82" t="s">
        <v>44</v>
      </c>
      <c r="D35" s="82" t="s">
        <v>7461</v>
      </c>
      <c r="E35" s="82" t="s">
        <v>12</v>
      </c>
      <c r="F35" s="82" t="s">
        <v>7577</v>
      </c>
      <c r="G35" s="82" t="s">
        <v>7578</v>
      </c>
      <c r="H35" s="82" t="s">
        <v>7579</v>
      </c>
      <c r="I35" s="82" t="s">
        <v>1315</v>
      </c>
      <c r="J35" s="82"/>
      <c r="K35" s="82"/>
      <c r="L35" s="82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4.25" customHeight="1">
      <c r="A36" s="58"/>
      <c r="B36" s="82" t="s">
        <v>43</v>
      </c>
      <c r="C36" s="82" t="s">
        <v>44</v>
      </c>
      <c r="D36" s="82" t="s">
        <v>7461</v>
      </c>
      <c r="E36" s="82" t="s">
        <v>20</v>
      </c>
      <c r="F36" s="82" t="s">
        <v>7580</v>
      </c>
      <c r="G36" s="82" t="s">
        <v>7581</v>
      </c>
      <c r="H36" s="82" t="s">
        <v>7582</v>
      </c>
      <c r="I36" s="82" t="s">
        <v>1315</v>
      </c>
      <c r="J36" s="82"/>
      <c r="K36" s="82"/>
      <c r="L36" s="82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4.25" customHeight="1">
      <c r="A37" s="58"/>
      <c r="B37" s="82" t="s">
        <v>43</v>
      </c>
      <c r="C37" s="82" t="s">
        <v>44</v>
      </c>
      <c r="D37" s="82" t="s">
        <v>7461</v>
      </c>
      <c r="E37" s="82" t="s">
        <v>20</v>
      </c>
      <c r="F37" s="82" t="s">
        <v>7583</v>
      </c>
      <c r="G37" s="82" t="s">
        <v>7584</v>
      </c>
      <c r="H37" s="82" t="s">
        <v>7585</v>
      </c>
      <c r="I37" s="82" t="s">
        <v>1315</v>
      </c>
      <c r="J37" s="82"/>
      <c r="K37" s="82"/>
      <c r="L37" s="82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4.25" customHeight="1">
      <c r="A38" s="58"/>
      <c r="B38" s="82" t="s">
        <v>43</v>
      </c>
      <c r="C38" s="82" t="s">
        <v>44</v>
      </c>
      <c r="D38" s="82" t="s">
        <v>7461</v>
      </c>
      <c r="E38" s="82" t="s">
        <v>20</v>
      </c>
      <c r="F38" s="82" t="s">
        <v>7586</v>
      </c>
      <c r="G38" s="82" t="s">
        <v>7587</v>
      </c>
      <c r="H38" s="82" t="s">
        <v>7588</v>
      </c>
      <c r="I38" s="82" t="s">
        <v>1315</v>
      </c>
      <c r="J38" s="82"/>
      <c r="K38" s="82"/>
      <c r="L38" s="82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4.25" customHeight="1">
      <c r="A39" s="58"/>
      <c r="B39" s="82" t="s">
        <v>43</v>
      </c>
      <c r="C39" s="82" t="s">
        <v>44</v>
      </c>
      <c r="D39" s="82" t="s">
        <v>7461</v>
      </c>
      <c r="E39" s="82" t="s">
        <v>20</v>
      </c>
      <c r="F39" s="82" t="s">
        <v>7589</v>
      </c>
      <c r="G39" s="82" t="s">
        <v>7590</v>
      </c>
      <c r="H39" s="82" t="s">
        <v>7591</v>
      </c>
      <c r="I39" s="82" t="s">
        <v>1315</v>
      </c>
      <c r="J39" s="82"/>
      <c r="K39" s="82"/>
      <c r="L39" s="82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4.25" customHeight="1">
      <c r="A40" s="58"/>
      <c r="B40" s="82" t="s">
        <v>43</v>
      </c>
      <c r="C40" s="82" t="s">
        <v>44</v>
      </c>
      <c r="D40" s="82" t="s">
        <v>7461</v>
      </c>
      <c r="E40" s="82" t="s">
        <v>20</v>
      </c>
      <c r="F40" s="82" t="s">
        <v>7592</v>
      </c>
      <c r="G40" s="82" t="s">
        <v>7593</v>
      </c>
      <c r="H40" s="82" t="s">
        <v>7594</v>
      </c>
      <c r="I40" s="82" t="s">
        <v>1315</v>
      </c>
      <c r="J40" s="82"/>
      <c r="K40" s="82"/>
      <c r="L40" s="82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4.25" customHeight="1">
      <c r="A41" s="58"/>
      <c r="B41" s="82" t="s">
        <v>43</v>
      </c>
      <c r="C41" s="82" t="s">
        <v>44</v>
      </c>
      <c r="D41" s="82" t="s">
        <v>7461</v>
      </c>
      <c r="E41" s="82" t="s">
        <v>20</v>
      </c>
      <c r="F41" s="82" t="s">
        <v>7595</v>
      </c>
      <c r="G41" s="82" t="s">
        <v>7596</v>
      </c>
      <c r="H41" s="82" t="s">
        <v>7597</v>
      </c>
      <c r="I41" s="82" t="s">
        <v>1315</v>
      </c>
      <c r="J41" s="82"/>
      <c r="K41" s="82"/>
      <c r="L41" s="82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4.25" customHeight="1">
      <c r="A42" s="58"/>
      <c r="B42" s="82" t="s">
        <v>43</v>
      </c>
      <c r="C42" s="82" t="s">
        <v>44</v>
      </c>
      <c r="D42" s="82" t="s">
        <v>7461</v>
      </c>
      <c r="E42" s="82" t="s">
        <v>20</v>
      </c>
      <c r="F42" s="82" t="s">
        <v>7598</v>
      </c>
      <c r="G42" s="82" t="s">
        <v>7599</v>
      </c>
      <c r="H42" s="82" t="s">
        <v>7600</v>
      </c>
      <c r="I42" s="82" t="s">
        <v>1315</v>
      </c>
      <c r="J42" s="82"/>
      <c r="K42" s="82"/>
      <c r="L42" s="82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4.25" customHeight="1">
      <c r="A43" s="58"/>
      <c r="B43" s="82" t="s">
        <v>43</v>
      </c>
      <c r="C43" s="82" t="s">
        <v>44</v>
      </c>
      <c r="D43" s="82" t="s">
        <v>7532</v>
      </c>
      <c r="E43" s="82" t="s">
        <v>12</v>
      </c>
      <c r="F43" s="82" t="s">
        <v>7601</v>
      </c>
      <c r="G43" s="82" t="s">
        <v>7602</v>
      </c>
      <c r="H43" s="82" t="s">
        <v>7603</v>
      </c>
      <c r="I43" s="82" t="s">
        <v>1315</v>
      </c>
      <c r="J43" s="82"/>
      <c r="K43" s="82"/>
      <c r="L43" s="82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4.25" customHeight="1">
      <c r="A44" s="58"/>
      <c r="B44" s="82" t="s">
        <v>43</v>
      </c>
      <c r="C44" s="82" t="s">
        <v>44</v>
      </c>
      <c r="D44" s="82" t="s">
        <v>7532</v>
      </c>
      <c r="E44" s="82" t="s">
        <v>12</v>
      </c>
      <c r="F44" s="82" t="s">
        <v>7604</v>
      </c>
      <c r="G44" s="82" t="s">
        <v>7605</v>
      </c>
      <c r="H44" s="82" t="s">
        <v>7606</v>
      </c>
      <c r="I44" s="82" t="s">
        <v>1315</v>
      </c>
      <c r="J44" s="82"/>
      <c r="K44" s="82"/>
      <c r="L44" s="82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4.25" customHeight="1">
      <c r="A45" s="58"/>
      <c r="B45" s="82" t="s">
        <v>43</v>
      </c>
      <c r="C45" s="82" t="s">
        <v>44</v>
      </c>
      <c r="D45" s="82" t="s">
        <v>7532</v>
      </c>
      <c r="E45" s="82" t="s">
        <v>12</v>
      </c>
      <c r="F45" s="82" t="s">
        <v>7607</v>
      </c>
      <c r="G45" s="82" t="s">
        <v>7608</v>
      </c>
      <c r="H45" s="82" t="s">
        <v>7609</v>
      </c>
      <c r="I45" s="82" t="s">
        <v>1315</v>
      </c>
      <c r="J45" s="82"/>
      <c r="K45" s="82"/>
      <c r="L45" s="82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4.25" customHeight="1">
      <c r="A46" s="58"/>
      <c r="B46" s="82" t="s">
        <v>43</v>
      </c>
      <c r="C46" s="82" t="s">
        <v>44</v>
      </c>
      <c r="D46" s="82" t="s">
        <v>7532</v>
      </c>
      <c r="E46" s="82" t="s">
        <v>20</v>
      </c>
      <c r="F46" s="82" t="s">
        <v>7610</v>
      </c>
      <c r="G46" s="82" t="s">
        <v>7611</v>
      </c>
      <c r="H46" s="82" t="s">
        <v>7612</v>
      </c>
      <c r="I46" s="82" t="s">
        <v>1315</v>
      </c>
      <c r="J46" s="82"/>
      <c r="K46" s="82"/>
      <c r="L46" s="82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4.25" customHeight="1">
      <c r="A47" s="58"/>
      <c r="B47" s="82" t="s">
        <v>43</v>
      </c>
      <c r="C47" s="82" t="s">
        <v>44</v>
      </c>
      <c r="D47" s="82" t="s">
        <v>7532</v>
      </c>
      <c r="E47" s="82" t="s">
        <v>20</v>
      </c>
      <c r="F47" s="82" t="s">
        <v>7613</v>
      </c>
      <c r="G47" s="82" t="s">
        <v>7614</v>
      </c>
      <c r="H47" s="82" t="s">
        <v>7615</v>
      </c>
      <c r="I47" s="82" t="s">
        <v>1315</v>
      </c>
      <c r="J47" s="82"/>
      <c r="K47" s="82"/>
      <c r="L47" s="82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4.25" customHeight="1">
      <c r="A48" s="58" t="str">
        <f>CONCAT(B48:C48)</f>
        <v>#N/A</v>
      </c>
      <c r="B48" s="82" t="s">
        <v>443</v>
      </c>
      <c r="C48" s="82" t="s">
        <v>444</v>
      </c>
      <c r="D48" s="82" t="s">
        <v>7616</v>
      </c>
      <c r="E48" s="82" t="s">
        <v>20</v>
      </c>
      <c r="F48" s="82" t="s">
        <v>7617</v>
      </c>
      <c r="G48" s="82" t="s">
        <v>7618</v>
      </c>
      <c r="H48" s="82" t="s">
        <v>7619</v>
      </c>
      <c r="I48" s="82" t="s">
        <v>1315</v>
      </c>
      <c r="J48" s="82"/>
      <c r="K48" s="82"/>
      <c r="L48" s="82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4.25" customHeight="1">
      <c r="A49" s="58"/>
      <c r="B49" s="82" t="s">
        <v>443</v>
      </c>
      <c r="C49" s="82" t="s">
        <v>444</v>
      </c>
      <c r="D49" s="82" t="s">
        <v>7620</v>
      </c>
      <c r="E49" s="82" t="s">
        <v>20</v>
      </c>
      <c r="F49" s="82" t="s">
        <v>7621</v>
      </c>
      <c r="G49" s="82" t="s">
        <v>7622</v>
      </c>
      <c r="H49" s="82" t="s">
        <v>7623</v>
      </c>
      <c r="I49" s="82" t="s">
        <v>1315</v>
      </c>
      <c r="J49" s="82"/>
      <c r="K49" s="82"/>
      <c r="L49" s="82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4.25" customHeight="1">
      <c r="A50" s="58"/>
      <c r="B50" s="82" t="s">
        <v>443</v>
      </c>
      <c r="C50" s="82" t="s">
        <v>444</v>
      </c>
      <c r="D50" s="82" t="s">
        <v>7624</v>
      </c>
      <c r="E50" s="82" t="s">
        <v>20</v>
      </c>
      <c r="F50" s="82" t="s">
        <v>7625</v>
      </c>
      <c r="G50" s="82" t="s">
        <v>7626</v>
      </c>
      <c r="H50" s="82" t="s">
        <v>7623</v>
      </c>
      <c r="I50" s="82" t="s">
        <v>1315</v>
      </c>
      <c r="J50" s="82"/>
      <c r="K50" s="82"/>
      <c r="L50" s="82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4.25" customHeight="1">
      <c r="A51" s="58"/>
      <c r="B51" s="82" t="s">
        <v>443</v>
      </c>
      <c r="C51" s="82" t="s">
        <v>444</v>
      </c>
      <c r="D51" s="82" t="s">
        <v>7627</v>
      </c>
      <c r="E51" s="82" t="s">
        <v>20</v>
      </c>
      <c r="F51" s="82" t="s">
        <v>7628</v>
      </c>
      <c r="G51" s="82" t="s">
        <v>7629</v>
      </c>
      <c r="H51" s="82" t="s">
        <v>7623</v>
      </c>
      <c r="I51" s="82" t="s">
        <v>1315</v>
      </c>
      <c r="J51" s="82"/>
      <c r="K51" s="82"/>
      <c r="L51" s="82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4.25" customHeight="1">
      <c r="A52" s="58"/>
      <c r="B52" s="82" t="s">
        <v>443</v>
      </c>
      <c r="C52" s="82" t="s">
        <v>444</v>
      </c>
      <c r="D52" s="82" t="s">
        <v>7630</v>
      </c>
      <c r="E52" s="82" t="s">
        <v>20</v>
      </c>
      <c r="F52" s="82" t="s">
        <v>7631</v>
      </c>
      <c r="G52" s="82" t="s">
        <v>7632</v>
      </c>
      <c r="H52" s="82" t="s">
        <v>7633</v>
      </c>
      <c r="I52" s="82" t="s">
        <v>1315</v>
      </c>
      <c r="J52" s="82"/>
      <c r="K52" s="82"/>
      <c r="L52" s="82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4.25" customHeight="1">
      <c r="A53" s="58"/>
      <c r="B53" s="82" t="s">
        <v>443</v>
      </c>
      <c r="C53" s="82" t="s">
        <v>444</v>
      </c>
      <c r="D53" s="82" t="s">
        <v>7634</v>
      </c>
      <c r="E53" s="82" t="s">
        <v>20</v>
      </c>
      <c r="F53" s="82" t="s">
        <v>7635</v>
      </c>
      <c r="G53" s="82" t="s">
        <v>7636</v>
      </c>
      <c r="H53" s="82" t="s">
        <v>7619</v>
      </c>
      <c r="I53" s="82" t="s">
        <v>1315</v>
      </c>
      <c r="J53" s="82"/>
      <c r="K53" s="82"/>
      <c r="L53" s="82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4.25" customHeight="1">
      <c r="A54" s="58"/>
      <c r="B54" s="82" t="s">
        <v>443</v>
      </c>
      <c r="C54" s="82" t="s">
        <v>444</v>
      </c>
      <c r="D54" s="82" t="s">
        <v>7634</v>
      </c>
      <c r="E54" s="82" t="s">
        <v>20</v>
      </c>
      <c r="F54" s="82" t="s">
        <v>7637</v>
      </c>
      <c r="G54" s="82" t="s">
        <v>7638</v>
      </c>
      <c r="H54" s="82" t="s">
        <v>7639</v>
      </c>
      <c r="I54" s="82" t="s">
        <v>1315</v>
      </c>
      <c r="J54" s="82"/>
      <c r="K54" s="82"/>
      <c r="L54" s="82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4.25" customHeight="1">
      <c r="A55" s="58"/>
      <c r="B55" s="82" t="s">
        <v>443</v>
      </c>
      <c r="C55" s="82" t="s">
        <v>444</v>
      </c>
      <c r="D55" s="82" t="s">
        <v>7640</v>
      </c>
      <c r="E55" s="82" t="s">
        <v>20</v>
      </c>
      <c r="F55" s="82" t="s">
        <v>7641</v>
      </c>
      <c r="G55" s="82" t="s">
        <v>7642</v>
      </c>
      <c r="H55" s="82" t="s">
        <v>7639</v>
      </c>
      <c r="I55" s="82" t="s">
        <v>1315</v>
      </c>
      <c r="J55" s="82"/>
      <c r="K55" s="82"/>
      <c r="L55" s="82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4.25" customHeight="1">
      <c r="A56" s="58"/>
      <c r="B56" s="82" t="s">
        <v>443</v>
      </c>
      <c r="C56" s="82" t="s">
        <v>444</v>
      </c>
      <c r="D56" s="82" t="s">
        <v>7640</v>
      </c>
      <c r="E56" s="82" t="s">
        <v>20</v>
      </c>
      <c r="F56" s="82" t="s">
        <v>7643</v>
      </c>
      <c r="G56" s="82" t="s">
        <v>7644</v>
      </c>
      <c r="H56" s="82" t="s">
        <v>7623</v>
      </c>
      <c r="I56" s="82" t="s">
        <v>1315</v>
      </c>
      <c r="J56" s="82"/>
      <c r="K56" s="82"/>
      <c r="L56" s="82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4.25" customHeight="1">
      <c r="A57" s="58"/>
      <c r="B57" s="82" t="s">
        <v>443</v>
      </c>
      <c r="C57" s="82" t="s">
        <v>444</v>
      </c>
      <c r="D57" s="82" t="s">
        <v>7640</v>
      </c>
      <c r="E57" s="82" t="s">
        <v>20</v>
      </c>
      <c r="F57" s="82" t="s">
        <v>7645</v>
      </c>
      <c r="G57" s="82" t="s">
        <v>7646</v>
      </c>
      <c r="H57" s="82" t="s">
        <v>7647</v>
      </c>
      <c r="I57" s="82" t="s">
        <v>1315</v>
      </c>
      <c r="J57" s="82"/>
      <c r="K57" s="82"/>
      <c r="L57" s="82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4.25" customHeight="1">
      <c r="A58" s="58"/>
      <c r="B58" s="82" t="s">
        <v>443</v>
      </c>
      <c r="C58" s="82" t="s">
        <v>444</v>
      </c>
      <c r="D58" s="82" t="s">
        <v>7640</v>
      </c>
      <c r="E58" s="82" t="s">
        <v>20</v>
      </c>
      <c r="F58" s="82" t="s">
        <v>7648</v>
      </c>
      <c r="G58" s="82" t="s">
        <v>7649</v>
      </c>
      <c r="H58" s="82" t="s">
        <v>7650</v>
      </c>
      <c r="I58" s="82" t="s">
        <v>1315</v>
      </c>
      <c r="J58" s="82"/>
      <c r="K58" s="82"/>
      <c r="L58" s="82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4.25" customHeight="1">
      <c r="A59" s="58"/>
      <c r="B59" s="82" t="s">
        <v>443</v>
      </c>
      <c r="C59" s="82" t="s">
        <v>444</v>
      </c>
      <c r="D59" s="82" t="s">
        <v>7640</v>
      </c>
      <c r="E59" s="82" t="s">
        <v>20</v>
      </c>
      <c r="F59" s="82" t="s">
        <v>7651</v>
      </c>
      <c r="G59" s="82" t="s">
        <v>7652</v>
      </c>
      <c r="H59" s="82" t="s">
        <v>7619</v>
      </c>
      <c r="I59" s="82" t="s">
        <v>1315</v>
      </c>
      <c r="J59" s="82"/>
      <c r="K59" s="82"/>
      <c r="L59" s="82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4.25" customHeight="1">
      <c r="A60" s="58"/>
      <c r="B60" s="82" t="s">
        <v>443</v>
      </c>
      <c r="C60" s="82" t="s">
        <v>444</v>
      </c>
      <c r="D60" s="82" t="s">
        <v>7640</v>
      </c>
      <c r="E60" s="82" t="s">
        <v>20</v>
      </c>
      <c r="F60" s="82" t="s">
        <v>7653</v>
      </c>
      <c r="G60" s="82" t="s">
        <v>7654</v>
      </c>
      <c r="H60" s="82" t="s">
        <v>7619</v>
      </c>
      <c r="I60" s="82" t="s">
        <v>1315</v>
      </c>
      <c r="J60" s="82"/>
      <c r="K60" s="82"/>
      <c r="L60" s="82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4.25" customHeight="1">
      <c r="A61" s="58"/>
      <c r="B61" s="82" t="s">
        <v>443</v>
      </c>
      <c r="C61" s="82" t="s">
        <v>444</v>
      </c>
      <c r="D61" s="82" t="s">
        <v>7640</v>
      </c>
      <c r="E61" s="82" t="s">
        <v>20</v>
      </c>
      <c r="F61" s="82" t="s">
        <v>7655</v>
      </c>
      <c r="G61" s="82" t="s">
        <v>7656</v>
      </c>
      <c r="H61" s="82" t="s">
        <v>7639</v>
      </c>
      <c r="I61" s="82" t="s">
        <v>1315</v>
      </c>
      <c r="J61" s="82"/>
      <c r="K61" s="82"/>
      <c r="L61" s="82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4.25" customHeight="1">
      <c r="A62" s="58"/>
      <c r="B62" s="82" t="s">
        <v>443</v>
      </c>
      <c r="C62" s="82" t="s">
        <v>444</v>
      </c>
      <c r="D62" s="82" t="s">
        <v>7640</v>
      </c>
      <c r="E62" s="82" t="s">
        <v>20</v>
      </c>
      <c r="F62" s="82" t="s">
        <v>7657</v>
      </c>
      <c r="G62" s="82" t="s">
        <v>7658</v>
      </c>
      <c r="H62" s="82" t="s">
        <v>7639</v>
      </c>
      <c r="I62" s="82" t="s">
        <v>1315</v>
      </c>
      <c r="J62" s="82"/>
      <c r="K62" s="82"/>
      <c r="L62" s="82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4.25" customHeight="1">
      <c r="A63" s="58"/>
      <c r="B63" s="82" t="s">
        <v>443</v>
      </c>
      <c r="C63" s="82" t="s">
        <v>444</v>
      </c>
      <c r="D63" s="82" t="s">
        <v>7640</v>
      </c>
      <c r="E63" s="82" t="s">
        <v>20</v>
      </c>
      <c r="F63" s="82" t="s">
        <v>7659</v>
      </c>
      <c r="G63" s="82" t="s">
        <v>7660</v>
      </c>
      <c r="H63" s="82" t="s">
        <v>7639</v>
      </c>
      <c r="I63" s="82" t="s">
        <v>1315</v>
      </c>
      <c r="J63" s="82"/>
      <c r="K63" s="82"/>
      <c r="L63" s="82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4.25" customHeight="1">
      <c r="A64" s="58"/>
      <c r="B64" s="82" t="s">
        <v>443</v>
      </c>
      <c r="C64" s="82" t="s">
        <v>444</v>
      </c>
      <c r="D64" s="82" t="s">
        <v>7640</v>
      </c>
      <c r="E64" s="82" t="s">
        <v>20</v>
      </c>
      <c r="F64" s="82" t="s">
        <v>7661</v>
      </c>
      <c r="G64" s="82" t="s">
        <v>7662</v>
      </c>
      <c r="H64" s="82" t="s">
        <v>7639</v>
      </c>
      <c r="I64" s="82" t="s">
        <v>1315</v>
      </c>
      <c r="J64" s="82"/>
      <c r="K64" s="82"/>
      <c r="L64" s="82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4.25" customHeight="1">
      <c r="A65" s="58"/>
      <c r="B65" s="82" t="s">
        <v>443</v>
      </c>
      <c r="C65" s="82" t="s">
        <v>444</v>
      </c>
      <c r="D65" s="82" t="s">
        <v>7640</v>
      </c>
      <c r="E65" s="82" t="s">
        <v>20</v>
      </c>
      <c r="F65" s="82" t="s">
        <v>7663</v>
      </c>
      <c r="G65" s="82" t="s">
        <v>7664</v>
      </c>
      <c r="H65" s="82" t="s">
        <v>7619</v>
      </c>
      <c r="I65" s="82" t="s">
        <v>1315</v>
      </c>
      <c r="J65" s="82"/>
      <c r="K65" s="82"/>
      <c r="L65" s="82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4.25" customHeight="1">
      <c r="A66" s="58"/>
      <c r="B66" s="82" t="s">
        <v>443</v>
      </c>
      <c r="C66" s="82" t="s">
        <v>444</v>
      </c>
      <c r="D66" s="82" t="s">
        <v>7640</v>
      </c>
      <c r="E66" s="82" t="s">
        <v>20</v>
      </c>
      <c r="F66" s="82" t="s">
        <v>7665</v>
      </c>
      <c r="G66" s="82" t="s">
        <v>7666</v>
      </c>
      <c r="H66" s="82" t="s">
        <v>7639</v>
      </c>
      <c r="I66" s="82" t="s">
        <v>1315</v>
      </c>
      <c r="J66" s="82"/>
      <c r="K66" s="82"/>
      <c r="L66" s="82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4.25" customHeight="1">
      <c r="A67" s="58"/>
      <c r="B67" s="82" t="s">
        <v>443</v>
      </c>
      <c r="C67" s="82" t="s">
        <v>444</v>
      </c>
      <c r="D67" s="82" t="s">
        <v>7640</v>
      </c>
      <c r="E67" s="82" t="s">
        <v>20</v>
      </c>
      <c r="F67" s="82" t="s">
        <v>7667</v>
      </c>
      <c r="G67" s="82" t="s">
        <v>7668</v>
      </c>
      <c r="H67" s="82" t="s">
        <v>7639</v>
      </c>
      <c r="I67" s="82" t="s">
        <v>1315</v>
      </c>
      <c r="J67" s="82"/>
      <c r="K67" s="82"/>
      <c r="L67" s="82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4.25" customHeight="1">
      <c r="A68" s="58"/>
      <c r="B68" s="82" t="s">
        <v>443</v>
      </c>
      <c r="C68" s="82" t="s">
        <v>444</v>
      </c>
      <c r="D68" s="82" t="s">
        <v>7669</v>
      </c>
      <c r="E68" s="82" t="s">
        <v>20</v>
      </c>
      <c r="F68" s="82" t="s">
        <v>7670</v>
      </c>
      <c r="G68" s="82" t="s">
        <v>7671</v>
      </c>
      <c r="H68" s="82" t="s">
        <v>7619</v>
      </c>
      <c r="I68" s="82" t="s">
        <v>1315</v>
      </c>
      <c r="J68" s="82"/>
      <c r="K68" s="82"/>
      <c r="L68" s="82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4.25" customHeight="1">
      <c r="A69" s="58"/>
      <c r="B69" s="82" t="s">
        <v>443</v>
      </c>
      <c r="C69" s="82" t="s">
        <v>444</v>
      </c>
      <c r="D69" s="82" t="s">
        <v>7669</v>
      </c>
      <c r="E69" s="82" t="s">
        <v>20</v>
      </c>
      <c r="F69" s="82" t="s">
        <v>7672</v>
      </c>
      <c r="G69" s="82" t="s">
        <v>7673</v>
      </c>
      <c r="H69" s="82" t="s">
        <v>7619</v>
      </c>
      <c r="I69" s="82" t="s">
        <v>1315</v>
      </c>
      <c r="J69" s="82"/>
      <c r="K69" s="82"/>
      <c r="L69" s="82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4.25" customHeight="1">
      <c r="A70" s="58"/>
      <c r="B70" s="82" t="s">
        <v>443</v>
      </c>
      <c r="C70" s="82" t="s">
        <v>444</v>
      </c>
      <c r="D70" s="82" t="s">
        <v>7674</v>
      </c>
      <c r="E70" s="82" t="s">
        <v>20</v>
      </c>
      <c r="F70" s="82" t="s">
        <v>7675</v>
      </c>
      <c r="G70" s="82" t="s">
        <v>7676</v>
      </c>
      <c r="H70" s="82" t="s">
        <v>7677</v>
      </c>
      <c r="I70" s="82" t="s">
        <v>1315</v>
      </c>
      <c r="J70" s="82"/>
      <c r="K70" s="82"/>
      <c r="L70" s="82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4.25" customHeight="1">
      <c r="A71" s="58"/>
      <c r="B71" s="82" t="s">
        <v>443</v>
      </c>
      <c r="C71" s="82" t="s">
        <v>444</v>
      </c>
      <c r="D71" s="82" t="s">
        <v>7678</v>
      </c>
      <c r="E71" s="82" t="s">
        <v>20</v>
      </c>
      <c r="F71" s="82" t="s">
        <v>7679</v>
      </c>
      <c r="G71" s="82" t="s">
        <v>7680</v>
      </c>
      <c r="H71" s="82" t="s">
        <v>7619</v>
      </c>
      <c r="I71" s="82" t="s">
        <v>1315</v>
      </c>
      <c r="J71" s="82"/>
      <c r="K71" s="82"/>
      <c r="L71" s="82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4.25" customHeight="1">
      <c r="A72" s="58"/>
      <c r="B72" s="82" t="s">
        <v>443</v>
      </c>
      <c r="C72" s="82" t="s">
        <v>444</v>
      </c>
      <c r="D72" s="82" t="s">
        <v>7681</v>
      </c>
      <c r="E72" s="82" t="s">
        <v>20</v>
      </c>
      <c r="F72" s="82" t="s">
        <v>7682</v>
      </c>
      <c r="G72" s="82" t="s">
        <v>7683</v>
      </c>
      <c r="H72" s="82" t="s">
        <v>7619</v>
      </c>
      <c r="I72" s="82" t="s">
        <v>1315</v>
      </c>
      <c r="J72" s="82"/>
      <c r="K72" s="82"/>
      <c r="L72" s="82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4.25" customHeight="1">
      <c r="A73" s="58"/>
      <c r="B73" s="82" t="s">
        <v>443</v>
      </c>
      <c r="C73" s="82" t="s">
        <v>444</v>
      </c>
      <c r="D73" s="82" t="s">
        <v>7681</v>
      </c>
      <c r="E73" s="82" t="s">
        <v>20</v>
      </c>
      <c r="F73" s="82" t="s">
        <v>7684</v>
      </c>
      <c r="G73" s="82" t="s">
        <v>7685</v>
      </c>
      <c r="H73" s="82" t="s">
        <v>7619</v>
      </c>
      <c r="I73" s="82" t="s">
        <v>1315</v>
      </c>
      <c r="J73" s="82"/>
      <c r="K73" s="82"/>
      <c r="L73" s="82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4.25" customHeight="1">
      <c r="A74" s="58"/>
      <c r="B74" s="82" t="s">
        <v>443</v>
      </c>
      <c r="C74" s="82" t="s">
        <v>444</v>
      </c>
      <c r="D74" s="82" t="s">
        <v>7681</v>
      </c>
      <c r="E74" s="82" t="s">
        <v>20</v>
      </c>
      <c r="F74" s="82" t="s">
        <v>7686</v>
      </c>
      <c r="G74" s="82" t="s">
        <v>7687</v>
      </c>
      <c r="H74" s="82" t="s">
        <v>7619</v>
      </c>
      <c r="I74" s="82" t="s">
        <v>1315</v>
      </c>
      <c r="J74" s="82"/>
      <c r="K74" s="82"/>
      <c r="L74" s="82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4.25" customHeight="1">
      <c r="A75" s="58"/>
      <c r="B75" s="82" t="s">
        <v>443</v>
      </c>
      <c r="C75" s="82" t="s">
        <v>444</v>
      </c>
      <c r="D75" s="82" t="s">
        <v>7681</v>
      </c>
      <c r="E75" s="82" t="s">
        <v>20</v>
      </c>
      <c r="F75" s="82" t="s">
        <v>7688</v>
      </c>
      <c r="G75" s="82" t="s">
        <v>7689</v>
      </c>
      <c r="H75" s="82" t="s">
        <v>7619</v>
      </c>
      <c r="I75" s="82" t="s">
        <v>1315</v>
      </c>
      <c r="J75" s="82"/>
      <c r="K75" s="82"/>
      <c r="L75" s="82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4.25" customHeight="1">
      <c r="A76" s="58"/>
      <c r="B76" s="82" t="s">
        <v>443</v>
      </c>
      <c r="C76" s="82" t="s">
        <v>444</v>
      </c>
      <c r="D76" s="82" t="s">
        <v>7681</v>
      </c>
      <c r="E76" s="82" t="s">
        <v>20</v>
      </c>
      <c r="F76" s="82" t="s">
        <v>7690</v>
      </c>
      <c r="G76" s="82" t="s">
        <v>7691</v>
      </c>
      <c r="H76" s="82" t="s">
        <v>7639</v>
      </c>
      <c r="I76" s="82" t="s">
        <v>1315</v>
      </c>
      <c r="J76" s="82"/>
      <c r="K76" s="82"/>
      <c r="L76" s="82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4.25" customHeight="1">
      <c r="A77" s="58"/>
      <c r="B77" s="82" t="s">
        <v>443</v>
      </c>
      <c r="C77" s="82" t="s">
        <v>444</v>
      </c>
      <c r="D77" s="82" t="s">
        <v>7681</v>
      </c>
      <c r="E77" s="82" t="s">
        <v>20</v>
      </c>
      <c r="F77" s="82" t="s">
        <v>7692</v>
      </c>
      <c r="G77" s="82" t="s">
        <v>7693</v>
      </c>
      <c r="H77" s="82" t="s">
        <v>7619</v>
      </c>
      <c r="I77" s="82" t="s">
        <v>1315</v>
      </c>
      <c r="J77" s="82"/>
      <c r="K77" s="82"/>
      <c r="L77" s="82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4.25" customHeight="1">
      <c r="A78" s="58"/>
      <c r="B78" s="82" t="s">
        <v>443</v>
      </c>
      <c r="C78" s="82" t="s">
        <v>444</v>
      </c>
      <c r="D78" s="82" t="s">
        <v>7694</v>
      </c>
      <c r="E78" s="82" t="s">
        <v>20</v>
      </c>
      <c r="F78" s="82" t="s">
        <v>7695</v>
      </c>
      <c r="G78" s="82" t="s">
        <v>7696</v>
      </c>
      <c r="H78" s="82" t="s">
        <v>7623</v>
      </c>
      <c r="I78" s="82" t="s">
        <v>1315</v>
      </c>
      <c r="J78" s="82"/>
      <c r="K78" s="82"/>
      <c r="L78" s="82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4.25" customHeight="1">
      <c r="A79" s="58"/>
      <c r="B79" s="82" t="s">
        <v>443</v>
      </c>
      <c r="C79" s="82" t="s">
        <v>444</v>
      </c>
      <c r="D79" s="82" t="s">
        <v>7694</v>
      </c>
      <c r="E79" s="82" t="s">
        <v>20</v>
      </c>
      <c r="F79" s="82" t="s">
        <v>7697</v>
      </c>
      <c r="G79" s="82" t="s">
        <v>7698</v>
      </c>
      <c r="H79" s="82" t="s">
        <v>7623</v>
      </c>
      <c r="I79" s="82" t="s">
        <v>1315</v>
      </c>
      <c r="J79" s="82"/>
      <c r="K79" s="82"/>
      <c r="L79" s="82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4.25" customHeight="1">
      <c r="A80" s="58"/>
      <c r="B80" s="82" t="s">
        <v>443</v>
      </c>
      <c r="C80" s="82" t="s">
        <v>444</v>
      </c>
      <c r="D80" s="82" t="s">
        <v>7699</v>
      </c>
      <c r="E80" s="82" t="s">
        <v>20</v>
      </c>
      <c r="F80" s="82" t="s">
        <v>7700</v>
      </c>
      <c r="G80" s="82" t="s">
        <v>7701</v>
      </c>
      <c r="H80" s="82" t="s">
        <v>7702</v>
      </c>
      <c r="I80" s="82" t="s">
        <v>1315</v>
      </c>
      <c r="J80" s="82"/>
      <c r="K80" s="82"/>
      <c r="L80" s="82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4.25" customHeight="1">
      <c r="A81" s="58"/>
      <c r="B81" s="93" t="s">
        <v>7703</v>
      </c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4.2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4.2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4.2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4.2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4.2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4.2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4.2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4.2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4.2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4.2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4.2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4.2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4.2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4.2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4.2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4.2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4.2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4.2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4.2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4.2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4.2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4.2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4.2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4.2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4.2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4.2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4.2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4.2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4.2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4.2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4.2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4.2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4.2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4.2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4.2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4.2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4.2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4.2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4.2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4.2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4.2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4.2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4.2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4.2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4.2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4.2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4.2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4.2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4.2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4.2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4.2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4.2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4.2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4.2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4.2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4.2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4.2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4.2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4.2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4.2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4.2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4.2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4.2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4.2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4.2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4.2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4.2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4.2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4.2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4.2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4.2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4.2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4.2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4.2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4.2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4.2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4.2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4.2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4.2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4.2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4.2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4.2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4.2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4.2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4.2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4.2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4.2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4.2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4.2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4.2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4.2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4.2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4.2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4.2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4.2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4.2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4.2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4.2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4.2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4.2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4.2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4.2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4.2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4.2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4.2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4.2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4.2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4.2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4.2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4.2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4.2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4.2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4.2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4.2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4.2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4.2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4.2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4.2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4.2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4.2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4.2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4.2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4.2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4.2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4.2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4.2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4.2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4.2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4.2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4.2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4.2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4.2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4.2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4.2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4.2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4.2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4.2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4.2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4.2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4.2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4.2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14.2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14.2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4.2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4.2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4.2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14.2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4.2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14.2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4.2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14.2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14.2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4.2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14.2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ht="14.2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ht="14.2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ht="14.2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ht="14.2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ht="14.2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14.2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ht="14.2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ht="14.2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ht="14.2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ht="14.2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ht="14.2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ht="14.2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14.2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ht="14.2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ht="14.2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4.2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ht="14.2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ht="14.2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ht="14.2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ht="14.2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ht="14.2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ht="14.2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4.2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ht="14.2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4.2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ht="14.2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14.2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ht="14.2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ht="14.2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ht="14.2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ht="14.2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ht="14.2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ht="14.2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ht="14.2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ht="14.2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14.2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ht="14.2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ht="14.2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14.2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ht="14.2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ht="14.2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ht="14.2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ht="14.2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ht="14.2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ht="14.2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ht="14.2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ht="14.2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ht="14.2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ht="14.2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ht="14.2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ht="14.2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ht="14.2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ht="14.2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ht="14.2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ht="14.2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ht="14.2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ht="14.2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ht="14.2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ht="14.2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ht="14.2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14.2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ht="14.2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ht="14.2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ht="14.2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ht="14.2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ht="14.2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14.2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14.2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ht="14.2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ht="14.2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ht="14.2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ht="14.2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ht="14.2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ht="14.2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ht="14.2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ht="14.2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ht="14.2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ht="14.2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ht="14.2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ht="14.2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ht="14.2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ht="14.2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ht="14.2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ht="14.2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ht="14.2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ht="14.2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14.2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ht="14.2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ht="14.2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ht="14.2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ht="14.2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ht="14.2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ht="14.2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ht="14.2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ht="14.2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14.2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ht="14.2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ht="14.2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ht="14.2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ht="14.2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ht="14.2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ht="14.2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14.2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ht="14.2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ht="14.2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ht="14.2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ht="14.2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ht="14.2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ht="14.2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ht="14.2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ht="14.2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ht="14.2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ht="14.2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ht="14.2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ht="14.2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ht="14.2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ht="14.2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ht="14.2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ht="14.2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ht="14.2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ht="14.2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ht="14.2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ht="14.2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ht="14.2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ht="14.2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ht="14.2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14.2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14.2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ht="14.2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14.2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14.2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ht="14.2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14.2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14.2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14.2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14.2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14.2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14.2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ht="14.2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ht="14.2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14.2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ht="14.2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ht="14.2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14.2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14.2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ht="14.2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ht="14.2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ht="14.2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ht="14.2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ht="14.2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ht="14.2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ht="14.2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ht="14.2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ht="14.2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ht="14.2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14.2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ht="14.2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ht="14.2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ht="14.2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ht="14.2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ht="14.2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ht="14.2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ht="14.2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ht="14.2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ht="14.2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ht="14.2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ht="14.2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ht="14.2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ht="14.2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ht="14.2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ht="14.2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ht="14.2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ht="14.2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ht="14.2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ht="14.2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ht="14.2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ht="14.2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ht="14.2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ht="14.2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ht="14.2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ht="14.2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ht="14.2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ht="14.2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t="14.2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ht="14.2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ht="14.2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ht="14.2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ht="14.2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ht="14.2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ht="14.2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ht="14.2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14.2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ht="14.2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14.2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ht="14.2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ht="14.2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ht="14.2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ht="14.2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14.2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ht="14.2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14.2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ht="14.2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ht="14.2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14.2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ht="14.2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ht="14.2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ht="14.2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ht="14.2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14.2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ht="14.2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14.2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ht="14.2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ht="14.2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ht="14.2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ht="14.2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ht="14.2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ht="14.2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ht="14.2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ht="14.2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ht="14.2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ht="14.2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ht="14.2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ht="14.2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ht="14.2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ht="14.2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14.2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ht="14.2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ht="14.2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ht="14.2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ht="14.2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ht="14.2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ht="14.2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ht="14.2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14.2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ht="14.2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14.2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ht="14.2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ht="14.2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14.2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ht="14.2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ht="14.2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ht="14.2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ht="14.2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ht="14.2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ht="14.2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ht="14.2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ht="14.2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14.2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14.2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ht="14.2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ht="14.2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ht="14.2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ht="14.2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ht="14.2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14.2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ht="14.2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ht="14.2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14.2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14.2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14.2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14.2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14.2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ht="14.2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ht="14.2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14.2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14.2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ht="14.2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14.2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t="14.2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ht="14.2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14.2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ht="14.2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ht="14.2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14.2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ht="14.2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ht="14.2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ht="14.2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ht="14.2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ht="14.2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14.2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ht="14.2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14.2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14.2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14.2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14.2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14.2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14.2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14.2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14.2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14.2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ht="14.2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14.2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ht="14.2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14.2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14.2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14.2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14.2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14.2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14.2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14.2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14.2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14.2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ht="14.2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14.2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14.2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14.2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14.2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14.2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14.2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14.2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14.2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14.2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14.2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14.2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14.2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14.2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14.2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14.2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14.2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14.2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14.2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14.2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14.2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14.2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14.2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14.2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14.2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14.2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14.2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14.2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14.2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14.2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14.2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14.2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14.2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14.2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14.2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14.2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ht="14.2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14.2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14.2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14.2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14.2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14.2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14.2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14.2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14.2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14.2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14.2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14.2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14.2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14.2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14.2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14.2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14.2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14.2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14.2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14.2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ht="14.2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14.2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14.2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14.2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14.2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ht="14.2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14.2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ht="14.2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14.2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ht="14.2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14.2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ht="14.2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14.2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14.2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14.2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14.2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14.2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14.2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14.2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ht="14.2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14.2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ht="14.2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14.2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14.2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14.2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14.2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14.2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14.2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14.2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14.2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14.2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ht="14.2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14.2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14.2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14.2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14.2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14.2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14.2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14.2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14.2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14.2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14.2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14.2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14.2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14.2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14.2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14.2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14.2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14.2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ht="14.2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14.2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14.2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14.2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14.2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14.2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14.2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14.2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14.2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14.2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14.2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14.2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14.2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14.2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14.2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14.2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14.2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14.2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14.2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14.2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14.2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14.2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14.2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14.2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14.2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14.2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14.2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14.2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14.2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14.2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14.2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14.2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14.2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14.2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14.2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14.2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14.2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14.2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14.2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14.2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14.2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14.2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14.2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ht="14.2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14.2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ht="14.2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14.2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ht="14.2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14.2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ht="14.2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14.2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14.2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14.2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14.2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14.2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14.2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14.2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ht="14.2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14.2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ht="14.2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14.2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14.2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14.2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14.2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14.2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14.2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14.2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14.2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14.2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14.2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14.2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14.2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14.2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14.2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14.2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14.2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14.2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14.2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14.2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14.2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14.2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14.2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14.2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14.2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14.2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14.2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14.2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ht="14.2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14.2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14.2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14.2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14.2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14.2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14.2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14.2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14.2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14.2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14.2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14.2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14.2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14.2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14.2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14.2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14.2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14.2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14.2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14.2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14.2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14.2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14.2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14.2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14.2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14.2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14.2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14.2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14.2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14.2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14.2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14.2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14.2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14.2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14.2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14.2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14.2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14.2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14.2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14.2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14.2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14.2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14.2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ht="14.2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14.2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ht="14.2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14.2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14.2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14.2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14.2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ht="14.2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14.2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14.2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14.2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14.2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14.2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14.2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14.2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14.2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14.2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ht="14.2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14.2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14.2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14.2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14.2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14.2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14.2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14.2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14.2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14.2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ht="14.2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14.2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14.2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14.2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14.2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14.2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14.2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14.2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14.2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14.2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14.2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14.2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14.2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14.2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14.2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14.2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14.2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14.2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14.2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14.2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14.2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14.2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14.2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14.2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14.2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14.2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14.2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14.2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14.2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14.2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14.2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14.2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14.2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14.2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14.2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14.2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ht="14.2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14.2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14.2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14.2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14.2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14.2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14.2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14.2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14.2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14.2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14.2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14.2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14.2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14.2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14.2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14.2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14.2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14.2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14.2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14.2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14.2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14.2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14.2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14.2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ht="14.2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ht="14.2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t="14.2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14.2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ht="14.2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14.2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14.2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ht="14.2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14.2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14.2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ht="14.2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ht="14.2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ht="14.2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14.2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14.2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14.2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ht="14.2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ht="14.2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ht="14.2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ht="14.2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ht="14.2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ht="14.2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ht="14.2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14.2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14.2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14.2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ht="14.2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ht="14.2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ht="14.2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14.2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ht="14.2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ht="14.2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ht="14.2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ht="14.2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ht="14.2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14.2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14.2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14.2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14.2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ht="14.2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ht="14.2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ht="14.2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ht="14.2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ht="14.2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t="14.2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14.2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ht="14.2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ht="14.2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ht="14.2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ht="14.2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ht="14.2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ht="14.2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ht="14.2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14.2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ht="14.2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ht="14.2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ht="14.2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14.2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14.2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14.2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14.2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14.2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14.2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14.2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14.2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ht="14.2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14.2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ht="14.2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14.2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ht="14.2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ht="14.2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ht="14.2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ht="14.2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ht="14.2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ht="14.2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14.2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ht="14.2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14.2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ht="14.2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ht="14.2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ht="14.2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ht="14.2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ht="14.2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14.2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14.2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14.2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14.2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14.2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14.2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14.2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14.2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ht="14.2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ht="14.2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14.2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ht="14.2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ht="14.2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ht="14.2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ht="14.2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14.2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ht="14.2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ht="14.2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ht="14.2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ht="14.2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ht="14.2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ht="14.2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ht="14.2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ht="14.2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14.2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14.2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14.2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14.2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ht="14.2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14.2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14.2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14.2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14.2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ht="14.2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14.2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ht="14.2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14.2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ht="14.2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ht="14.2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ht="14.2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ht="14.2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ht="14.2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ht="14.2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ht="14.2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ht="14.2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ht="14.2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ht="14.2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ht="14.2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ht="14.2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ht="14.2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ht="14.2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ht="14.2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ht="14.2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ht="14.2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ht="14.2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ht="14.2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ht="14.2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ht="14.2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autoFilter ref="$A$5:$V$80"/>
  <printOptions/>
  <pageMargins bottom="0.75" footer="0.0" header="0.0" left="0.7" right="0.7" top="0.75"/>
  <pageSetup orientation="landscape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3" width="10.88"/>
    <col customWidth="1" min="4" max="4" width="14.75"/>
    <col customWidth="1" min="5" max="5" width="8.0"/>
    <col customWidth="1" min="6" max="6" width="15.0"/>
    <col customWidth="1" min="7" max="7" width="17.63"/>
    <col customWidth="1" min="8" max="8" width="12.38"/>
    <col customWidth="1" min="9" max="26" width="7.63"/>
  </cols>
  <sheetData>
    <row r="1" ht="17.25" customHeight="1">
      <c r="A1" s="6"/>
      <c r="B1" s="9" t="s">
        <v>1222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0" customHeight="1">
      <c r="A2" s="79"/>
      <c r="B2" s="80" t="s">
        <v>7704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7.25" customHeight="1"/>
    <row r="4" ht="17.25" customHeight="1"/>
    <row r="5" ht="17.25" customHeight="1">
      <c r="A5" s="26"/>
      <c r="B5" s="26" t="s">
        <v>0</v>
      </c>
      <c r="C5" s="26" t="s">
        <v>1</v>
      </c>
      <c r="D5" s="26" t="s">
        <v>1224</v>
      </c>
      <c r="E5" s="26" t="s">
        <v>2</v>
      </c>
      <c r="F5" s="26" t="s">
        <v>1225</v>
      </c>
      <c r="G5" s="26" t="s">
        <v>3</v>
      </c>
      <c r="H5" s="94" t="s">
        <v>7705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7.25" customHeight="1">
      <c r="A6" s="26" t="str">
        <f>CONCAT(B6:C6)</f>
        <v>#N/A</v>
      </c>
      <c r="B6" s="26" t="s">
        <v>37</v>
      </c>
      <c r="C6" s="26" t="s">
        <v>38</v>
      </c>
      <c r="D6" s="26" t="s">
        <v>7706</v>
      </c>
      <c r="E6" s="26" t="s">
        <v>12</v>
      </c>
      <c r="F6" s="26" t="s">
        <v>7707</v>
      </c>
      <c r="G6" s="26" t="s">
        <v>7708</v>
      </c>
      <c r="H6" s="26" t="s">
        <v>7709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7.25" customHeight="1">
      <c r="A7" s="26"/>
      <c r="B7" s="26" t="s">
        <v>37</v>
      </c>
      <c r="C7" s="26" t="s">
        <v>38</v>
      </c>
      <c r="D7" s="26" t="s">
        <v>7710</v>
      </c>
      <c r="E7" s="26" t="s">
        <v>12</v>
      </c>
      <c r="F7" s="26" t="s">
        <v>7711</v>
      </c>
      <c r="G7" s="26" t="s">
        <v>7712</v>
      </c>
      <c r="H7" s="26" t="s">
        <v>7713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7.25" customHeight="1">
      <c r="A8" s="26"/>
      <c r="B8" s="26" t="s">
        <v>37</v>
      </c>
      <c r="C8" s="26" t="s">
        <v>38</v>
      </c>
      <c r="D8" s="26" t="s">
        <v>7714</v>
      </c>
      <c r="E8" s="26" t="s">
        <v>12</v>
      </c>
      <c r="F8" s="26" t="s">
        <v>7715</v>
      </c>
      <c r="G8" s="26" t="s">
        <v>7716</v>
      </c>
      <c r="H8" s="26" t="s">
        <v>7713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7.25" customHeight="1">
      <c r="A9" s="26"/>
      <c r="B9" s="26" t="s">
        <v>37</v>
      </c>
      <c r="C9" s="26" t="s">
        <v>38</v>
      </c>
      <c r="D9" s="26" t="s">
        <v>7717</v>
      </c>
      <c r="E9" s="26" t="s">
        <v>12</v>
      </c>
      <c r="F9" s="26" t="s">
        <v>1305</v>
      </c>
      <c r="G9" s="26" t="s">
        <v>39</v>
      </c>
      <c r="H9" s="26" t="s">
        <v>7718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7.25" customHeight="1">
      <c r="A10" s="26"/>
      <c r="B10" s="26" t="s">
        <v>37</v>
      </c>
      <c r="C10" s="26" t="s">
        <v>38</v>
      </c>
      <c r="D10" s="26" t="s">
        <v>7719</v>
      </c>
      <c r="E10" s="26" t="s">
        <v>12</v>
      </c>
      <c r="F10" s="26" t="s">
        <v>7707</v>
      </c>
      <c r="G10" s="26" t="s">
        <v>7720</v>
      </c>
      <c r="H10" s="26" t="s">
        <v>7709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7.25" customHeight="1">
      <c r="A11" s="26"/>
      <c r="B11" s="26" t="s">
        <v>37</v>
      </c>
      <c r="C11" s="26" t="s">
        <v>38</v>
      </c>
      <c r="D11" s="26" t="s">
        <v>7721</v>
      </c>
      <c r="E11" s="26" t="s">
        <v>12</v>
      </c>
      <c r="F11" s="26" t="s">
        <v>7722</v>
      </c>
      <c r="G11" s="26" t="s">
        <v>7723</v>
      </c>
      <c r="H11" s="26" t="s">
        <v>7709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7.25" customHeight="1">
      <c r="A12" s="26"/>
      <c r="B12" s="26" t="s">
        <v>37</v>
      </c>
      <c r="C12" s="26" t="s">
        <v>38</v>
      </c>
      <c r="D12" s="26" t="s">
        <v>7724</v>
      </c>
      <c r="E12" s="26" t="s">
        <v>12</v>
      </c>
      <c r="F12" s="26" t="s">
        <v>7725</v>
      </c>
      <c r="G12" s="26" t="s">
        <v>7726</v>
      </c>
      <c r="H12" s="26" t="s">
        <v>7713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7.25" customHeight="1">
      <c r="A13" s="26"/>
      <c r="B13" s="26" t="s">
        <v>37</v>
      </c>
      <c r="C13" s="26" t="s">
        <v>38</v>
      </c>
      <c r="D13" s="26" t="s">
        <v>7727</v>
      </c>
      <c r="E13" s="26" t="s">
        <v>12</v>
      </c>
      <c r="F13" s="26" t="s">
        <v>7406</v>
      </c>
      <c r="G13" s="26" t="s">
        <v>7728</v>
      </c>
      <c r="H13" s="26" t="s">
        <v>7709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7.25" customHeight="1">
      <c r="A14" s="26"/>
      <c r="B14" s="26" t="s">
        <v>37</v>
      </c>
      <c r="C14" s="26" t="s">
        <v>38</v>
      </c>
      <c r="D14" s="26" t="s">
        <v>7729</v>
      </c>
      <c r="E14" s="26" t="s">
        <v>12</v>
      </c>
      <c r="F14" s="26" t="s">
        <v>7722</v>
      </c>
      <c r="G14" s="26" t="s">
        <v>7730</v>
      </c>
      <c r="H14" s="26" t="s">
        <v>7709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7.25" customHeight="1">
      <c r="A15" s="26"/>
      <c r="B15" s="26" t="s">
        <v>37</v>
      </c>
      <c r="C15" s="26" t="s">
        <v>38</v>
      </c>
      <c r="D15" s="26" t="s">
        <v>7729</v>
      </c>
      <c r="E15" s="26" t="s">
        <v>12</v>
      </c>
      <c r="F15" s="26" t="s">
        <v>7711</v>
      </c>
      <c r="G15" s="26" t="s">
        <v>7731</v>
      </c>
      <c r="H15" s="26" t="s">
        <v>7709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7.25" customHeight="1">
      <c r="A16" s="26"/>
      <c r="B16" s="26" t="s">
        <v>37</v>
      </c>
      <c r="C16" s="26" t="s">
        <v>38</v>
      </c>
      <c r="D16" s="26" t="s">
        <v>7732</v>
      </c>
      <c r="E16" s="26" t="s">
        <v>12</v>
      </c>
      <c r="F16" s="26" t="s">
        <v>7722</v>
      </c>
      <c r="G16" s="26" t="s">
        <v>7733</v>
      </c>
      <c r="H16" s="26" t="s">
        <v>7713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7.25" customHeight="1">
      <c r="A17" s="26"/>
      <c r="B17" s="26" t="s">
        <v>37</v>
      </c>
      <c r="C17" s="26" t="s">
        <v>38</v>
      </c>
      <c r="D17" s="26" t="s">
        <v>7734</v>
      </c>
      <c r="E17" s="26" t="s">
        <v>12</v>
      </c>
      <c r="F17" s="26" t="s">
        <v>7722</v>
      </c>
      <c r="G17" s="26" t="s">
        <v>7735</v>
      </c>
      <c r="H17" s="26" t="s">
        <v>1851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7.25" customHeight="1">
      <c r="A18" s="26" t="str">
        <f>CONCAT(B18:C18)</f>
        <v>#N/A</v>
      </c>
      <c r="B18" s="26" t="s">
        <v>7736</v>
      </c>
      <c r="C18" s="26" t="s">
        <v>7737</v>
      </c>
      <c r="D18" s="26" t="s">
        <v>7738</v>
      </c>
      <c r="E18" s="26" t="s">
        <v>12</v>
      </c>
      <c r="F18" s="26" t="s">
        <v>7739</v>
      </c>
      <c r="G18" s="26" t="s">
        <v>7740</v>
      </c>
      <c r="H18" s="26" t="s">
        <v>7741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7.25" customHeight="1">
      <c r="A19" s="26"/>
      <c r="B19" s="26" t="s">
        <v>7736</v>
      </c>
      <c r="C19" s="26" t="s">
        <v>7737</v>
      </c>
      <c r="D19" s="26" t="s">
        <v>7742</v>
      </c>
      <c r="E19" s="26" t="s">
        <v>12</v>
      </c>
      <c r="F19" s="26" t="s">
        <v>7722</v>
      </c>
      <c r="G19" s="26" t="s">
        <v>7743</v>
      </c>
      <c r="H19" s="26" t="s">
        <v>7741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autoFilter ref="$B$5:$I$19"/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7.63"/>
    <col customWidth="1" min="8" max="8" width="18.5"/>
    <col customWidth="1" min="9" max="26" width="7.63"/>
  </cols>
  <sheetData>
    <row r="1" ht="17.25" customHeight="1">
      <c r="A1" s="6"/>
      <c r="B1" s="9" t="s">
        <v>1222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0" customHeight="1">
      <c r="A2" s="79"/>
      <c r="B2" s="80" t="s">
        <v>7744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7.25" customHeight="1"/>
    <row r="4" ht="17.25" customHeight="1"/>
    <row r="5" ht="17.25" customHeight="1"/>
    <row r="6" ht="17.25" customHeight="1"/>
    <row r="7" ht="17.25" customHeight="1">
      <c r="B7" s="33" t="s">
        <v>0</v>
      </c>
      <c r="C7" s="33" t="s">
        <v>1</v>
      </c>
      <c r="D7" s="33" t="s">
        <v>1224</v>
      </c>
      <c r="E7" s="33" t="s">
        <v>2</v>
      </c>
      <c r="F7" s="33" t="s">
        <v>1225</v>
      </c>
      <c r="G7" s="33" t="s">
        <v>3</v>
      </c>
      <c r="H7" s="33" t="s">
        <v>1441</v>
      </c>
    </row>
    <row r="8" ht="17.25" customHeight="1">
      <c r="A8" s="28" t="s">
        <v>581</v>
      </c>
      <c r="B8" s="33" t="s">
        <v>33</v>
      </c>
      <c r="C8" s="33" t="s">
        <v>34</v>
      </c>
      <c r="D8" s="33" t="s">
        <v>7745</v>
      </c>
      <c r="E8" s="33" t="s">
        <v>12</v>
      </c>
      <c r="F8" s="33" t="s">
        <v>850</v>
      </c>
      <c r="G8" s="33" t="s">
        <v>7746</v>
      </c>
      <c r="H8" s="33" t="s">
        <v>7747</v>
      </c>
    </row>
    <row r="9" ht="17.25" customHeight="1">
      <c r="B9" s="33" t="s">
        <v>33</v>
      </c>
      <c r="C9" s="33" t="s">
        <v>34</v>
      </c>
      <c r="D9" s="33" t="s">
        <v>7745</v>
      </c>
      <c r="E9" s="33" t="s">
        <v>12</v>
      </c>
      <c r="F9" s="33" t="s">
        <v>850</v>
      </c>
      <c r="G9" s="33" t="s">
        <v>7746</v>
      </c>
      <c r="H9" s="33" t="s">
        <v>7748</v>
      </c>
    </row>
    <row r="10" ht="17.25" customHeight="1">
      <c r="B10" s="33" t="s">
        <v>33</v>
      </c>
      <c r="C10" s="33" t="s">
        <v>34</v>
      </c>
      <c r="D10" s="33" t="s">
        <v>7745</v>
      </c>
      <c r="E10" s="33" t="s">
        <v>12</v>
      </c>
      <c r="F10" s="33" t="s">
        <v>1305</v>
      </c>
      <c r="G10" s="33" t="s">
        <v>35</v>
      </c>
      <c r="H10" s="33" t="s">
        <v>7747</v>
      </c>
    </row>
    <row r="11" ht="17.25" customHeight="1">
      <c r="B11" s="33" t="s">
        <v>33</v>
      </c>
      <c r="C11" s="33" t="s">
        <v>34</v>
      </c>
      <c r="D11" s="33" t="s">
        <v>7745</v>
      </c>
      <c r="E11" s="33" t="s">
        <v>12</v>
      </c>
      <c r="F11" s="33" t="s">
        <v>1305</v>
      </c>
      <c r="G11" s="33" t="s">
        <v>35</v>
      </c>
      <c r="H11" s="33" t="s">
        <v>7749</v>
      </c>
    </row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4" width="11.25"/>
    <col customWidth="1" min="5" max="5" width="8.75"/>
    <col customWidth="1" min="6" max="7" width="11.25"/>
    <col customWidth="1" min="8" max="8" width="17.5"/>
    <col customWidth="1" min="9" max="9" width="36.25"/>
    <col customWidth="1" min="10" max="11" width="19.13"/>
    <col customWidth="1" min="12" max="14" width="7.63"/>
    <col customWidth="1" min="15" max="15" width="15.13"/>
    <col customWidth="1" min="16" max="16" width="7.63"/>
    <col customWidth="1" min="17" max="17" width="15.5"/>
    <col customWidth="1" min="18" max="22" width="7.63"/>
    <col customWidth="1" min="23" max="23" width="43.63"/>
    <col customWidth="1" min="24" max="26" width="7.63"/>
  </cols>
  <sheetData>
    <row r="1" ht="17.25" customHeight="1">
      <c r="A1" s="6"/>
      <c r="B1" s="9" t="s">
        <v>1222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0" customHeight="1">
      <c r="A2" s="80"/>
      <c r="B2" s="8" t="s">
        <v>7750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ht="17.25" customHeight="1">
      <c r="E3" s="32"/>
    </row>
    <row r="4" ht="17.25" customHeight="1">
      <c r="E4" s="32"/>
    </row>
    <row r="5" ht="17.25" customHeight="1">
      <c r="B5" s="26" t="s">
        <v>0</v>
      </c>
      <c r="C5" s="26" t="s">
        <v>1</v>
      </c>
      <c r="D5" s="26" t="s">
        <v>1224</v>
      </c>
      <c r="E5" s="26" t="s">
        <v>2</v>
      </c>
      <c r="F5" s="26" t="s">
        <v>1225</v>
      </c>
      <c r="G5" s="26" t="s">
        <v>3</v>
      </c>
      <c r="H5" s="26" t="s">
        <v>1441</v>
      </c>
      <c r="I5" s="26" t="s">
        <v>7751</v>
      </c>
      <c r="J5" s="31" t="s">
        <v>7752</v>
      </c>
      <c r="K5" s="31" t="s">
        <v>7753</v>
      </c>
      <c r="L5" s="94" t="s">
        <v>555</v>
      </c>
      <c r="M5" s="94" t="s">
        <v>7754</v>
      </c>
      <c r="N5" s="94" t="s">
        <v>7755</v>
      </c>
      <c r="O5" s="94" t="s">
        <v>7756</v>
      </c>
      <c r="W5" s="26" t="s">
        <v>7751</v>
      </c>
    </row>
    <row r="6" ht="17.25" customHeight="1">
      <c r="B6" s="26" t="s">
        <v>10</v>
      </c>
      <c r="C6" s="26" t="s">
        <v>11</v>
      </c>
      <c r="D6" s="26" t="s">
        <v>7757</v>
      </c>
      <c r="E6" s="95" t="s">
        <v>12</v>
      </c>
      <c r="F6" s="26" t="s">
        <v>7758</v>
      </c>
      <c r="G6" s="26" t="s">
        <v>7759</v>
      </c>
      <c r="H6" s="26" t="s">
        <v>7760</v>
      </c>
      <c r="I6" s="26" t="s">
        <v>7761</v>
      </c>
      <c r="J6" s="26" t="s">
        <v>7762</v>
      </c>
      <c r="K6" s="26">
        <v>1477.0</v>
      </c>
      <c r="L6" s="26" t="s">
        <v>7763</v>
      </c>
      <c r="M6" s="26" t="s">
        <v>7764</v>
      </c>
      <c r="N6" s="26" t="s">
        <v>7765</v>
      </c>
      <c r="O6" s="26" t="s">
        <v>7766</v>
      </c>
      <c r="Q6" s="96" t="s">
        <v>7767</v>
      </c>
      <c r="W6" s="26" t="s">
        <v>7768</v>
      </c>
      <c r="X6" s="28">
        <v>1477.0</v>
      </c>
      <c r="Y6" s="28" t="s">
        <v>7769</v>
      </c>
    </row>
    <row r="7" ht="17.25" customHeight="1">
      <c r="B7" s="26" t="s">
        <v>10</v>
      </c>
      <c r="C7" s="26" t="s">
        <v>11</v>
      </c>
      <c r="D7" s="26" t="s">
        <v>7757</v>
      </c>
      <c r="E7" s="95" t="s">
        <v>12</v>
      </c>
      <c r="F7" s="26" t="s">
        <v>7758</v>
      </c>
      <c r="G7" s="26" t="s">
        <v>7759</v>
      </c>
      <c r="H7" s="26" t="s">
        <v>7770</v>
      </c>
      <c r="I7" s="26" t="s">
        <v>7771</v>
      </c>
      <c r="J7" s="26" t="s">
        <v>7772</v>
      </c>
      <c r="K7" s="26">
        <v>1970.0</v>
      </c>
      <c r="L7" s="26" t="s">
        <v>7763</v>
      </c>
      <c r="M7" s="26" t="s">
        <v>7764</v>
      </c>
      <c r="N7" s="26" t="s">
        <v>7765</v>
      </c>
      <c r="O7" s="26" t="s">
        <v>7773</v>
      </c>
      <c r="Q7" s="97" t="s">
        <v>7774</v>
      </c>
      <c r="W7" s="26" t="s">
        <v>7768</v>
      </c>
      <c r="X7" s="28">
        <v>1970.0</v>
      </c>
      <c r="Y7" s="28" t="s">
        <v>7769</v>
      </c>
    </row>
    <row r="8" ht="17.25" customHeight="1">
      <c r="B8" s="26" t="s">
        <v>10</v>
      </c>
      <c r="C8" s="26" t="s">
        <v>11</v>
      </c>
      <c r="D8" s="26" t="s">
        <v>7757</v>
      </c>
      <c r="E8" s="95" t="s">
        <v>12</v>
      </c>
      <c r="F8" s="26" t="s">
        <v>7758</v>
      </c>
      <c r="G8" s="26" t="s">
        <v>7759</v>
      </c>
      <c r="H8" s="26" t="s">
        <v>7775</v>
      </c>
      <c r="I8" s="26" t="s">
        <v>7776</v>
      </c>
      <c r="J8" s="26" t="s">
        <v>7777</v>
      </c>
      <c r="K8" s="26">
        <v>986.0</v>
      </c>
      <c r="L8" s="26" t="s">
        <v>7763</v>
      </c>
      <c r="M8" s="26" t="s">
        <v>7764</v>
      </c>
      <c r="N8" s="26" t="s">
        <v>7765</v>
      </c>
      <c r="O8" s="26" t="s">
        <v>7778</v>
      </c>
      <c r="Q8" s="97" t="s">
        <v>7779</v>
      </c>
      <c r="W8" s="26" t="s">
        <v>7768</v>
      </c>
      <c r="X8" s="28">
        <v>986.0</v>
      </c>
      <c r="Y8" s="28" t="s">
        <v>7769</v>
      </c>
    </row>
    <row r="9" ht="17.25" customHeight="1">
      <c r="B9" s="26" t="s">
        <v>10</v>
      </c>
      <c r="C9" s="26" t="s">
        <v>11</v>
      </c>
      <c r="D9" s="26" t="s">
        <v>7780</v>
      </c>
      <c r="E9" s="95" t="s">
        <v>12</v>
      </c>
      <c r="F9" s="26" t="s">
        <v>1305</v>
      </c>
      <c r="G9" s="26" t="s">
        <v>16</v>
      </c>
      <c r="H9" s="26" t="s">
        <v>7781</v>
      </c>
      <c r="I9" s="26" t="s">
        <v>7782</v>
      </c>
      <c r="J9" s="26" t="s">
        <v>7783</v>
      </c>
      <c r="K9" s="26">
        <v>1089.0</v>
      </c>
      <c r="L9" s="26" t="s">
        <v>7763</v>
      </c>
      <c r="M9" s="26" t="s">
        <v>7764</v>
      </c>
      <c r="N9" s="26" t="s">
        <v>7784</v>
      </c>
      <c r="O9" s="26" t="s">
        <v>7778</v>
      </c>
      <c r="Q9" s="97" t="s">
        <v>7785</v>
      </c>
      <c r="W9" s="26" t="s">
        <v>7786</v>
      </c>
      <c r="X9" s="28">
        <v>1089.0</v>
      </c>
      <c r="Y9" s="28" t="s">
        <v>7769</v>
      </c>
    </row>
    <row r="10" ht="17.25" customHeight="1">
      <c r="B10" s="26" t="s">
        <v>10</v>
      </c>
      <c r="C10" s="26" t="s">
        <v>11</v>
      </c>
      <c r="D10" s="26" t="s">
        <v>7780</v>
      </c>
      <c r="E10" s="95" t="s">
        <v>12</v>
      </c>
      <c r="F10" s="26" t="s">
        <v>1305</v>
      </c>
      <c r="G10" s="26" t="s">
        <v>16</v>
      </c>
      <c r="H10" s="26" t="s">
        <v>7787</v>
      </c>
      <c r="I10" s="26" t="s">
        <v>7788</v>
      </c>
      <c r="J10" s="26" t="s">
        <v>7789</v>
      </c>
      <c r="K10" s="26">
        <v>1452.0</v>
      </c>
      <c r="L10" s="26" t="s">
        <v>7763</v>
      </c>
      <c r="M10" s="26" t="s">
        <v>7764</v>
      </c>
      <c r="N10" s="26" t="s">
        <v>7784</v>
      </c>
      <c r="O10" s="26" t="s">
        <v>7766</v>
      </c>
      <c r="Q10" s="98" t="s">
        <v>7790</v>
      </c>
      <c r="W10" s="26" t="s">
        <v>7786</v>
      </c>
      <c r="X10" s="28">
        <v>1452.0</v>
      </c>
      <c r="Y10" s="28" t="s">
        <v>7769</v>
      </c>
    </row>
    <row r="11" ht="17.25" customHeight="1">
      <c r="B11" s="26" t="s">
        <v>10</v>
      </c>
      <c r="C11" s="26" t="s">
        <v>11</v>
      </c>
      <c r="D11" s="26" t="s">
        <v>7780</v>
      </c>
      <c r="E11" s="95" t="s">
        <v>12</v>
      </c>
      <c r="F11" s="26" t="s">
        <v>1305</v>
      </c>
      <c r="G11" s="26" t="s">
        <v>16</v>
      </c>
      <c r="H11" s="26" t="s">
        <v>7791</v>
      </c>
      <c r="I11" s="26" t="s">
        <v>7792</v>
      </c>
      <c r="J11" s="26" t="s">
        <v>7793</v>
      </c>
      <c r="K11" s="26">
        <v>733.0</v>
      </c>
      <c r="L11" s="26" t="s">
        <v>7763</v>
      </c>
      <c r="M11" s="26" t="s">
        <v>7764</v>
      </c>
      <c r="N11" s="26" t="s">
        <v>7784</v>
      </c>
      <c r="O11" s="26" t="s">
        <v>7794</v>
      </c>
      <c r="W11" s="26" t="s">
        <v>7786</v>
      </c>
      <c r="X11" s="28">
        <v>733.0</v>
      </c>
      <c r="Y11" s="28" t="s">
        <v>7769</v>
      </c>
    </row>
    <row r="12" ht="17.25" customHeight="1">
      <c r="B12" s="26" t="s">
        <v>10</v>
      </c>
      <c r="C12" s="26" t="s">
        <v>11</v>
      </c>
      <c r="D12" s="26" t="s">
        <v>7780</v>
      </c>
      <c r="E12" s="95" t="s">
        <v>12</v>
      </c>
      <c r="F12" s="26" t="s">
        <v>1305</v>
      </c>
      <c r="G12" s="26" t="s">
        <v>17</v>
      </c>
      <c r="H12" s="26" t="s">
        <v>7795</v>
      </c>
      <c r="I12" s="26" t="s">
        <v>7796</v>
      </c>
      <c r="J12" s="26" t="s">
        <v>7797</v>
      </c>
      <c r="K12" s="26">
        <v>1090.0</v>
      </c>
      <c r="L12" s="26" t="s">
        <v>7763</v>
      </c>
      <c r="M12" s="26" t="s">
        <v>7764</v>
      </c>
      <c r="N12" s="26" t="s">
        <v>7765</v>
      </c>
      <c r="O12" s="26" t="s">
        <v>7778</v>
      </c>
      <c r="W12" s="26" t="s">
        <v>7798</v>
      </c>
      <c r="X12" s="28">
        <v>1090.0</v>
      </c>
      <c r="Y12" s="28" t="s">
        <v>7769</v>
      </c>
    </row>
    <row r="13" ht="17.25" customHeight="1">
      <c r="B13" s="26" t="s">
        <v>10</v>
      </c>
      <c r="C13" s="26" t="s">
        <v>11</v>
      </c>
      <c r="D13" s="26" t="s">
        <v>7780</v>
      </c>
      <c r="E13" s="95" t="s">
        <v>12</v>
      </c>
      <c r="F13" s="26" t="s">
        <v>1305</v>
      </c>
      <c r="G13" s="26" t="s">
        <v>17</v>
      </c>
      <c r="H13" s="26" t="s">
        <v>7799</v>
      </c>
      <c r="I13" s="26" t="s">
        <v>7800</v>
      </c>
      <c r="J13" s="26" t="s">
        <v>7801</v>
      </c>
      <c r="K13" s="26">
        <v>1438.0</v>
      </c>
      <c r="L13" s="26" t="s">
        <v>7763</v>
      </c>
      <c r="M13" s="26" t="s">
        <v>7764</v>
      </c>
      <c r="N13" s="26" t="s">
        <v>7765</v>
      </c>
      <c r="O13" s="26" t="s">
        <v>7766</v>
      </c>
      <c r="W13" s="26" t="s">
        <v>7798</v>
      </c>
      <c r="X13" s="28">
        <v>1438.0</v>
      </c>
      <c r="Y13" s="28" t="s">
        <v>7769</v>
      </c>
    </row>
    <row r="14" ht="17.25" customHeight="1">
      <c r="B14" s="26" t="s">
        <v>10</v>
      </c>
      <c r="C14" s="26" t="s">
        <v>11</v>
      </c>
      <c r="D14" s="26" t="s">
        <v>7802</v>
      </c>
      <c r="E14" s="95" t="s">
        <v>12</v>
      </c>
      <c r="F14" s="26" t="s">
        <v>7758</v>
      </c>
      <c r="G14" s="26" t="s">
        <v>7803</v>
      </c>
      <c r="H14" s="26" t="s">
        <v>7804</v>
      </c>
      <c r="I14" s="26" t="s">
        <v>7805</v>
      </c>
      <c r="J14" s="26" t="s">
        <v>7806</v>
      </c>
      <c r="K14" s="26">
        <v>1448.0</v>
      </c>
      <c r="L14" s="26" t="s">
        <v>7763</v>
      </c>
      <c r="M14" s="26" t="s">
        <v>7764</v>
      </c>
      <c r="N14" s="26" t="s">
        <v>7784</v>
      </c>
      <c r="O14" s="26" t="s">
        <v>7766</v>
      </c>
      <c r="W14" s="26" t="s">
        <v>7807</v>
      </c>
      <c r="X14" s="28">
        <v>1448.0</v>
      </c>
      <c r="Y14" s="28" t="s">
        <v>7769</v>
      </c>
    </row>
    <row r="15" ht="17.25" customHeight="1">
      <c r="B15" s="26" t="s">
        <v>10</v>
      </c>
      <c r="C15" s="26" t="s">
        <v>11</v>
      </c>
      <c r="D15" s="26" t="s">
        <v>7802</v>
      </c>
      <c r="E15" s="95" t="s">
        <v>12</v>
      </c>
      <c r="F15" s="26" t="s">
        <v>7758</v>
      </c>
      <c r="G15" s="26" t="s">
        <v>7803</v>
      </c>
      <c r="H15" s="26" t="s">
        <v>7808</v>
      </c>
      <c r="I15" s="26" t="s">
        <v>7809</v>
      </c>
      <c r="J15" s="26" t="s">
        <v>7810</v>
      </c>
      <c r="K15" s="26">
        <v>1904.0</v>
      </c>
      <c r="L15" s="26" t="s">
        <v>7763</v>
      </c>
      <c r="M15" s="26" t="s">
        <v>7764</v>
      </c>
      <c r="N15" s="26" t="s">
        <v>7784</v>
      </c>
      <c r="O15" s="26" t="s">
        <v>7773</v>
      </c>
      <c r="W15" s="26" t="s">
        <v>7807</v>
      </c>
      <c r="X15" s="28">
        <v>1904.0</v>
      </c>
      <c r="Y15" s="28" t="s">
        <v>7769</v>
      </c>
    </row>
    <row r="16" ht="17.25" customHeight="1">
      <c r="B16" s="26" t="s">
        <v>10</v>
      </c>
      <c r="C16" s="26" t="s">
        <v>11</v>
      </c>
      <c r="D16" s="26" t="s">
        <v>7802</v>
      </c>
      <c r="E16" s="95" t="s">
        <v>12</v>
      </c>
      <c r="F16" s="26" t="s">
        <v>7758</v>
      </c>
      <c r="G16" s="26" t="s">
        <v>7803</v>
      </c>
      <c r="H16" s="26" t="s">
        <v>7811</v>
      </c>
      <c r="I16" s="26" t="s">
        <v>7812</v>
      </c>
      <c r="J16" s="26" t="s">
        <v>7813</v>
      </c>
      <c r="K16" s="26">
        <v>500.0</v>
      </c>
      <c r="L16" s="26" t="s">
        <v>7763</v>
      </c>
      <c r="M16" s="26" t="s">
        <v>7764</v>
      </c>
      <c r="N16" s="26" t="s">
        <v>7784</v>
      </c>
      <c r="O16" s="26" t="s">
        <v>7794</v>
      </c>
      <c r="W16" s="26" t="s">
        <v>7807</v>
      </c>
      <c r="X16" s="28">
        <v>500.0</v>
      </c>
      <c r="Y16" s="28" t="s">
        <v>7769</v>
      </c>
    </row>
    <row r="17" ht="17.25" customHeight="1">
      <c r="B17" s="26" t="s">
        <v>10</v>
      </c>
      <c r="C17" s="26" t="s">
        <v>11</v>
      </c>
      <c r="D17" s="26" t="s">
        <v>7802</v>
      </c>
      <c r="E17" s="95" t="s">
        <v>12</v>
      </c>
      <c r="F17" s="26" t="s">
        <v>7758</v>
      </c>
      <c r="G17" s="26" t="s">
        <v>7803</v>
      </c>
      <c r="H17" s="26" t="s">
        <v>7814</v>
      </c>
      <c r="I17" s="26" t="s">
        <v>7815</v>
      </c>
      <c r="J17" s="26" t="s">
        <v>7816</v>
      </c>
      <c r="K17" s="26">
        <v>724.0</v>
      </c>
      <c r="L17" s="26" t="s">
        <v>7763</v>
      </c>
      <c r="M17" s="26" t="s">
        <v>7764</v>
      </c>
      <c r="N17" s="26" t="s">
        <v>7784</v>
      </c>
      <c r="O17" s="26" t="s">
        <v>7794</v>
      </c>
      <c r="W17" s="26" t="s">
        <v>7807</v>
      </c>
      <c r="X17" s="28">
        <v>724.0</v>
      </c>
      <c r="Y17" s="28" t="s">
        <v>7769</v>
      </c>
    </row>
    <row r="18" ht="17.25" customHeight="1">
      <c r="B18" s="26" t="s">
        <v>10</v>
      </c>
      <c r="C18" s="26" t="s">
        <v>11</v>
      </c>
      <c r="D18" s="26" t="s">
        <v>7802</v>
      </c>
      <c r="E18" s="95" t="s">
        <v>12</v>
      </c>
      <c r="F18" s="26" t="s">
        <v>7758</v>
      </c>
      <c r="G18" s="26" t="s">
        <v>7803</v>
      </c>
      <c r="H18" s="26" t="s">
        <v>7817</v>
      </c>
      <c r="I18" s="26" t="s">
        <v>7818</v>
      </c>
      <c r="J18" s="26" t="s">
        <v>7819</v>
      </c>
      <c r="K18" s="26">
        <v>952.0</v>
      </c>
      <c r="L18" s="26" t="s">
        <v>7763</v>
      </c>
      <c r="M18" s="26" t="s">
        <v>7764</v>
      </c>
      <c r="N18" s="26" t="s">
        <v>7784</v>
      </c>
      <c r="O18" s="26" t="s">
        <v>7778</v>
      </c>
      <c r="W18" s="26" t="s">
        <v>7807</v>
      </c>
      <c r="X18" s="28">
        <v>952.0</v>
      </c>
      <c r="Y18" s="28" t="s">
        <v>7769</v>
      </c>
    </row>
    <row r="19" ht="17.25" customHeight="1">
      <c r="B19" s="26" t="s">
        <v>10</v>
      </c>
      <c r="C19" s="26" t="s">
        <v>11</v>
      </c>
      <c r="D19" s="26" t="s">
        <v>7802</v>
      </c>
      <c r="E19" s="95" t="s">
        <v>12</v>
      </c>
      <c r="F19" s="26" t="s">
        <v>7758</v>
      </c>
      <c r="G19" s="26" t="s">
        <v>7820</v>
      </c>
      <c r="H19" s="26" t="s">
        <v>7760</v>
      </c>
      <c r="I19" s="26" t="s">
        <v>7821</v>
      </c>
      <c r="J19" s="26" t="s">
        <v>7762</v>
      </c>
      <c r="K19" s="26">
        <v>1477.0</v>
      </c>
      <c r="L19" s="26" t="s">
        <v>7763</v>
      </c>
      <c r="M19" s="26" t="s">
        <v>7764</v>
      </c>
      <c r="N19" s="26" t="s">
        <v>7765</v>
      </c>
      <c r="O19" s="26" t="s">
        <v>7766</v>
      </c>
      <c r="W19" s="26" t="s">
        <v>7822</v>
      </c>
      <c r="X19" s="28">
        <v>1477.0</v>
      </c>
      <c r="Y19" s="28" t="s">
        <v>7769</v>
      </c>
    </row>
    <row r="20" ht="17.25" customHeight="1">
      <c r="B20" s="26" t="s">
        <v>10</v>
      </c>
      <c r="C20" s="26" t="s">
        <v>11</v>
      </c>
      <c r="D20" s="26" t="s">
        <v>7802</v>
      </c>
      <c r="E20" s="95" t="s">
        <v>12</v>
      </c>
      <c r="F20" s="26" t="s">
        <v>7758</v>
      </c>
      <c r="G20" s="26" t="s">
        <v>7820</v>
      </c>
      <c r="H20" s="26" t="s">
        <v>7770</v>
      </c>
      <c r="I20" s="26" t="s">
        <v>7823</v>
      </c>
      <c r="J20" s="26" t="s">
        <v>7772</v>
      </c>
      <c r="K20" s="26">
        <v>1970.0</v>
      </c>
      <c r="L20" s="26" t="s">
        <v>7763</v>
      </c>
      <c r="M20" s="26" t="s">
        <v>7764</v>
      </c>
      <c r="N20" s="26" t="s">
        <v>7765</v>
      </c>
      <c r="O20" s="26" t="s">
        <v>7773</v>
      </c>
      <c r="W20" s="26" t="s">
        <v>7822</v>
      </c>
      <c r="X20" s="28">
        <v>1970.0</v>
      </c>
      <c r="Y20" s="28" t="s">
        <v>7769</v>
      </c>
    </row>
    <row r="21" ht="17.25" customHeight="1">
      <c r="B21" s="26" t="s">
        <v>10</v>
      </c>
      <c r="C21" s="26" t="s">
        <v>11</v>
      </c>
      <c r="D21" s="26" t="s">
        <v>7802</v>
      </c>
      <c r="E21" s="95" t="s">
        <v>12</v>
      </c>
      <c r="F21" s="26" t="s">
        <v>7758</v>
      </c>
      <c r="G21" s="26" t="s">
        <v>7820</v>
      </c>
      <c r="H21" s="26" t="s">
        <v>7775</v>
      </c>
      <c r="I21" s="26" t="s">
        <v>7824</v>
      </c>
      <c r="J21" s="26" t="s">
        <v>7777</v>
      </c>
      <c r="K21" s="26">
        <v>986.0</v>
      </c>
      <c r="L21" s="26" t="s">
        <v>7763</v>
      </c>
      <c r="M21" s="26" t="s">
        <v>7764</v>
      </c>
      <c r="N21" s="26" t="s">
        <v>7765</v>
      </c>
      <c r="O21" s="26" t="s">
        <v>7778</v>
      </c>
      <c r="W21" s="26" t="s">
        <v>7822</v>
      </c>
      <c r="X21" s="28">
        <v>986.0</v>
      </c>
      <c r="Y21" s="28" t="s">
        <v>7769</v>
      </c>
    </row>
    <row r="22" ht="17.25" customHeight="1">
      <c r="B22" s="26" t="s">
        <v>10</v>
      </c>
      <c r="C22" s="26" t="s">
        <v>11</v>
      </c>
      <c r="D22" s="26" t="s">
        <v>7825</v>
      </c>
      <c r="E22" s="95" t="s">
        <v>12</v>
      </c>
      <c r="F22" s="26" t="s">
        <v>7826</v>
      </c>
      <c r="G22" s="26" t="s">
        <v>7827</v>
      </c>
      <c r="H22" s="26" t="s">
        <v>7828</v>
      </c>
      <c r="I22" s="26" t="s">
        <v>7829</v>
      </c>
      <c r="J22" s="26" t="s">
        <v>7830</v>
      </c>
      <c r="K22" s="26">
        <v>1400.0</v>
      </c>
      <c r="L22" s="26" t="s">
        <v>7763</v>
      </c>
      <c r="M22" s="26" t="s">
        <v>7764</v>
      </c>
      <c r="N22" s="26" t="s">
        <v>7784</v>
      </c>
      <c r="O22" s="26" t="s">
        <v>7766</v>
      </c>
      <c r="W22" s="26" t="s">
        <v>7831</v>
      </c>
      <c r="X22" s="28">
        <v>1400.0</v>
      </c>
      <c r="Y22" s="28" t="s">
        <v>7769</v>
      </c>
    </row>
    <row r="23" ht="17.25" customHeight="1">
      <c r="B23" s="26" t="s">
        <v>10</v>
      </c>
      <c r="C23" s="26" t="s">
        <v>11</v>
      </c>
      <c r="D23" s="26" t="s">
        <v>7832</v>
      </c>
      <c r="E23" s="95" t="s">
        <v>12</v>
      </c>
      <c r="F23" s="26" t="s">
        <v>7826</v>
      </c>
      <c r="G23" s="26" t="s">
        <v>7827</v>
      </c>
      <c r="H23" s="26" t="s">
        <v>7833</v>
      </c>
      <c r="I23" s="26" t="s">
        <v>7834</v>
      </c>
      <c r="J23" s="26" t="s">
        <v>7835</v>
      </c>
      <c r="K23" s="26">
        <v>850.0</v>
      </c>
      <c r="L23" s="26" t="s">
        <v>7763</v>
      </c>
      <c r="M23" s="26" t="s">
        <v>7764</v>
      </c>
      <c r="N23" s="26" t="s">
        <v>7784</v>
      </c>
      <c r="O23" s="26" t="s">
        <v>7794</v>
      </c>
      <c r="W23" s="26" t="s">
        <v>7831</v>
      </c>
      <c r="X23" s="28">
        <v>850.0</v>
      </c>
      <c r="Y23" s="28" t="s">
        <v>7769</v>
      </c>
    </row>
    <row r="24" ht="17.25" customHeight="1">
      <c r="B24" s="26" t="s">
        <v>10</v>
      </c>
      <c r="C24" s="26" t="s">
        <v>11</v>
      </c>
      <c r="D24" s="26" t="s">
        <v>7836</v>
      </c>
      <c r="E24" s="95" t="s">
        <v>12</v>
      </c>
      <c r="F24" s="26" t="s">
        <v>7826</v>
      </c>
      <c r="G24" s="26" t="s">
        <v>7837</v>
      </c>
      <c r="H24" s="26" t="s">
        <v>7838</v>
      </c>
      <c r="I24" s="26" t="s">
        <v>7839</v>
      </c>
      <c r="J24" s="26" t="s">
        <v>7840</v>
      </c>
      <c r="K24" s="26">
        <v>1012.0</v>
      </c>
      <c r="L24" s="26" t="s">
        <v>7763</v>
      </c>
      <c r="M24" s="26" t="s">
        <v>7764</v>
      </c>
      <c r="N24" s="26" t="s">
        <v>7765</v>
      </c>
      <c r="O24" s="26" t="s">
        <v>7778</v>
      </c>
      <c r="W24" s="26" t="s">
        <v>7841</v>
      </c>
      <c r="X24" s="28">
        <v>1012.0</v>
      </c>
      <c r="Y24" s="28" t="s">
        <v>7769</v>
      </c>
    </row>
    <row r="25" ht="17.25" customHeight="1">
      <c r="B25" s="26" t="s">
        <v>10</v>
      </c>
      <c r="C25" s="26" t="s">
        <v>11</v>
      </c>
      <c r="D25" s="26" t="s">
        <v>7836</v>
      </c>
      <c r="E25" s="95" t="s">
        <v>12</v>
      </c>
      <c r="F25" s="26" t="s">
        <v>7826</v>
      </c>
      <c r="G25" s="26" t="s">
        <v>7837</v>
      </c>
      <c r="H25" s="26" t="s">
        <v>7842</v>
      </c>
      <c r="I25" s="26" t="s">
        <v>7843</v>
      </c>
      <c r="J25" s="26" t="s">
        <v>7844</v>
      </c>
      <c r="K25" s="26">
        <v>1518.0</v>
      </c>
      <c r="L25" s="26" t="s">
        <v>7763</v>
      </c>
      <c r="M25" s="26" t="s">
        <v>7764</v>
      </c>
      <c r="N25" s="26" t="s">
        <v>7765</v>
      </c>
      <c r="O25" s="26" t="s">
        <v>7773</v>
      </c>
      <c r="W25" s="26" t="s">
        <v>7841</v>
      </c>
      <c r="X25" s="28">
        <v>1518.0</v>
      </c>
      <c r="Y25" s="28" t="s">
        <v>7769</v>
      </c>
    </row>
    <row r="26" ht="17.25" customHeight="1">
      <c r="B26" s="26" t="s">
        <v>10</v>
      </c>
      <c r="C26" s="26" t="s">
        <v>11</v>
      </c>
      <c r="D26" s="26" t="s">
        <v>7836</v>
      </c>
      <c r="E26" s="95" t="s">
        <v>12</v>
      </c>
      <c r="F26" s="26" t="s">
        <v>7826</v>
      </c>
      <c r="G26" s="26" t="s">
        <v>7837</v>
      </c>
      <c r="H26" s="26" t="s">
        <v>7845</v>
      </c>
      <c r="I26" s="26" t="s">
        <v>7846</v>
      </c>
      <c r="J26" s="26" t="s">
        <v>7847</v>
      </c>
      <c r="K26" s="26">
        <v>2025.0</v>
      </c>
      <c r="L26" s="26" t="s">
        <v>7763</v>
      </c>
      <c r="M26" s="26" t="s">
        <v>7764</v>
      </c>
      <c r="N26" s="26" t="s">
        <v>7765</v>
      </c>
      <c r="O26" s="26" t="s">
        <v>7773</v>
      </c>
      <c r="W26" s="26" t="s">
        <v>7841</v>
      </c>
      <c r="X26" s="28">
        <v>2025.0</v>
      </c>
      <c r="Y26" s="28" t="s">
        <v>7769</v>
      </c>
    </row>
    <row r="27" ht="17.25" customHeight="1">
      <c r="B27" s="26" t="s">
        <v>10</v>
      </c>
      <c r="C27" s="26" t="s">
        <v>11</v>
      </c>
      <c r="D27" s="26" t="s">
        <v>7836</v>
      </c>
      <c r="E27" s="95" t="s">
        <v>12</v>
      </c>
      <c r="F27" s="26" t="s">
        <v>7826</v>
      </c>
      <c r="G27" s="26" t="s">
        <v>7837</v>
      </c>
      <c r="H27" s="26" t="s">
        <v>7848</v>
      </c>
      <c r="I27" s="26" t="s">
        <v>7849</v>
      </c>
      <c r="J27" s="26" t="s">
        <v>7850</v>
      </c>
      <c r="K27" s="26">
        <v>506.0</v>
      </c>
      <c r="L27" s="26" t="s">
        <v>7763</v>
      </c>
      <c r="M27" s="26" t="s">
        <v>7764</v>
      </c>
      <c r="N27" s="26" t="s">
        <v>7765</v>
      </c>
      <c r="O27" s="26" t="s">
        <v>7794</v>
      </c>
      <c r="W27" s="26" t="s">
        <v>7841</v>
      </c>
      <c r="X27" s="28">
        <v>506.0</v>
      </c>
      <c r="Y27" s="28" t="s">
        <v>7769</v>
      </c>
    </row>
    <row r="28" ht="17.25" customHeight="1">
      <c r="B28" s="26" t="s">
        <v>10</v>
      </c>
      <c r="C28" s="26" t="s">
        <v>11</v>
      </c>
      <c r="D28" s="26" t="s">
        <v>7851</v>
      </c>
      <c r="E28" s="95" t="s">
        <v>12</v>
      </c>
      <c r="F28" s="26" t="s">
        <v>1305</v>
      </c>
      <c r="G28" s="26" t="s">
        <v>18</v>
      </c>
      <c r="H28" s="26" t="s">
        <v>7852</v>
      </c>
      <c r="I28" s="26" t="s">
        <v>7853</v>
      </c>
      <c r="J28" s="26" t="s">
        <v>7854</v>
      </c>
      <c r="K28" s="26">
        <v>1440.0</v>
      </c>
      <c r="L28" s="26" t="s">
        <v>7763</v>
      </c>
      <c r="M28" s="26" t="s">
        <v>7855</v>
      </c>
      <c r="N28" s="26" t="s">
        <v>7784</v>
      </c>
      <c r="O28" s="26" t="s">
        <v>7766</v>
      </c>
      <c r="W28" s="26" t="s">
        <v>7856</v>
      </c>
      <c r="X28" s="28">
        <v>1440.0</v>
      </c>
      <c r="Y28" s="28" t="s">
        <v>7769</v>
      </c>
    </row>
    <row r="29" ht="17.25" customHeight="1">
      <c r="B29" s="26" t="s">
        <v>10</v>
      </c>
      <c r="C29" s="26" t="s">
        <v>11</v>
      </c>
      <c r="D29" s="26" t="s">
        <v>7851</v>
      </c>
      <c r="E29" s="26" t="s">
        <v>20</v>
      </c>
      <c r="F29" s="26" t="s">
        <v>1305</v>
      </c>
      <c r="G29" s="26" t="s">
        <v>18</v>
      </c>
      <c r="H29" s="26" t="s">
        <v>7857</v>
      </c>
      <c r="I29" s="26" t="s">
        <v>7858</v>
      </c>
      <c r="J29" s="26" t="s">
        <v>7859</v>
      </c>
      <c r="K29" s="26">
        <v>1920.0</v>
      </c>
      <c r="L29" s="26" t="s">
        <v>7763</v>
      </c>
      <c r="M29" s="26" t="s">
        <v>7855</v>
      </c>
      <c r="N29" s="26" t="s">
        <v>7784</v>
      </c>
      <c r="O29" s="26" t="s">
        <v>7773</v>
      </c>
      <c r="W29" s="26" t="s">
        <v>7856</v>
      </c>
      <c r="X29" s="28">
        <v>1920.0</v>
      </c>
      <c r="Y29" s="28" t="s">
        <v>7769</v>
      </c>
    </row>
    <row r="30" ht="17.25" customHeight="1">
      <c r="B30" s="26" t="s">
        <v>10</v>
      </c>
      <c r="C30" s="26" t="s">
        <v>11</v>
      </c>
      <c r="D30" s="26" t="s">
        <v>7851</v>
      </c>
      <c r="E30" s="26" t="s">
        <v>20</v>
      </c>
      <c r="F30" s="26" t="s">
        <v>1305</v>
      </c>
      <c r="G30" s="26" t="s">
        <v>18</v>
      </c>
      <c r="H30" s="26" t="s">
        <v>7860</v>
      </c>
      <c r="I30" s="26" t="s">
        <v>7861</v>
      </c>
      <c r="J30" s="26" t="s">
        <v>7862</v>
      </c>
      <c r="K30" s="26">
        <v>384.0</v>
      </c>
      <c r="L30" s="26" t="s">
        <v>7763</v>
      </c>
      <c r="M30" s="26" t="s">
        <v>7855</v>
      </c>
      <c r="N30" s="26" t="s">
        <v>7784</v>
      </c>
      <c r="O30" s="26" t="s">
        <v>7863</v>
      </c>
      <c r="W30" s="26" t="s">
        <v>7856</v>
      </c>
      <c r="X30" s="28">
        <v>384.0</v>
      </c>
      <c r="Y30" s="28" t="s">
        <v>7769</v>
      </c>
    </row>
    <row r="31" ht="17.25" customHeight="1">
      <c r="B31" s="26" t="s">
        <v>10</v>
      </c>
      <c r="C31" s="26" t="s">
        <v>11</v>
      </c>
      <c r="D31" s="26" t="s">
        <v>7864</v>
      </c>
      <c r="E31" s="95" t="s">
        <v>12</v>
      </c>
      <c r="F31" s="26" t="s">
        <v>7826</v>
      </c>
      <c r="G31" s="26" t="s">
        <v>7865</v>
      </c>
      <c r="H31" s="26" t="s">
        <v>7852</v>
      </c>
      <c r="I31" s="26" t="s">
        <v>7866</v>
      </c>
      <c r="J31" s="26" t="s">
        <v>7854</v>
      </c>
      <c r="K31" s="26">
        <v>1440.0</v>
      </c>
      <c r="L31" s="26" t="s">
        <v>7763</v>
      </c>
      <c r="M31" s="26" t="s">
        <v>7855</v>
      </c>
      <c r="N31" s="26" t="s">
        <v>7784</v>
      </c>
      <c r="O31" s="26" t="s">
        <v>7766</v>
      </c>
      <c r="W31" s="26" t="s">
        <v>7867</v>
      </c>
      <c r="X31" s="28">
        <v>1440.0</v>
      </c>
      <c r="Y31" s="28" t="s">
        <v>7769</v>
      </c>
    </row>
    <row r="32" ht="17.25" customHeight="1">
      <c r="B32" s="26" t="s">
        <v>10</v>
      </c>
      <c r="C32" s="26" t="s">
        <v>11</v>
      </c>
      <c r="D32" s="26" t="s">
        <v>7868</v>
      </c>
      <c r="E32" s="95" t="s">
        <v>12</v>
      </c>
      <c r="F32" s="26" t="s">
        <v>7869</v>
      </c>
      <c r="G32" s="26" t="s">
        <v>7870</v>
      </c>
      <c r="H32" s="26" t="s">
        <v>7871</v>
      </c>
      <c r="I32" s="26" t="s">
        <v>7872</v>
      </c>
      <c r="J32" s="26" t="s">
        <v>7873</v>
      </c>
      <c r="K32" s="26">
        <v>960.0</v>
      </c>
      <c r="L32" s="26" t="s">
        <v>7763</v>
      </c>
      <c r="M32" s="26" t="s">
        <v>7855</v>
      </c>
      <c r="N32" s="26" t="s">
        <v>7784</v>
      </c>
      <c r="O32" s="26" t="s">
        <v>7778</v>
      </c>
      <c r="W32" s="26" t="s">
        <v>7874</v>
      </c>
      <c r="X32" s="28">
        <v>960.0</v>
      </c>
      <c r="Y32" s="28" t="s">
        <v>7769</v>
      </c>
    </row>
    <row r="33" ht="17.25" customHeight="1">
      <c r="B33" s="26" t="s">
        <v>10</v>
      </c>
      <c r="C33" s="26" t="s">
        <v>11</v>
      </c>
      <c r="D33" s="26" t="s">
        <v>7868</v>
      </c>
      <c r="E33" s="95" t="s">
        <v>12</v>
      </c>
      <c r="F33" s="26" t="s">
        <v>7869</v>
      </c>
      <c r="G33" s="26" t="s">
        <v>7875</v>
      </c>
      <c r="H33" s="26" t="s">
        <v>7876</v>
      </c>
      <c r="I33" s="26" t="s">
        <v>7877</v>
      </c>
      <c r="J33" s="26" t="s">
        <v>7878</v>
      </c>
      <c r="K33" s="26">
        <v>1026.0</v>
      </c>
      <c r="L33" s="26" t="s">
        <v>7763</v>
      </c>
      <c r="M33" s="26" t="s">
        <v>7855</v>
      </c>
      <c r="N33" s="26" t="s">
        <v>7765</v>
      </c>
      <c r="O33" s="26" t="s">
        <v>7778</v>
      </c>
      <c r="W33" s="26" t="s">
        <v>7879</v>
      </c>
      <c r="X33" s="28">
        <v>1026.0</v>
      </c>
      <c r="Y33" s="28" t="s">
        <v>7769</v>
      </c>
    </row>
    <row r="34" ht="17.25" customHeight="1">
      <c r="B34" s="26" t="s">
        <v>10</v>
      </c>
      <c r="C34" s="26" t="s">
        <v>11</v>
      </c>
      <c r="D34" s="26" t="s">
        <v>7868</v>
      </c>
      <c r="E34" s="26" t="s">
        <v>20</v>
      </c>
      <c r="F34" s="26" t="s">
        <v>7869</v>
      </c>
      <c r="G34" s="26" t="s">
        <v>7870</v>
      </c>
      <c r="H34" s="26" t="s">
        <v>7880</v>
      </c>
      <c r="I34" s="26" t="s">
        <v>7881</v>
      </c>
      <c r="J34" s="26" t="s">
        <v>7882</v>
      </c>
      <c r="K34" s="26">
        <v>360.0</v>
      </c>
      <c r="L34" s="26" t="s">
        <v>7763</v>
      </c>
      <c r="M34" s="26" t="s">
        <v>7855</v>
      </c>
      <c r="N34" s="26" t="s">
        <v>7784</v>
      </c>
      <c r="O34" s="26" t="s">
        <v>7863</v>
      </c>
      <c r="W34" s="26" t="s">
        <v>7874</v>
      </c>
      <c r="X34" s="28">
        <v>360.0</v>
      </c>
      <c r="Y34" s="28" t="s">
        <v>7769</v>
      </c>
    </row>
    <row r="35" ht="17.25" customHeight="1">
      <c r="B35" s="26" t="s">
        <v>10</v>
      </c>
      <c r="C35" s="26" t="s">
        <v>11</v>
      </c>
      <c r="D35" s="26" t="s">
        <v>7868</v>
      </c>
      <c r="E35" s="26" t="s">
        <v>20</v>
      </c>
      <c r="F35" s="26" t="s">
        <v>7869</v>
      </c>
      <c r="G35" s="26" t="s">
        <v>7870</v>
      </c>
      <c r="H35" s="26" t="s">
        <v>7883</v>
      </c>
      <c r="I35" s="26" t="s">
        <v>7884</v>
      </c>
      <c r="J35" s="26" t="s">
        <v>7885</v>
      </c>
      <c r="K35" s="26">
        <v>480.0</v>
      </c>
      <c r="L35" s="26" t="s">
        <v>7763</v>
      </c>
      <c r="M35" s="26" t="s">
        <v>7855</v>
      </c>
      <c r="N35" s="26" t="s">
        <v>7784</v>
      </c>
      <c r="O35" s="26" t="s">
        <v>7863</v>
      </c>
      <c r="W35" s="26" t="s">
        <v>7874</v>
      </c>
      <c r="X35" s="28">
        <v>480.0</v>
      </c>
      <c r="Y35" s="28" t="s">
        <v>7769</v>
      </c>
    </row>
    <row r="36" ht="17.25" customHeight="1">
      <c r="B36" s="26" t="s">
        <v>10</v>
      </c>
      <c r="C36" s="26" t="s">
        <v>11</v>
      </c>
      <c r="D36" s="26" t="s">
        <v>7868</v>
      </c>
      <c r="E36" s="26" t="s">
        <v>20</v>
      </c>
      <c r="F36" s="26" t="s">
        <v>7869</v>
      </c>
      <c r="G36" s="26" t="s">
        <v>7870</v>
      </c>
      <c r="H36" s="26" t="s">
        <v>7886</v>
      </c>
      <c r="I36" s="26" t="s">
        <v>7887</v>
      </c>
      <c r="J36" s="26" t="s">
        <v>7888</v>
      </c>
      <c r="K36" s="26">
        <v>560.0</v>
      </c>
      <c r="L36" s="26" t="s">
        <v>7763</v>
      </c>
      <c r="M36" s="26" t="s">
        <v>7855</v>
      </c>
      <c r="N36" s="26" t="s">
        <v>7784</v>
      </c>
      <c r="O36" s="26" t="s">
        <v>7794</v>
      </c>
      <c r="W36" s="26" t="s">
        <v>7874</v>
      </c>
      <c r="X36" s="28">
        <v>560.0</v>
      </c>
      <c r="Y36" s="28" t="s">
        <v>7769</v>
      </c>
    </row>
    <row r="37" ht="17.25" customHeight="1">
      <c r="B37" s="26" t="s">
        <v>10</v>
      </c>
      <c r="C37" s="26" t="s">
        <v>11</v>
      </c>
      <c r="D37" s="26" t="s">
        <v>7868</v>
      </c>
      <c r="E37" s="26" t="s">
        <v>20</v>
      </c>
      <c r="F37" s="26" t="s">
        <v>7869</v>
      </c>
      <c r="G37" s="26" t="s">
        <v>7889</v>
      </c>
      <c r="H37" s="26" t="s">
        <v>7890</v>
      </c>
      <c r="I37" s="26" t="s">
        <v>7891</v>
      </c>
      <c r="J37" s="26" t="s">
        <v>7892</v>
      </c>
      <c r="K37" s="26">
        <v>1680.0</v>
      </c>
      <c r="L37" s="26" t="s">
        <v>7763</v>
      </c>
      <c r="M37" s="26" t="s">
        <v>7855</v>
      </c>
      <c r="N37" s="26" t="s">
        <v>7784</v>
      </c>
      <c r="O37" s="26" t="s">
        <v>7773</v>
      </c>
      <c r="W37" s="26" t="s">
        <v>7893</v>
      </c>
      <c r="X37" s="28">
        <v>1680.0</v>
      </c>
      <c r="Y37" s="28" t="s">
        <v>7769</v>
      </c>
    </row>
    <row r="38" ht="17.25" customHeight="1">
      <c r="B38" s="26" t="s">
        <v>10</v>
      </c>
      <c r="C38" s="26" t="s">
        <v>11</v>
      </c>
      <c r="D38" s="26" t="s">
        <v>7894</v>
      </c>
      <c r="E38" s="95" t="s">
        <v>12</v>
      </c>
      <c r="F38" s="26" t="s">
        <v>7895</v>
      </c>
      <c r="G38" s="26" t="s">
        <v>7896</v>
      </c>
      <c r="H38" s="26" t="s">
        <v>7897</v>
      </c>
      <c r="I38" s="26" t="s">
        <v>7898</v>
      </c>
      <c r="J38" s="26" t="s">
        <v>7899</v>
      </c>
      <c r="K38" s="26">
        <v>1000.0</v>
      </c>
      <c r="L38" s="26" t="s">
        <v>7763</v>
      </c>
      <c r="M38" s="26" t="s">
        <v>7855</v>
      </c>
      <c r="N38" s="26" t="s">
        <v>7765</v>
      </c>
      <c r="O38" s="26" t="s">
        <v>7778</v>
      </c>
      <c r="W38" s="26" t="s">
        <v>7900</v>
      </c>
      <c r="X38" s="28">
        <v>1000.0</v>
      </c>
      <c r="Y38" s="28" t="s">
        <v>7769</v>
      </c>
    </row>
    <row r="39" ht="17.25" customHeight="1">
      <c r="B39" s="26" t="s">
        <v>10</v>
      </c>
      <c r="C39" s="26" t="s">
        <v>11</v>
      </c>
      <c r="D39" s="26" t="s">
        <v>7894</v>
      </c>
      <c r="E39" s="95" t="s">
        <v>12</v>
      </c>
      <c r="F39" s="26" t="s">
        <v>7895</v>
      </c>
      <c r="G39" s="26" t="s">
        <v>7896</v>
      </c>
      <c r="H39" s="26" t="s">
        <v>7901</v>
      </c>
      <c r="I39" s="26" t="s">
        <v>7902</v>
      </c>
      <c r="J39" s="26" t="s">
        <v>7903</v>
      </c>
      <c r="K39" s="26">
        <v>1500.0</v>
      </c>
      <c r="L39" s="26" t="s">
        <v>7763</v>
      </c>
      <c r="M39" s="26" t="s">
        <v>7855</v>
      </c>
      <c r="N39" s="26" t="s">
        <v>7765</v>
      </c>
      <c r="O39" s="26" t="s">
        <v>7773</v>
      </c>
      <c r="W39" s="26" t="s">
        <v>7900</v>
      </c>
      <c r="X39" s="28">
        <v>1500.0</v>
      </c>
      <c r="Y39" s="28" t="s">
        <v>7769</v>
      </c>
    </row>
    <row r="40" ht="17.25" customHeight="1">
      <c r="B40" s="26" t="s">
        <v>10</v>
      </c>
      <c r="C40" s="26" t="s">
        <v>11</v>
      </c>
      <c r="D40" s="26" t="s">
        <v>7894</v>
      </c>
      <c r="E40" s="95" t="s">
        <v>12</v>
      </c>
      <c r="F40" s="26" t="s">
        <v>7895</v>
      </c>
      <c r="G40" s="26" t="s">
        <v>7896</v>
      </c>
      <c r="H40" s="26" t="s">
        <v>7904</v>
      </c>
      <c r="I40" s="26" t="s">
        <v>7905</v>
      </c>
      <c r="J40" s="26" t="s">
        <v>7906</v>
      </c>
      <c r="K40" s="26">
        <v>2000.0</v>
      </c>
      <c r="L40" s="26" t="s">
        <v>7763</v>
      </c>
      <c r="M40" s="26" t="s">
        <v>7855</v>
      </c>
      <c r="N40" s="26" t="s">
        <v>7765</v>
      </c>
      <c r="O40" s="26" t="s">
        <v>7773</v>
      </c>
      <c r="W40" s="26" t="s">
        <v>7900</v>
      </c>
      <c r="X40" s="28">
        <v>2000.0</v>
      </c>
      <c r="Y40" s="28" t="s">
        <v>7769</v>
      </c>
    </row>
    <row r="41" ht="17.25" customHeight="1">
      <c r="B41" s="26" t="s">
        <v>10</v>
      </c>
      <c r="C41" s="26" t="s">
        <v>11</v>
      </c>
      <c r="D41" s="26" t="s">
        <v>7894</v>
      </c>
      <c r="E41" s="95" t="s">
        <v>12</v>
      </c>
      <c r="F41" s="26" t="s">
        <v>7895</v>
      </c>
      <c r="G41" s="26" t="s">
        <v>7896</v>
      </c>
      <c r="H41" s="26" t="s">
        <v>7907</v>
      </c>
      <c r="I41" s="26" t="s">
        <v>7908</v>
      </c>
      <c r="J41" s="26" t="s">
        <v>7909</v>
      </c>
      <c r="K41" s="26">
        <v>650.0</v>
      </c>
      <c r="L41" s="26" t="s">
        <v>7763</v>
      </c>
      <c r="M41" s="26" t="s">
        <v>7855</v>
      </c>
      <c r="N41" s="26" t="s">
        <v>7765</v>
      </c>
      <c r="O41" s="26" t="s">
        <v>7794</v>
      </c>
      <c r="W41" s="26" t="s">
        <v>7900</v>
      </c>
      <c r="X41" s="28">
        <v>650.0</v>
      </c>
      <c r="Y41" s="28" t="s">
        <v>7769</v>
      </c>
    </row>
    <row r="42" ht="17.25" customHeight="1">
      <c r="B42" s="26" t="s">
        <v>10</v>
      </c>
      <c r="C42" s="26" t="s">
        <v>11</v>
      </c>
      <c r="D42" s="26" t="s">
        <v>7910</v>
      </c>
      <c r="E42" s="26" t="s">
        <v>20</v>
      </c>
      <c r="F42" s="26" t="s">
        <v>7911</v>
      </c>
      <c r="G42" s="26" t="s">
        <v>7912</v>
      </c>
      <c r="H42" s="26" t="s">
        <v>7913</v>
      </c>
      <c r="I42" s="26" t="s">
        <v>7914</v>
      </c>
      <c r="J42" s="26" t="s">
        <v>7915</v>
      </c>
      <c r="K42" s="26">
        <v>1250.0</v>
      </c>
      <c r="L42" s="26" t="s">
        <v>7763</v>
      </c>
      <c r="M42" s="26" t="s">
        <v>7855</v>
      </c>
      <c r="N42" s="26" t="s">
        <v>7765</v>
      </c>
      <c r="O42" s="26" t="s">
        <v>7766</v>
      </c>
      <c r="W42" s="26" t="s">
        <v>7916</v>
      </c>
      <c r="X42" s="28">
        <v>1250.0</v>
      </c>
      <c r="Y42" s="28" t="s">
        <v>7769</v>
      </c>
    </row>
    <row r="43" ht="17.25" customHeight="1">
      <c r="B43" s="26" t="s">
        <v>10</v>
      </c>
      <c r="C43" s="26" t="s">
        <v>11</v>
      </c>
      <c r="D43" s="26" t="s">
        <v>7917</v>
      </c>
      <c r="E43" s="95" t="s">
        <v>12</v>
      </c>
      <c r="F43" s="26" t="s">
        <v>7826</v>
      </c>
      <c r="G43" s="26" t="s">
        <v>7918</v>
      </c>
      <c r="H43" s="26" t="s">
        <v>7838</v>
      </c>
      <c r="I43" s="26" t="s">
        <v>7919</v>
      </c>
      <c r="J43" s="26" t="s">
        <v>7840</v>
      </c>
      <c r="K43" s="26">
        <v>1012.0</v>
      </c>
      <c r="L43" s="26" t="s">
        <v>7763</v>
      </c>
      <c r="M43" s="26" t="s">
        <v>7764</v>
      </c>
      <c r="N43" s="26" t="s">
        <v>7765</v>
      </c>
      <c r="O43" s="26" t="s">
        <v>7778</v>
      </c>
      <c r="W43" s="26" t="s">
        <v>7920</v>
      </c>
      <c r="X43" s="28">
        <v>1012.0</v>
      </c>
      <c r="Y43" s="28" t="s">
        <v>7769</v>
      </c>
    </row>
    <row r="44" ht="17.25" customHeight="1">
      <c r="B44" s="26" t="s">
        <v>10</v>
      </c>
      <c r="C44" s="26" t="s">
        <v>11</v>
      </c>
      <c r="D44" s="26" t="s">
        <v>7917</v>
      </c>
      <c r="E44" s="95" t="s">
        <v>12</v>
      </c>
      <c r="F44" s="26" t="s">
        <v>7826</v>
      </c>
      <c r="G44" s="26" t="s">
        <v>7918</v>
      </c>
      <c r="H44" s="26" t="s">
        <v>7848</v>
      </c>
      <c r="I44" s="26" t="s">
        <v>7921</v>
      </c>
      <c r="J44" s="26" t="s">
        <v>7850</v>
      </c>
      <c r="K44" s="26">
        <v>506.0</v>
      </c>
      <c r="L44" s="26" t="s">
        <v>7763</v>
      </c>
      <c r="M44" s="26" t="s">
        <v>7764</v>
      </c>
      <c r="N44" s="26" t="s">
        <v>7765</v>
      </c>
      <c r="O44" s="26" t="s">
        <v>7794</v>
      </c>
      <c r="W44" s="26" t="s">
        <v>7920</v>
      </c>
      <c r="X44" s="28">
        <v>506.0</v>
      </c>
      <c r="Y44" s="28" t="s">
        <v>7769</v>
      </c>
    </row>
    <row r="45" ht="17.25" customHeight="1">
      <c r="B45" s="26" t="s">
        <v>10</v>
      </c>
      <c r="C45" s="26" t="s">
        <v>11</v>
      </c>
      <c r="D45" s="26" t="s">
        <v>7922</v>
      </c>
      <c r="E45" s="26" t="s">
        <v>20</v>
      </c>
      <c r="F45" s="26" t="s">
        <v>7895</v>
      </c>
      <c r="G45" s="26" t="s">
        <v>7923</v>
      </c>
      <c r="H45" s="26" t="s">
        <v>7924</v>
      </c>
      <c r="I45" s="26" t="s">
        <v>7925</v>
      </c>
      <c r="J45" s="26" t="s">
        <v>7926</v>
      </c>
      <c r="K45" s="26">
        <v>300.0</v>
      </c>
      <c r="L45" s="26" t="s">
        <v>7763</v>
      </c>
      <c r="M45" s="26" t="s">
        <v>7855</v>
      </c>
      <c r="N45" s="26" t="s">
        <v>7765</v>
      </c>
      <c r="O45" s="26" t="s">
        <v>7863</v>
      </c>
      <c r="W45" s="26" t="s">
        <v>7927</v>
      </c>
      <c r="X45" s="28">
        <v>300.0</v>
      </c>
      <c r="Y45" s="28" t="s">
        <v>7769</v>
      </c>
    </row>
    <row r="46" ht="17.25" customHeight="1">
      <c r="B46" s="26" t="s">
        <v>10</v>
      </c>
      <c r="C46" s="26" t="s">
        <v>11</v>
      </c>
      <c r="D46" s="26" t="s">
        <v>7928</v>
      </c>
      <c r="E46" s="26" t="s">
        <v>20</v>
      </c>
      <c r="F46" s="26" t="s">
        <v>7911</v>
      </c>
      <c r="G46" s="26" t="s">
        <v>7929</v>
      </c>
      <c r="H46" s="26" t="s">
        <v>7930</v>
      </c>
      <c r="I46" s="26" t="s">
        <v>7931</v>
      </c>
      <c r="J46" s="26" t="s">
        <v>7932</v>
      </c>
      <c r="K46" s="26">
        <v>1875.0</v>
      </c>
      <c r="L46" s="26" t="s">
        <v>7763</v>
      </c>
      <c r="M46" s="26" t="s">
        <v>7855</v>
      </c>
      <c r="N46" s="26" t="s">
        <v>7765</v>
      </c>
      <c r="O46" s="26" t="s">
        <v>7773</v>
      </c>
      <c r="W46" s="26" t="s">
        <v>7933</v>
      </c>
      <c r="X46" s="28">
        <v>1875.0</v>
      </c>
      <c r="Y46" s="28" t="s">
        <v>7769</v>
      </c>
    </row>
    <row r="47" ht="17.25" customHeight="1">
      <c r="B47" s="26" t="s">
        <v>10</v>
      </c>
      <c r="C47" s="26" t="s">
        <v>11</v>
      </c>
      <c r="D47" s="26" t="s">
        <v>7934</v>
      </c>
      <c r="E47" s="95" t="s">
        <v>12</v>
      </c>
      <c r="F47" s="26" t="s">
        <v>1305</v>
      </c>
      <c r="G47" s="26" t="s">
        <v>19</v>
      </c>
      <c r="H47" s="26" t="s">
        <v>7913</v>
      </c>
      <c r="I47" s="26" t="s">
        <v>7935</v>
      </c>
      <c r="J47" s="26" t="s">
        <v>7915</v>
      </c>
      <c r="K47" s="26">
        <v>1250.0</v>
      </c>
      <c r="L47" s="26" t="s">
        <v>7763</v>
      </c>
      <c r="M47" s="26" t="s">
        <v>7855</v>
      </c>
      <c r="N47" s="26" t="s">
        <v>7784</v>
      </c>
      <c r="O47" s="26" t="s">
        <v>7766</v>
      </c>
      <c r="W47" s="26" t="s">
        <v>7936</v>
      </c>
      <c r="X47" s="28">
        <v>1250.0</v>
      </c>
      <c r="Y47" s="28" t="s">
        <v>7769</v>
      </c>
    </row>
    <row r="48" ht="17.25" customHeight="1">
      <c r="B48" s="26" t="s">
        <v>10</v>
      </c>
      <c r="C48" s="26" t="s">
        <v>11</v>
      </c>
      <c r="D48" s="26" t="s">
        <v>7934</v>
      </c>
      <c r="E48" s="26" t="s">
        <v>20</v>
      </c>
      <c r="F48" s="26" t="s">
        <v>1305</v>
      </c>
      <c r="G48" s="26" t="s">
        <v>19</v>
      </c>
      <c r="H48" s="26" t="s">
        <v>7937</v>
      </c>
      <c r="I48" s="26" t="s">
        <v>7938</v>
      </c>
      <c r="J48" s="26" t="s">
        <v>7939</v>
      </c>
      <c r="K48" s="26">
        <v>375.0</v>
      </c>
      <c r="L48" s="26" t="s">
        <v>7763</v>
      </c>
      <c r="M48" s="26" t="s">
        <v>7855</v>
      </c>
      <c r="N48" s="26" t="s">
        <v>7784</v>
      </c>
      <c r="O48" s="26" t="s">
        <v>7863</v>
      </c>
      <c r="W48" s="26" t="s">
        <v>7936</v>
      </c>
      <c r="X48" s="28">
        <v>375.0</v>
      </c>
      <c r="Y48" s="28" t="s">
        <v>7769</v>
      </c>
    </row>
    <row r="49" ht="17.25" customHeight="1">
      <c r="B49" s="26" t="s">
        <v>10</v>
      </c>
      <c r="C49" s="26" t="s">
        <v>11</v>
      </c>
      <c r="D49" s="26" t="s">
        <v>7940</v>
      </c>
      <c r="E49" s="95" t="s">
        <v>12</v>
      </c>
      <c r="F49" s="26" t="s">
        <v>7895</v>
      </c>
      <c r="G49" s="26" t="s">
        <v>7941</v>
      </c>
      <c r="H49" s="26" t="s">
        <v>7897</v>
      </c>
      <c r="I49" s="26" t="s">
        <v>7942</v>
      </c>
      <c r="J49" s="26" t="s">
        <v>7899</v>
      </c>
      <c r="K49" s="26">
        <v>1000.0</v>
      </c>
      <c r="L49" s="26" t="s">
        <v>7763</v>
      </c>
      <c r="M49" s="26" t="s">
        <v>7855</v>
      </c>
      <c r="N49" s="26" t="s">
        <v>7784</v>
      </c>
      <c r="O49" s="26" t="s">
        <v>7778</v>
      </c>
      <c r="W49" s="26" t="s">
        <v>7943</v>
      </c>
      <c r="X49" s="28">
        <v>1000.0</v>
      </c>
      <c r="Y49" s="28" t="s">
        <v>7769</v>
      </c>
    </row>
    <row r="50" ht="17.25" customHeight="1">
      <c r="B50" s="26" t="s">
        <v>10</v>
      </c>
      <c r="C50" s="26" t="s">
        <v>11</v>
      </c>
      <c r="D50" s="26" t="s">
        <v>7940</v>
      </c>
      <c r="E50" s="95" t="s">
        <v>12</v>
      </c>
      <c r="F50" s="26" t="s">
        <v>7895</v>
      </c>
      <c r="G50" s="26" t="s">
        <v>7941</v>
      </c>
      <c r="H50" s="26" t="s">
        <v>7901</v>
      </c>
      <c r="I50" s="26" t="s">
        <v>7944</v>
      </c>
      <c r="J50" s="26" t="s">
        <v>7903</v>
      </c>
      <c r="K50" s="26">
        <v>1500.0</v>
      </c>
      <c r="L50" s="26" t="s">
        <v>7763</v>
      </c>
      <c r="M50" s="26" t="s">
        <v>7855</v>
      </c>
      <c r="N50" s="26" t="s">
        <v>7784</v>
      </c>
      <c r="O50" s="26" t="s">
        <v>7773</v>
      </c>
      <c r="W50" s="26" t="s">
        <v>7943</v>
      </c>
      <c r="X50" s="28">
        <v>1500.0</v>
      </c>
      <c r="Y50" s="28" t="s">
        <v>7769</v>
      </c>
    </row>
    <row r="51" ht="17.25" customHeight="1">
      <c r="B51" s="26" t="s">
        <v>10</v>
      </c>
      <c r="C51" s="26" t="s">
        <v>11</v>
      </c>
      <c r="D51" s="26" t="s">
        <v>7940</v>
      </c>
      <c r="E51" s="95" t="s">
        <v>12</v>
      </c>
      <c r="F51" s="26" t="s">
        <v>7895</v>
      </c>
      <c r="G51" s="26" t="s">
        <v>7941</v>
      </c>
      <c r="H51" s="26" t="s">
        <v>7904</v>
      </c>
      <c r="I51" s="26" t="s">
        <v>7945</v>
      </c>
      <c r="J51" s="26" t="s">
        <v>7906</v>
      </c>
      <c r="K51" s="26">
        <v>2000.0</v>
      </c>
      <c r="L51" s="26" t="s">
        <v>7763</v>
      </c>
      <c r="M51" s="26" t="s">
        <v>7855</v>
      </c>
      <c r="N51" s="26" t="s">
        <v>7784</v>
      </c>
      <c r="O51" s="26" t="s">
        <v>7773</v>
      </c>
      <c r="W51" s="26" t="s">
        <v>7943</v>
      </c>
      <c r="X51" s="28">
        <v>2000.0</v>
      </c>
      <c r="Y51" s="28" t="s">
        <v>7769</v>
      </c>
    </row>
    <row r="52" ht="17.25" customHeight="1">
      <c r="B52" s="26" t="s">
        <v>10</v>
      </c>
      <c r="C52" s="26" t="s">
        <v>11</v>
      </c>
      <c r="D52" s="26" t="s">
        <v>7946</v>
      </c>
      <c r="E52" s="95" t="s">
        <v>12</v>
      </c>
      <c r="F52" s="26" t="s">
        <v>7895</v>
      </c>
      <c r="G52" s="26" t="s">
        <v>7947</v>
      </c>
      <c r="H52" s="26" t="s">
        <v>7897</v>
      </c>
      <c r="I52" s="26" t="s">
        <v>7948</v>
      </c>
      <c r="J52" s="26" t="s">
        <v>7899</v>
      </c>
      <c r="K52" s="26">
        <v>1000.0</v>
      </c>
      <c r="L52" s="26" t="s">
        <v>7763</v>
      </c>
      <c r="M52" s="26" t="s">
        <v>7855</v>
      </c>
      <c r="N52" s="26" t="s">
        <v>7765</v>
      </c>
      <c r="O52" s="26" t="s">
        <v>7778</v>
      </c>
      <c r="W52" s="26" t="s">
        <v>7949</v>
      </c>
      <c r="X52" s="28">
        <v>1000.0</v>
      </c>
      <c r="Y52" s="28" t="s">
        <v>7769</v>
      </c>
    </row>
    <row r="53" ht="17.25" customHeight="1">
      <c r="B53" s="26" t="s">
        <v>10</v>
      </c>
      <c r="C53" s="26" t="s">
        <v>11</v>
      </c>
      <c r="D53" s="26" t="s">
        <v>7946</v>
      </c>
      <c r="E53" s="95" t="s">
        <v>12</v>
      </c>
      <c r="F53" s="26" t="s">
        <v>7895</v>
      </c>
      <c r="G53" s="26" t="s">
        <v>7947</v>
      </c>
      <c r="H53" s="26" t="s">
        <v>7901</v>
      </c>
      <c r="I53" s="26" t="s">
        <v>7950</v>
      </c>
      <c r="J53" s="26" t="s">
        <v>7903</v>
      </c>
      <c r="K53" s="26">
        <v>1500.0</v>
      </c>
      <c r="L53" s="26" t="s">
        <v>7763</v>
      </c>
      <c r="M53" s="26" t="s">
        <v>7855</v>
      </c>
      <c r="N53" s="26" t="s">
        <v>7765</v>
      </c>
      <c r="O53" s="26" t="s">
        <v>7773</v>
      </c>
      <c r="W53" s="26" t="s">
        <v>7949</v>
      </c>
      <c r="X53" s="28">
        <v>1500.0</v>
      </c>
      <c r="Y53" s="28" t="s">
        <v>7769</v>
      </c>
    </row>
    <row r="54" ht="17.25" customHeight="1">
      <c r="B54" s="26" t="s">
        <v>10</v>
      </c>
      <c r="C54" s="26" t="s">
        <v>11</v>
      </c>
      <c r="D54" s="26" t="s">
        <v>7946</v>
      </c>
      <c r="E54" s="95" t="s">
        <v>12</v>
      </c>
      <c r="F54" s="26" t="s">
        <v>7895</v>
      </c>
      <c r="G54" s="26" t="s">
        <v>7947</v>
      </c>
      <c r="H54" s="26" t="s">
        <v>7904</v>
      </c>
      <c r="I54" s="26" t="s">
        <v>7951</v>
      </c>
      <c r="J54" s="26" t="s">
        <v>7906</v>
      </c>
      <c r="K54" s="26">
        <v>2000.0</v>
      </c>
      <c r="L54" s="26" t="s">
        <v>7763</v>
      </c>
      <c r="M54" s="26" t="s">
        <v>7855</v>
      </c>
      <c r="N54" s="26" t="s">
        <v>7765</v>
      </c>
      <c r="O54" s="26" t="s">
        <v>7773</v>
      </c>
      <c r="W54" s="26" t="s">
        <v>7949</v>
      </c>
      <c r="X54" s="28">
        <v>2000.0</v>
      </c>
      <c r="Y54" s="28" t="s">
        <v>7769</v>
      </c>
    </row>
    <row r="55" ht="17.25" customHeight="1">
      <c r="B55" s="26" t="s">
        <v>10</v>
      </c>
      <c r="C55" s="26" t="s">
        <v>11</v>
      </c>
      <c r="D55" s="26" t="s">
        <v>7952</v>
      </c>
      <c r="E55" s="95" t="s">
        <v>12</v>
      </c>
      <c r="F55" s="26" t="s">
        <v>1305</v>
      </c>
      <c r="G55" s="26" t="s">
        <v>13</v>
      </c>
      <c r="H55" s="26" t="s">
        <v>7953</v>
      </c>
      <c r="I55" s="26" t="s">
        <v>7954</v>
      </c>
      <c r="J55" s="26" t="s">
        <v>7955</v>
      </c>
      <c r="K55" s="26">
        <v>1085.0</v>
      </c>
      <c r="L55" s="26" t="s">
        <v>7763</v>
      </c>
      <c r="M55" s="26" t="s">
        <v>7764</v>
      </c>
      <c r="N55" s="26" t="s">
        <v>7784</v>
      </c>
      <c r="O55" s="26" t="s">
        <v>7778</v>
      </c>
      <c r="W55" s="26" t="s">
        <v>7956</v>
      </c>
      <c r="X55" s="28">
        <v>1085.0</v>
      </c>
      <c r="Y55" s="28" t="s">
        <v>7769</v>
      </c>
    </row>
    <row r="56" ht="17.25" customHeight="1">
      <c r="B56" s="26" t="s">
        <v>10</v>
      </c>
      <c r="C56" s="26" t="s">
        <v>11</v>
      </c>
      <c r="D56" s="26" t="s">
        <v>7952</v>
      </c>
      <c r="E56" s="95" t="s">
        <v>12</v>
      </c>
      <c r="F56" s="26" t="s">
        <v>1305</v>
      </c>
      <c r="G56" s="26" t="s">
        <v>13</v>
      </c>
      <c r="H56" s="26" t="s">
        <v>7957</v>
      </c>
      <c r="I56" s="26" t="s">
        <v>7958</v>
      </c>
      <c r="J56" s="26" t="s">
        <v>7959</v>
      </c>
      <c r="K56" s="26">
        <v>1450.0</v>
      </c>
      <c r="L56" s="26" t="s">
        <v>7763</v>
      </c>
      <c r="M56" s="26" t="s">
        <v>7764</v>
      </c>
      <c r="N56" s="26" t="s">
        <v>7784</v>
      </c>
      <c r="O56" s="26" t="s">
        <v>7766</v>
      </c>
      <c r="W56" s="26" t="s">
        <v>7956</v>
      </c>
      <c r="X56" s="28">
        <v>1450.0</v>
      </c>
      <c r="Y56" s="28" t="s">
        <v>7769</v>
      </c>
    </row>
    <row r="57" ht="17.25" customHeight="1">
      <c r="B57" s="26" t="s">
        <v>10</v>
      </c>
      <c r="C57" s="26" t="s">
        <v>11</v>
      </c>
      <c r="D57" s="26" t="s">
        <v>7952</v>
      </c>
      <c r="E57" s="95" t="s">
        <v>12</v>
      </c>
      <c r="F57" s="26" t="s">
        <v>1305</v>
      </c>
      <c r="G57" s="26" t="s">
        <v>13</v>
      </c>
      <c r="H57" s="26" t="s">
        <v>7960</v>
      </c>
      <c r="I57" s="26" t="s">
        <v>7961</v>
      </c>
      <c r="J57" s="26" t="s">
        <v>7962</v>
      </c>
      <c r="K57" s="26">
        <v>2020.0</v>
      </c>
      <c r="L57" s="26" t="s">
        <v>7763</v>
      </c>
      <c r="M57" s="26" t="s">
        <v>7764</v>
      </c>
      <c r="N57" s="26" t="s">
        <v>7784</v>
      </c>
      <c r="O57" s="26" t="s">
        <v>7773</v>
      </c>
      <c r="W57" s="26" t="s">
        <v>7956</v>
      </c>
      <c r="X57" s="28">
        <v>2020.0</v>
      </c>
      <c r="Y57" s="28" t="s">
        <v>7769</v>
      </c>
    </row>
    <row r="58" ht="17.25" customHeight="1">
      <c r="B58" s="26" t="s">
        <v>10</v>
      </c>
      <c r="C58" s="26" t="s">
        <v>11</v>
      </c>
      <c r="D58" s="26" t="s">
        <v>7952</v>
      </c>
      <c r="E58" s="95" t="s">
        <v>12</v>
      </c>
      <c r="F58" s="26" t="s">
        <v>1305</v>
      </c>
      <c r="G58" s="26" t="s">
        <v>13</v>
      </c>
      <c r="H58" s="26" t="s">
        <v>7963</v>
      </c>
      <c r="I58" s="26" t="s">
        <v>7964</v>
      </c>
      <c r="J58" s="26" t="s">
        <v>7965</v>
      </c>
      <c r="K58" s="26">
        <v>241.0</v>
      </c>
      <c r="L58" s="26" t="s">
        <v>7763</v>
      </c>
      <c r="M58" s="26" t="s">
        <v>7764</v>
      </c>
      <c r="N58" s="26" t="s">
        <v>7784</v>
      </c>
      <c r="O58" s="26" t="s">
        <v>7863</v>
      </c>
      <c r="W58" s="26" t="s">
        <v>7956</v>
      </c>
      <c r="X58" s="28">
        <v>241.0</v>
      </c>
      <c r="Y58" s="28" t="s">
        <v>7769</v>
      </c>
    </row>
    <row r="59" ht="17.25" customHeight="1">
      <c r="B59" s="26" t="s">
        <v>10</v>
      </c>
      <c r="C59" s="26" t="s">
        <v>11</v>
      </c>
      <c r="D59" s="26" t="s">
        <v>7952</v>
      </c>
      <c r="E59" s="95" t="s">
        <v>12</v>
      </c>
      <c r="F59" s="26" t="s">
        <v>1305</v>
      </c>
      <c r="G59" s="26" t="s">
        <v>13</v>
      </c>
      <c r="H59" s="26" t="s">
        <v>7966</v>
      </c>
      <c r="I59" s="26" t="s">
        <v>7967</v>
      </c>
      <c r="J59" s="26" t="s">
        <v>7968</v>
      </c>
      <c r="K59" s="26">
        <v>654.0</v>
      </c>
      <c r="L59" s="26" t="s">
        <v>7763</v>
      </c>
      <c r="M59" s="26" t="s">
        <v>7764</v>
      </c>
      <c r="N59" s="26" t="s">
        <v>7784</v>
      </c>
      <c r="O59" s="26" t="s">
        <v>7794</v>
      </c>
      <c r="W59" s="26" t="s">
        <v>7956</v>
      </c>
      <c r="X59" s="28">
        <v>654.0</v>
      </c>
      <c r="Y59" s="28" t="s">
        <v>7769</v>
      </c>
    </row>
    <row r="60" ht="17.25" customHeight="1">
      <c r="B60" s="26" t="s">
        <v>10</v>
      </c>
      <c r="C60" s="26" t="s">
        <v>11</v>
      </c>
      <c r="D60" s="26" t="s">
        <v>7952</v>
      </c>
      <c r="E60" s="26" t="s">
        <v>20</v>
      </c>
      <c r="F60" s="26" t="s">
        <v>1305</v>
      </c>
      <c r="G60" s="26" t="s">
        <v>13</v>
      </c>
      <c r="H60" s="26" t="s">
        <v>7969</v>
      </c>
      <c r="I60" s="26" t="s">
        <v>7970</v>
      </c>
      <c r="J60" s="26" t="s">
        <v>7971</v>
      </c>
      <c r="K60" s="26">
        <v>217.0</v>
      </c>
      <c r="L60" s="26" t="s">
        <v>7763</v>
      </c>
      <c r="M60" s="26" t="s">
        <v>7764</v>
      </c>
      <c r="N60" s="26" t="s">
        <v>7784</v>
      </c>
      <c r="O60" s="26" t="s">
        <v>7863</v>
      </c>
      <c r="W60" s="26" t="s">
        <v>7956</v>
      </c>
      <c r="X60" s="28">
        <v>217.0</v>
      </c>
      <c r="Y60" s="28" t="s">
        <v>7769</v>
      </c>
    </row>
    <row r="61" ht="17.25" customHeight="1">
      <c r="B61" s="26" t="s">
        <v>10</v>
      </c>
      <c r="C61" s="26" t="s">
        <v>11</v>
      </c>
      <c r="D61" s="26" t="s">
        <v>7952</v>
      </c>
      <c r="E61" s="26" t="s">
        <v>20</v>
      </c>
      <c r="F61" s="26" t="s">
        <v>1305</v>
      </c>
      <c r="G61" s="26" t="s">
        <v>13</v>
      </c>
      <c r="H61" s="26" t="s">
        <v>7972</v>
      </c>
      <c r="I61" s="26" t="s">
        <v>7973</v>
      </c>
      <c r="J61" s="26" t="s">
        <v>7974</v>
      </c>
      <c r="K61" s="26">
        <v>362.0</v>
      </c>
      <c r="L61" s="26" t="s">
        <v>7763</v>
      </c>
      <c r="M61" s="26" t="s">
        <v>7764</v>
      </c>
      <c r="N61" s="26" t="s">
        <v>7784</v>
      </c>
      <c r="O61" s="26" t="s">
        <v>7863</v>
      </c>
      <c r="W61" s="26" t="s">
        <v>7956</v>
      </c>
      <c r="X61" s="28">
        <v>362.0</v>
      </c>
      <c r="Y61" s="28" t="s">
        <v>7769</v>
      </c>
    </row>
    <row r="62" ht="17.25" customHeight="1">
      <c r="B62" s="26" t="s">
        <v>10</v>
      </c>
      <c r="C62" s="26" t="s">
        <v>11</v>
      </c>
      <c r="D62" s="26" t="s">
        <v>7952</v>
      </c>
      <c r="E62" s="26" t="s">
        <v>20</v>
      </c>
      <c r="F62" s="26" t="s">
        <v>1305</v>
      </c>
      <c r="G62" s="26" t="s">
        <v>13</v>
      </c>
      <c r="H62" s="26" t="s">
        <v>7975</v>
      </c>
      <c r="I62" s="26" t="s">
        <v>7976</v>
      </c>
      <c r="J62" s="26" t="s">
        <v>7977</v>
      </c>
      <c r="K62" s="26">
        <v>502.0</v>
      </c>
      <c r="L62" s="26" t="s">
        <v>7763</v>
      </c>
      <c r="M62" s="26" t="s">
        <v>7764</v>
      </c>
      <c r="N62" s="26" t="s">
        <v>7784</v>
      </c>
      <c r="O62" s="26" t="s">
        <v>7794</v>
      </c>
      <c r="W62" s="26" t="s">
        <v>7956</v>
      </c>
      <c r="X62" s="28">
        <v>502.0</v>
      </c>
      <c r="Y62" s="28" t="s">
        <v>7769</v>
      </c>
    </row>
    <row r="63" ht="17.25" customHeight="1">
      <c r="B63" s="26" t="s">
        <v>10</v>
      </c>
      <c r="C63" s="26" t="s">
        <v>11</v>
      </c>
      <c r="D63" s="26" t="s">
        <v>7978</v>
      </c>
      <c r="E63" s="95" t="s">
        <v>12</v>
      </c>
      <c r="F63" s="26" t="s">
        <v>7758</v>
      </c>
      <c r="G63" s="26" t="s">
        <v>7979</v>
      </c>
      <c r="H63" s="26" t="s">
        <v>7804</v>
      </c>
      <c r="I63" s="26" t="s">
        <v>7980</v>
      </c>
      <c r="J63" s="26" t="s">
        <v>7806</v>
      </c>
      <c r="K63" s="26">
        <v>1448.0</v>
      </c>
      <c r="L63" s="26" t="s">
        <v>7763</v>
      </c>
      <c r="M63" s="26" t="s">
        <v>7764</v>
      </c>
      <c r="N63" s="26" t="s">
        <v>7784</v>
      </c>
      <c r="O63" s="26" t="s">
        <v>7766</v>
      </c>
      <c r="W63" s="26" t="s">
        <v>7981</v>
      </c>
      <c r="X63" s="28">
        <v>1448.0</v>
      </c>
      <c r="Y63" s="28" t="s">
        <v>7769</v>
      </c>
    </row>
    <row r="64" ht="17.25" customHeight="1">
      <c r="B64" s="26" t="s">
        <v>10</v>
      </c>
      <c r="C64" s="26" t="s">
        <v>11</v>
      </c>
      <c r="D64" s="26" t="s">
        <v>7978</v>
      </c>
      <c r="E64" s="95" t="s">
        <v>12</v>
      </c>
      <c r="F64" s="26" t="s">
        <v>7758</v>
      </c>
      <c r="G64" s="26" t="s">
        <v>7979</v>
      </c>
      <c r="H64" s="26" t="s">
        <v>7808</v>
      </c>
      <c r="I64" s="26" t="s">
        <v>7982</v>
      </c>
      <c r="J64" s="26" t="s">
        <v>7810</v>
      </c>
      <c r="K64" s="26">
        <v>1904.0</v>
      </c>
      <c r="L64" s="26" t="s">
        <v>7763</v>
      </c>
      <c r="M64" s="26" t="s">
        <v>7764</v>
      </c>
      <c r="N64" s="26" t="s">
        <v>7784</v>
      </c>
      <c r="O64" s="26" t="s">
        <v>7773</v>
      </c>
      <c r="W64" s="26" t="s">
        <v>7981</v>
      </c>
      <c r="X64" s="28">
        <v>1904.0</v>
      </c>
      <c r="Y64" s="28" t="s">
        <v>7769</v>
      </c>
    </row>
    <row r="65" ht="17.25" customHeight="1">
      <c r="B65" s="26" t="s">
        <v>10</v>
      </c>
      <c r="C65" s="26" t="s">
        <v>11</v>
      </c>
      <c r="D65" s="26" t="s">
        <v>7978</v>
      </c>
      <c r="E65" s="95" t="s">
        <v>12</v>
      </c>
      <c r="F65" s="26" t="s">
        <v>7758</v>
      </c>
      <c r="G65" s="26" t="s">
        <v>7979</v>
      </c>
      <c r="H65" s="26" t="s">
        <v>7811</v>
      </c>
      <c r="I65" s="26" t="s">
        <v>7983</v>
      </c>
      <c r="J65" s="26" t="s">
        <v>7813</v>
      </c>
      <c r="K65" s="26">
        <v>500.0</v>
      </c>
      <c r="L65" s="26" t="s">
        <v>7763</v>
      </c>
      <c r="M65" s="26" t="s">
        <v>7764</v>
      </c>
      <c r="N65" s="26" t="s">
        <v>7784</v>
      </c>
      <c r="O65" s="26" t="s">
        <v>7794</v>
      </c>
      <c r="W65" s="26" t="s">
        <v>7981</v>
      </c>
      <c r="X65" s="28">
        <v>500.0</v>
      </c>
      <c r="Y65" s="28" t="s">
        <v>7769</v>
      </c>
    </row>
    <row r="66" ht="17.25" customHeight="1">
      <c r="B66" s="26" t="s">
        <v>10</v>
      </c>
      <c r="C66" s="26" t="s">
        <v>11</v>
      </c>
      <c r="D66" s="26" t="s">
        <v>7978</v>
      </c>
      <c r="E66" s="95" t="s">
        <v>12</v>
      </c>
      <c r="F66" s="26" t="s">
        <v>7758</v>
      </c>
      <c r="G66" s="26" t="s">
        <v>7979</v>
      </c>
      <c r="H66" s="26" t="s">
        <v>7814</v>
      </c>
      <c r="I66" s="26" t="s">
        <v>7984</v>
      </c>
      <c r="J66" s="26" t="s">
        <v>7816</v>
      </c>
      <c r="K66" s="26">
        <v>724.0</v>
      </c>
      <c r="L66" s="26" t="s">
        <v>7763</v>
      </c>
      <c r="M66" s="26" t="s">
        <v>7764</v>
      </c>
      <c r="N66" s="26" t="s">
        <v>7784</v>
      </c>
      <c r="O66" s="26" t="s">
        <v>7794</v>
      </c>
      <c r="W66" s="26" t="s">
        <v>7981</v>
      </c>
      <c r="X66" s="28">
        <v>724.0</v>
      </c>
      <c r="Y66" s="28" t="s">
        <v>7769</v>
      </c>
    </row>
    <row r="67" ht="17.25" customHeight="1">
      <c r="B67" s="26" t="s">
        <v>10</v>
      </c>
      <c r="C67" s="26" t="s">
        <v>11</v>
      </c>
      <c r="D67" s="26" t="s">
        <v>7978</v>
      </c>
      <c r="E67" s="95" t="s">
        <v>12</v>
      </c>
      <c r="F67" s="26" t="s">
        <v>7758</v>
      </c>
      <c r="G67" s="26" t="s">
        <v>7979</v>
      </c>
      <c r="H67" s="26" t="s">
        <v>7817</v>
      </c>
      <c r="I67" s="26" t="s">
        <v>7985</v>
      </c>
      <c r="J67" s="26" t="s">
        <v>7819</v>
      </c>
      <c r="K67" s="26">
        <v>952.0</v>
      </c>
      <c r="L67" s="26" t="s">
        <v>7763</v>
      </c>
      <c r="M67" s="26" t="s">
        <v>7764</v>
      </c>
      <c r="N67" s="26" t="s">
        <v>7784</v>
      </c>
      <c r="O67" s="26" t="s">
        <v>7778</v>
      </c>
      <c r="W67" s="26" t="s">
        <v>7981</v>
      </c>
      <c r="X67" s="28">
        <v>952.0</v>
      </c>
      <c r="Y67" s="28" t="s">
        <v>7769</v>
      </c>
    </row>
    <row r="68" ht="17.25" customHeight="1">
      <c r="B68" s="26" t="s">
        <v>10</v>
      </c>
      <c r="C68" s="26" t="s">
        <v>11</v>
      </c>
      <c r="D68" s="26" t="s">
        <v>7978</v>
      </c>
      <c r="E68" s="95" t="s">
        <v>12</v>
      </c>
      <c r="F68" s="26" t="s">
        <v>701</v>
      </c>
      <c r="G68" s="26" t="s">
        <v>7986</v>
      </c>
      <c r="H68" s="26" t="s">
        <v>7987</v>
      </c>
      <c r="I68" s="26" t="s">
        <v>7988</v>
      </c>
      <c r="J68" s="26" t="s">
        <v>7989</v>
      </c>
      <c r="K68" s="26">
        <v>1206.0</v>
      </c>
      <c r="L68" s="26" t="s">
        <v>7763</v>
      </c>
      <c r="M68" s="26" t="s">
        <v>7764</v>
      </c>
      <c r="N68" s="26" t="s">
        <v>7784</v>
      </c>
      <c r="O68" s="26" t="s">
        <v>7766</v>
      </c>
      <c r="W68" s="26" t="s">
        <v>7990</v>
      </c>
      <c r="X68" s="28">
        <v>1206.0</v>
      </c>
      <c r="Y68" s="28" t="s">
        <v>7769</v>
      </c>
    </row>
    <row r="69" ht="17.25" customHeight="1">
      <c r="B69" s="26" t="s">
        <v>10</v>
      </c>
      <c r="C69" s="26" t="s">
        <v>11</v>
      </c>
      <c r="D69" s="26" t="s">
        <v>7978</v>
      </c>
      <c r="E69" s="95" t="s">
        <v>12</v>
      </c>
      <c r="F69" s="26" t="s">
        <v>701</v>
      </c>
      <c r="G69" s="26" t="s">
        <v>7986</v>
      </c>
      <c r="H69" s="26" t="s">
        <v>7804</v>
      </c>
      <c r="I69" s="26" t="s">
        <v>7991</v>
      </c>
      <c r="J69" s="26" t="s">
        <v>7806</v>
      </c>
      <c r="K69" s="26">
        <v>1448.0</v>
      </c>
      <c r="L69" s="26" t="s">
        <v>7763</v>
      </c>
      <c r="M69" s="26" t="s">
        <v>7764</v>
      </c>
      <c r="N69" s="26" t="s">
        <v>7784</v>
      </c>
      <c r="O69" s="26" t="s">
        <v>7766</v>
      </c>
      <c r="W69" s="26" t="s">
        <v>7990</v>
      </c>
      <c r="X69" s="28">
        <v>1448.0</v>
      </c>
      <c r="Y69" s="28" t="s">
        <v>7769</v>
      </c>
    </row>
    <row r="70" ht="17.25" customHeight="1">
      <c r="B70" s="26" t="s">
        <v>10</v>
      </c>
      <c r="C70" s="26" t="s">
        <v>11</v>
      </c>
      <c r="D70" s="26" t="s">
        <v>7978</v>
      </c>
      <c r="E70" s="95" t="s">
        <v>12</v>
      </c>
      <c r="F70" s="26" t="s">
        <v>701</v>
      </c>
      <c r="G70" s="26" t="s">
        <v>7986</v>
      </c>
      <c r="H70" s="26" t="s">
        <v>7817</v>
      </c>
      <c r="I70" s="26" t="s">
        <v>7992</v>
      </c>
      <c r="J70" s="26" t="s">
        <v>7819</v>
      </c>
      <c r="K70" s="26">
        <v>952.0</v>
      </c>
      <c r="L70" s="26" t="s">
        <v>7763</v>
      </c>
      <c r="M70" s="26" t="s">
        <v>7764</v>
      </c>
      <c r="N70" s="26" t="s">
        <v>7784</v>
      </c>
      <c r="O70" s="26" t="s">
        <v>7778</v>
      </c>
      <c r="W70" s="26" t="s">
        <v>7990</v>
      </c>
      <c r="X70" s="28">
        <v>952.0</v>
      </c>
      <c r="Y70" s="28" t="s">
        <v>7769</v>
      </c>
    </row>
    <row r="71" ht="17.25" customHeight="1">
      <c r="B71" s="26" t="s">
        <v>10</v>
      </c>
      <c r="C71" s="26" t="s">
        <v>11</v>
      </c>
      <c r="D71" s="26" t="s">
        <v>7978</v>
      </c>
      <c r="E71" s="95" t="s">
        <v>12</v>
      </c>
      <c r="F71" s="26" t="s">
        <v>701</v>
      </c>
      <c r="G71" s="26" t="s">
        <v>7993</v>
      </c>
      <c r="H71" s="26" t="s">
        <v>7760</v>
      </c>
      <c r="I71" s="26" t="s">
        <v>7994</v>
      </c>
      <c r="J71" s="26" t="s">
        <v>7762</v>
      </c>
      <c r="K71" s="26">
        <v>1477.0</v>
      </c>
      <c r="L71" s="26" t="s">
        <v>7763</v>
      </c>
      <c r="M71" s="26" t="s">
        <v>7855</v>
      </c>
      <c r="N71" s="26" t="s">
        <v>7765</v>
      </c>
      <c r="O71" s="26" t="s">
        <v>7766</v>
      </c>
      <c r="W71" s="26" t="s">
        <v>7995</v>
      </c>
      <c r="X71" s="28">
        <v>1477.0</v>
      </c>
      <c r="Y71" s="28" t="s">
        <v>7769</v>
      </c>
    </row>
    <row r="72" ht="17.25" customHeight="1">
      <c r="B72" s="26" t="s">
        <v>10</v>
      </c>
      <c r="C72" s="26" t="s">
        <v>11</v>
      </c>
      <c r="D72" s="26" t="s">
        <v>7978</v>
      </c>
      <c r="E72" s="95" t="s">
        <v>12</v>
      </c>
      <c r="F72" s="26" t="s">
        <v>701</v>
      </c>
      <c r="G72" s="26" t="s">
        <v>7993</v>
      </c>
      <c r="H72" s="26" t="s">
        <v>7775</v>
      </c>
      <c r="I72" s="26" t="s">
        <v>7996</v>
      </c>
      <c r="J72" s="26" t="s">
        <v>7777</v>
      </c>
      <c r="K72" s="26">
        <v>986.0</v>
      </c>
      <c r="L72" s="26" t="s">
        <v>7763</v>
      </c>
      <c r="M72" s="26" t="s">
        <v>7855</v>
      </c>
      <c r="N72" s="26" t="s">
        <v>7765</v>
      </c>
      <c r="O72" s="26" t="s">
        <v>7778</v>
      </c>
      <c r="W72" s="26" t="s">
        <v>7995</v>
      </c>
      <c r="X72" s="28">
        <v>986.0</v>
      </c>
      <c r="Y72" s="28" t="s">
        <v>7769</v>
      </c>
    </row>
    <row r="73" ht="17.25" customHeight="1">
      <c r="B73" s="26" t="s">
        <v>10</v>
      </c>
      <c r="C73" s="26" t="s">
        <v>11</v>
      </c>
      <c r="D73" s="26" t="s">
        <v>7978</v>
      </c>
      <c r="E73" s="95" t="s">
        <v>12</v>
      </c>
      <c r="F73" s="26" t="s">
        <v>1305</v>
      </c>
      <c r="G73" s="26" t="s">
        <v>15</v>
      </c>
      <c r="H73" s="26" t="s">
        <v>7953</v>
      </c>
      <c r="I73" s="26" t="s">
        <v>7997</v>
      </c>
      <c r="J73" s="26" t="s">
        <v>7955</v>
      </c>
      <c r="K73" s="26">
        <v>1085.0</v>
      </c>
      <c r="L73" s="26" t="s">
        <v>7763</v>
      </c>
      <c r="M73" s="26" t="s">
        <v>7764</v>
      </c>
      <c r="N73" s="26" t="s">
        <v>7765</v>
      </c>
      <c r="O73" s="26" t="s">
        <v>7778</v>
      </c>
      <c r="W73" s="26" t="s">
        <v>7998</v>
      </c>
      <c r="X73" s="28">
        <v>1085.0</v>
      </c>
      <c r="Y73" s="28" t="s">
        <v>7769</v>
      </c>
    </row>
    <row r="74" ht="17.25" customHeight="1">
      <c r="B74" s="26" t="s">
        <v>10</v>
      </c>
      <c r="C74" s="26" t="s">
        <v>11</v>
      </c>
      <c r="D74" s="26" t="s">
        <v>7978</v>
      </c>
      <c r="E74" s="95" t="s">
        <v>12</v>
      </c>
      <c r="F74" s="26" t="s">
        <v>1305</v>
      </c>
      <c r="G74" s="26" t="s">
        <v>15</v>
      </c>
      <c r="H74" s="26" t="s">
        <v>7999</v>
      </c>
      <c r="I74" s="26" t="s">
        <v>8000</v>
      </c>
      <c r="J74" s="26" t="s">
        <v>8001</v>
      </c>
      <c r="K74" s="26">
        <v>1435.0</v>
      </c>
      <c r="L74" s="26" t="s">
        <v>7763</v>
      </c>
      <c r="M74" s="26" t="s">
        <v>7764</v>
      </c>
      <c r="N74" s="26" t="s">
        <v>7765</v>
      </c>
      <c r="O74" s="26" t="s">
        <v>7766</v>
      </c>
      <c r="W74" s="26" t="s">
        <v>7998</v>
      </c>
      <c r="X74" s="28">
        <v>1435.0</v>
      </c>
      <c r="Y74" s="28" t="s">
        <v>7769</v>
      </c>
    </row>
    <row r="75" ht="17.25" customHeight="1">
      <c r="B75" s="26" t="s">
        <v>10</v>
      </c>
      <c r="C75" s="26" t="s">
        <v>11</v>
      </c>
      <c r="D75" s="26" t="s">
        <v>7978</v>
      </c>
      <c r="E75" s="95" t="s">
        <v>12</v>
      </c>
      <c r="F75" s="26" t="s">
        <v>1305</v>
      </c>
      <c r="G75" s="26" t="s">
        <v>15</v>
      </c>
      <c r="H75" s="26" t="s">
        <v>8002</v>
      </c>
      <c r="I75" s="26" t="s">
        <v>8003</v>
      </c>
      <c r="J75" s="26" t="s">
        <v>8004</v>
      </c>
      <c r="K75" s="26">
        <v>1820.0</v>
      </c>
      <c r="L75" s="26" t="s">
        <v>7763</v>
      </c>
      <c r="M75" s="26" t="s">
        <v>7764</v>
      </c>
      <c r="N75" s="26" t="s">
        <v>7765</v>
      </c>
      <c r="O75" s="26" t="s">
        <v>7773</v>
      </c>
      <c r="W75" s="26" t="s">
        <v>7998</v>
      </c>
      <c r="X75" s="28">
        <v>1820.0</v>
      </c>
      <c r="Y75" s="28" t="s">
        <v>7769</v>
      </c>
    </row>
    <row r="76" ht="17.25" customHeight="1">
      <c r="B76" s="26" t="s">
        <v>10</v>
      </c>
      <c r="C76" s="26" t="s">
        <v>11</v>
      </c>
      <c r="D76" s="26" t="s">
        <v>7978</v>
      </c>
      <c r="E76" s="95" t="s">
        <v>12</v>
      </c>
      <c r="F76" s="26" t="s">
        <v>1305</v>
      </c>
      <c r="G76" s="26" t="s">
        <v>15</v>
      </c>
      <c r="H76" s="26" t="s">
        <v>8005</v>
      </c>
      <c r="I76" s="26" t="s">
        <v>8006</v>
      </c>
      <c r="J76" s="26" t="s">
        <v>8007</v>
      </c>
      <c r="K76" s="26">
        <v>736.0</v>
      </c>
      <c r="L76" s="26" t="s">
        <v>7763</v>
      </c>
      <c r="M76" s="26" t="s">
        <v>7764</v>
      </c>
      <c r="N76" s="26" t="s">
        <v>7765</v>
      </c>
      <c r="O76" s="26" t="s">
        <v>7794</v>
      </c>
      <c r="W76" s="26" t="s">
        <v>7998</v>
      </c>
      <c r="X76" s="28">
        <v>736.0</v>
      </c>
      <c r="Y76" s="28" t="s">
        <v>7769</v>
      </c>
    </row>
    <row r="77" ht="17.25" customHeight="1">
      <c r="B77" s="26" t="s">
        <v>10</v>
      </c>
      <c r="C77" s="26" t="s">
        <v>11</v>
      </c>
      <c r="D77" s="26" t="s">
        <v>7978</v>
      </c>
      <c r="E77" s="95" t="s">
        <v>12</v>
      </c>
      <c r="F77" s="26" t="s">
        <v>7826</v>
      </c>
      <c r="G77" s="26" t="s">
        <v>8008</v>
      </c>
      <c r="H77" s="26" t="s">
        <v>7987</v>
      </c>
      <c r="I77" s="26" t="s">
        <v>8009</v>
      </c>
      <c r="J77" s="26" t="s">
        <v>7989</v>
      </c>
      <c r="K77" s="26">
        <v>1206.0</v>
      </c>
      <c r="L77" s="26" t="s">
        <v>7763</v>
      </c>
      <c r="M77" s="26" t="s">
        <v>7764</v>
      </c>
      <c r="N77" s="26" t="s">
        <v>7784</v>
      </c>
      <c r="O77" s="26" t="s">
        <v>7766</v>
      </c>
      <c r="W77" s="26" t="s">
        <v>8010</v>
      </c>
      <c r="X77" s="28">
        <v>1206.0</v>
      </c>
      <c r="Y77" s="28" t="s">
        <v>7769</v>
      </c>
    </row>
    <row r="78" ht="17.25" customHeight="1">
      <c r="B78" s="26" t="s">
        <v>10</v>
      </c>
      <c r="C78" s="26" t="s">
        <v>11</v>
      </c>
      <c r="D78" s="26" t="s">
        <v>7978</v>
      </c>
      <c r="E78" s="95" t="s">
        <v>12</v>
      </c>
      <c r="F78" s="26" t="s">
        <v>7826</v>
      </c>
      <c r="G78" s="26" t="s">
        <v>8008</v>
      </c>
      <c r="H78" s="26" t="s">
        <v>7804</v>
      </c>
      <c r="I78" s="26" t="s">
        <v>8011</v>
      </c>
      <c r="J78" s="26" t="s">
        <v>7806</v>
      </c>
      <c r="K78" s="26">
        <v>1448.0</v>
      </c>
      <c r="L78" s="26" t="s">
        <v>7763</v>
      </c>
      <c r="M78" s="26" t="s">
        <v>7764</v>
      </c>
      <c r="N78" s="26" t="s">
        <v>7784</v>
      </c>
      <c r="O78" s="26" t="s">
        <v>7766</v>
      </c>
      <c r="W78" s="26" t="s">
        <v>8010</v>
      </c>
      <c r="X78" s="28">
        <v>1448.0</v>
      </c>
      <c r="Y78" s="28" t="s">
        <v>7769</v>
      </c>
    </row>
    <row r="79" ht="17.25" customHeight="1">
      <c r="B79" s="26" t="s">
        <v>10</v>
      </c>
      <c r="C79" s="26" t="s">
        <v>11</v>
      </c>
      <c r="D79" s="26" t="s">
        <v>7978</v>
      </c>
      <c r="E79" s="95" t="s">
        <v>12</v>
      </c>
      <c r="F79" s="26" t="s">
        <v>7826</v>
      </c>
      <c r="G79" s="26" t="s">
        <v>8008</v>
      </c>
      <c r="H79" s="26" t="s">
        <v>7808</v>
      </c>
      <c r="I79" s="26" t="s">
        <v>8012</v>
      </c>
      <c r="J79" s="26" t="s">
        <v>7810</v>
      </c>
      <c r="K79" s="26">
        <v>1904.0</v>
      </c>
      <c r="L79" s="26" t="s">
        <v>7763</v>
      </c>
      <c r="M79" s="26" t="s">
        <v>7764</v>
      </c>
      <c r="N79" s="26" t="s">
        <v>7784</v>
      </c>
      <c r="O79" s="26" t="s">
        <v>7773</v>
      </c>
      <c r="W79" s="26" t="s">
        <v>8010</v>
      </c>
      <c r="X79" s="28">
        <v>1904.0</v>
      </c>
      <c r="Y79" s="28" t="s">
        <v>7769</v>
      </c>
    </row>
    <row r="80" ht="17.25" customHeight="1">
      <c r="B80" s="26" t="s">
        <v>10</v>
      </c>
      <c r="C80" s="26" t="s">
        <v>11</v>
      </c>
      <c r="D80" s="26" t="s">
        <v>7978</v>
      </c>
      <c r="E80" s="95" t="s">
        <v>12</v>
      </c>
      <c r="F80" s="26" t="s">
        <v>7826</v>
      </c>
      <c r="G80" s="26" t="s">
        <v>8013</v>
      </c>
      <c r="H80" s="26" t="s">
        <v>7760</v>
      </c>
      <c r="I80" s="26" t="s">
        <v>8014</v>
      </c>
      <c r="J80" s="26" t="s">
        <v>7762</v>
      </c>
      <c r="K80" s="26">
        <v>1477.0</v>
      </c>
      <c r="L80" s="26" t="s">
        <v>7763</v>
      </c>
      <c r="M80" s="26" t="s">
        <v>7764</v>
      </c>
      <c r="N80" s="26" t="s">
        <v>7765</v>
      </c>
      <c r="O80" s="26" t="s">
        <v>7766</v>
      </c>
      <c r="W80" s="26" t="s">
        <v>8015</v>
      </c>
      <c r="X80" s="28">
        <v>1477.0</v>
      </c>
      <c r="Y80" s="28" t="s">
        <v>7769</v>
      </c>
    </row>
    <row r="81" ht="17.25" customHeight="1">
      <c r="B81" s="26" t="s">
        <v>10</v>
      </c>
      <c r="C81" s="26" t="s">
        <v>11</v>
      </c>
      <c r="D81" s="26" t="s">
        <v>7978</v>
      </c>
      <c r="E81" s="95" t="s">
        <v>12</v>
      </c>
      <c r="F81" s="26" t="s">
        <v>7826</v>
      </c>
      <c r="G81" s="26" t="s">
        <v>8013</v>
      </c>
      <c r="H81" s="26" t="s">
        <v>7770</v>
      </c>
      <c r="I81" s="26" t="s">
        <v>8016</v>
      </c>
      <c r="J81" s="26" t="s">
        <v>7772</v>
      </c>
      <c r="K81" s="26">
        <v>1970.0</v>
      </c>
      <c r="L81" s="26" t="s">
        <v>7763</v>
      </c>
      <c r="M81" s="26" t="s">
        <v>7764</v>
      </c>
      <c r="N81" s="26" t="s">
        <v>7765</v>
      </c>
      <c r="O81" s="26" t="s">
        <v>7773</v>
      </c>
      <c r="W81" s="26" t="s">
        <v>8015</v>
      </c>
      <c r="X81" s="28">
        <v>1970.0</v>
      </c>
      <c r="Y81" s="28" t="s">
        <v>7769</v>
      </c>
    </row>
    <row r="82" ht="17.25" customHeight="1">
      <c r="B82" s="26" t="s">
        <v>10</v>
      </c>
      <c r="C82" s="26" t="s">
        <v>11</v>
      </c>
      <c r="D82" s="26" t="s">
        <v>7978</v>
      </c>
      <c r="E82" s="95" t="s">
        <v>12</v>
      </c>
      <c r="F82" s="26" t="s">
        <v>7826</v>
      </c>
      <c r="G82" s="26" t="s">
        <v>8013</v>
      </c>
      <c r="H82" s="26" t="s">
        <v>7775</v>
      </c>
      <c r="I82" s="26" t="s">
        <v>8017</v>
      </c>
      <c r="J82" s="26" t="s">
        <v>7777</v>
      </c>
      <c r="K82" s="26">
        <v>986.0</v>
      </c>
      <c r="L82" s="26" t="s">
        <v>7763</v>
      </c>
      <c r="M82" s="26" t="s">
        <v>7764</v>
      </c>
      <c r="N82" s="26" t="s">
        <v>7765</v>
      </c>
      <c r="O82" s="26" t="s">
        <v>7778</v>
      </c>
      <c r="W82" s="26" t="s">
        <v>8015</v>
      </c>
      <c r="X82" s="28">
        <v>986.0</v>
      </c>
      <c r="Y82" s="28" t="s">
        <v>7769</v>
      </c>
    </row>
    <row r="83" ht="17.25" customHeight="1">
      <c r="B83" s="26" t="s">
        <v>10</v>
      </c>
      <c r="C83" s="26" t="s">
        <v>11</v>
      </c>
      <c r="D83" s="26" t="s">
        <v>7978</v>
      </c>
      <c r="E83" s="26" t="s">
        <v>20</v>
      </c>
      <c r="F83" s="26" t="s">
        <v>7758</v>
      </c>
      <c r="G83" s="26" t="s">
        <v>7979</v>
      </c>
      <c r="H83" s="26" t="s">
        <v>7972</v>
      </c>
      <c r="I83" s="26" t="s">
        <v>8018</v>
      </c>
      <c r="J83" s="26" t="s">
        <v>7974</v>
      </c>
      <c r="K83" s="26">
        <v>362.0</v>
      </c>
      <c r="L83" s="26" t="s">
        <v>7763</v>
      </c>
      <c r="M83" s="26" t="s">
        <v>7764</v>
      </c>
      <c r="N83" s="26" t="s">
        <v>7784</v>
      </c>
      <c r="O83" s="26" t="s">
        <v>7863</v>
      </c>
      <c r="W83" s="26" t="s">
        <v>7981</v>
      </c>
      <c r="X83" s="28">
        <v>362.0</v>
      </c>
      <c r="Y83" s="28" t="s">
        <v>7769</v>
      </c>
    </row>
    <row r="84" ht="17.25" customHeight="1">
      <c r="B84" s="26" t="s">
        <v>10</v>
      </c>
      <c r="C84" s="26" t="s">
        <v>11</v>
      </c>
      <c r="D84" s="26" t="s">
        <v>7978</v>
      </c>
      <c r="E84" s="26" t="s">
        <v>20</v>
      </c>
      <c r="F84" s="26" t="s">
        <v>7758</v>
      </c>
      <c r="G84" s="26" t="s">
        <v>7979</v>
      </c>
      <c r="H84" s="26" t="s">
        <v>8019</v>
      </c>
      <c r="I84" s="26" t="s">
        <v>8020</v>
      </c>
      <c r="J84" s="26" t="s">
        <v>8021</v>
      </c>
      <c r="K84" s="26">
        <v>660.0</v>
      </c>
      <c r="L84" s="26" t="s">
        <v>7763</v>
      </c>
      <c r="M84" s="26" t="s">
        <v>7764</v>
      </c>
      <c r="N84" s="26" t="s">
        <v>7784</v>
      </c>
      <c r="O84" s="26" t="s">
        <v>7794</v>
      </c>
      <c r="W84" s="26" t="s">
        <v>7981</v>
      </c>
      <c r="X84" s="28">
        <v>660.0</v>
      </c>
      <c r="Y84" s="28" t="s">
        <v>7769</v>
      </c>
    </row>
    <row r="85" ht="17.25" customHeight="1">
      <c r="B85" s="26" t="s">
        <v>10</v>
      </c>
      <c r="C85" s="26" t="s">
        <v>11</v>
      </c>
      <c r="D85" s="26" t="s">
        <v>7978</v>
      </c>
      <c r="E85" s="26" t="s">
        <v>20</v>
      </c>
      <c r="F85" s="26" t="s">
        <v>701</v>
      </c>
      <c r="G85" s="26" t="s">
        <v>7986</v>
      </c>
      <c r="H85" s="26" t="s">
        <v>7972</v>
      </c>
      <c r="I85" s="26" t="s">
        <v>8022</v>
      </c>
      <c r="J85" s="26" t="s">
        <v>7974</v>
      </c>
      <c r="K85" s="26">
        <v>362.0</v>
      </c>
      <c r="L85" s="26" t="s">
        <v>7763</v>
      </c>
      <c r="M85" s="26" t="s">
        <v>7764</v>
      </c>
      <c r="N85" s="26" t="s">
        <v>7784</v>
      </c>
      <c r="O85" s="26" t="s">
        <v>7863</v>
      </c>
      <c r="W85" s="26" t="s">
        <v>7990</v>
      </c>
      <c r="X85" s="28">
        <v>362.0</v>
      </c>
      <c r="Y85" s="28" t="s">
        <v>7769</v>
      </c>
    </row>
    <row r="86" ht="17.25" customHeight="1">
      <c r="B86" s="26" t="s">
        <v>10</v>
      </c>
      <c r="C86" s="26" t="s">
        <v>11</v>
      </c>
      <c r="D86" s="26" t="s">
        <v>7978</v>
      </c>
      <c r="E86" s="26" t="s">
        <v>20</v>
      </c>
      <c r="F86" s="26" t="s">
        <v>7826</v>
      </c>
      <c r="G86" s="26" t="s">
        <v>8013</v>
      </c>
      <c r="H86" s="26" t="s">
        <v>8023</v>
      </c>
      <c r="I86" s="26" t="s">
        <v>8024</v>
      </c>
      <c r="J86" s="26" t="s">
        <v>8025</v>
      </c>
      <c r="K86" s="26">
        <v>493.0</v>
      </c>
      <c r="L86" s="26" t="s">
        <v>7763</v>
      </c>
      <c r="M86" s="26" t="s">
        <v>7764</v>
      </c>
      <c r="N86" s="26" t="s">
        <v>7765</v>
      </c>
      <c r="O86" s="26" t="s">
        <v>7863</v>
      </c>
      <c r="W86" s="26" t="s">
        <v>8015</v>
      </c>
      <c r="X86" s="28">
        <v>493.0</v>
      </c>
      <c r="Y86" s="28" t="s">
        <v>7769</v>
      </c>
    </row>
    <row r="87" ht="17.25" customHeight="1">
      <c r="B87" s="26" t="s">
        <v>10</v>
      </c>
      <c r="C87" s="26" t="s">
        <v>11</v>
      </c>
      <c r="D87" s="26" t="s">
        <v>8026</v>
      </c>
      <c r="E87" s="95" t="s">
        <v>12</v>
      </c>
      <c r="F87" s="26" t="s">
        <v>880</v>
      </c>
      <c r="G87" s="26" t="s">
        <v>8027</v>
      </c>
      <c r="H87" s="26" t="s">
        <v>8028</v>
      </c>
      <c r="I87" s="26" t="s">
        <v>8029</v>
      </c>
      <c r="J87" s="26" t="s">
        <v>8030</v>
      </c>
      <c r="K87" s="26" t="s">
        <v>8031</v>
      </c>
      <c r="L87" s="26" t="s">
        <v>7763</v>
      </c>
      <c r="M87" s="26" t="s">
        <v>7855</v>
      </c>
      <c r="N87" s="26" t="s">
        <v>7784</v>
      </c>
      <c r="W87" s="26" t="s">
        <v>8032</v>
      </c>
      <c r="X87" s="28" t="s">
        <v>8031</v>
      </c>
      <c r="Y87" s="28" t="s">
        <v>7769</v>
      </c>
    </row>
    <row r="88" ht="17.25" customHeight="1">
      <c r="B88" s="26" t="s">
        <v>10</v>
      </c>
      <c r="C88" s="26" t="s">
        <v>11</v>
      </c>
      <c r="D88" s="26" t="s">
        <v>8026</v>
      </c>
      <c r="E88" s="95" t="s">
        <v>12</v>
      </c>
      <c r="F88" s="26" t="s">
        <v>880</v>
      </c>
      <c r="G88" s="26" t="s">
        <v>8033</v>
      </c>
      <c r="H88" s="26" t="s">
        <v>8028</v>
      </c>
      <c r="I88" s="26" t="s">
        <v>8034</v>
      </c>
      <c r="J88" s="26" t="s">
        <v>8030</v>
      </c>
      <c r="K88" s="26" t="s">
        <v>8031</v>
      </c>
      <c r="L88" s="26" t="s">
        <v>7763</v>
      </c>
      <c r="M88" s="26" t="s">
        <v>7855</v>
      </c>
      <c r="N88" s="26" t="s">
        <v>7784</v>
      </c>
      <c r="W88" s="26" t="s">
        <v>8035</v>
      </c>
      <c r="X88" s="28" t="s">
        <v>8031</v>
      </c>
      <c r="Y88" s="28" t="s">
        <v>7769</v>
      </c>
    </row>
    <row r="89" ht="17.25" customHeight="1">
      <c r="B89" s="26" t="s">
        <v>10</v>
      </c>
      <c r="C89" s="26" t="s">
        <v>11</v>
      </c>
      <c r="D89" s="26" t="s">
        <v>8026</v>
      </c>
      <c r="E89" s="95" t="s">
        <v>12</v>
      </c>
      <c r="F89" s="26" t="s">
        <v>880</v>
      </c>
      <c r="G89" s="26" t="s">
        <v>8033</v>
      </c>
      <c r="H89" s="26" t="s">
        <v>8036</v>
      </c>
      <c r="I89" s="26" t="s">
        <v>8037</v>
      </c>
      <c r="J89" s="26" t="s">
        <v>8038</v>
      </c>
      <c r="K89" s="26" t="s">
        <v>8039</v>
      </c>
      <c r="L89" s="26" t="s">
        <v>7763</v>
      </c>
      <c r="M89" s="26" t="s">
        <v>7855</v>
      </c>
      <c r="N89" s="26" t="s">
        <v>7784</v>
      </c>
      <c r="W89" s="26" t="s">
        <v>8035</v>
      </c>
      <c r="X89" s="28" t="s">
        <v>8039</v>
      </c>
      <c r="Y89" s="28" t="s">
        <v>7769</v>
      </c>
    </row>
    <row r="90" ht="17.25" customHeight="1">
      <c r="B90" s="26" t="s">
        <v>10</v>
      </c>
      <c r="C90" s="26" t="s">
        <v>11</v>
      </c>
      <c r="D90" s="26" t="s">
        <v>8026</v>
      </c>
      <c r="E90" s="95" t="s">
        <v>12</v>
      </c>
      <c r="F90" s="26" t="s">
        <v>880</v>
      </c>
      <c r="G90" s="26" t="s">
        <v>8040</v>
      </c>
      <c r="H90" s="26" t="s">
        <v>8036</v>
      </c>
      <c r="I90" s="26" t="s">
        <v>8041</v>
      </c>
      <c r="J90" s="26" t="s">
        <v>8038</v>
      </c>
      <c r="K90" s="26" t="s">
        <v>8039</v>
      </c>
      <c r="L90" s="26" t="s">
        <v>7763</v>
      </c>
      <c r="M90" s="26" t="s">
        <v>7855</v>
      </c>
      <c r="N90" s="26" t="s">
        <v>7765</v>
      </c>
      <c r="W90" s="26" t="s">
        <v>8042</v>
      </c>
      <c r="X90" s="28" t="s">
        <v>8039</v>
      </c>
      <c r="Y90" s="28" t="s">
        <v>7769</v>
      </c>
    </row>
    <row r="91" ht="17.25" hidden="1" customHeight="1">
      <c r="B91" s="26" t="s">
        <v>64</v>
      </c>
      <c r="C91" s="26" t="s">
        <v>65</v>
      </c>
      <c r="D91" s="26" t="s">
        <v>8043</v>
      </c>
      <c r="E91" s="26" t="s">
        <v>20</v>
      </c>
      <c r="F91" s="26" t="s">
        <v>1305</v>
      </c>
      <c r="G91" s="26" t="s">
        <v>66</v>
      </c>
      <c r="H91" s="26" t="s">
        <v>7811</v>
      </c>
      <c r="I91" s="26" t="s">
        <v>8044</v>
      </c>
      <c r="J91" s="26" t="s">
        <v>7813</v>
      </c>
      <c r="K91" s="26"/>
      <c r="L91" s="26" t="s">
        <v>8045</v>
      </c>
      <c r="M91" s="26" t="e">
        <v>#N/A</v>
      </c>
      <c r="N91" s="26" t="e">
        <v>#N/A</v>
      </c>
      <c r="W91" s="26" t="s">
        <v>8046</v>
      </c>
      <c r="X91" s="28">
        <v>500.0</v>
      </c>
      <c r="Y91" s="28" t="s">
        <v>7769</v>
      </c>
    </row>
    <row r="92" ht="17.25" hidden="1" customHeight="1">
      <c r="B92" s="26" t="s">
        <v>64</v>
      </c>
      <c r="C92" s="26" t="s">
        <v>65</v>
      </c>
      <c r="D92" s="26" t="s">
        <v>8047</v>
      </c>
      <c r="E92" s="26" t="s">
        <v>12</v>
      </c>
      <c r="F92" s="26" t="s">
        <v>1305</v>
      </c>
      <c r="G92" s="26" t="s">
        <v>66</v>
      </c>
      <c r="H92" s="26" t="s">
        <v>7897</v>
      </c>
      <c r="I92" s="26" t="s">
        <v>8048</v>
      </c>
      <c r="J92" s="26" t="s">
        <v>7899</v>
      </c>
      <c r="K92" s="26"/>
      <c r="L92" s="26" t="s">
        <v>8045</v>
      </c>
      <c r="M92" s="26" t="e">
        <v>#N/A</v>
      </c>
      <c r="N92" s="26" t="e">
        <v>#N/A</v>
      </c>
      <c r="W92" s="26" t="s">
        <v>8046</v>
      </c>
      <c r="X92" s="28">
        <v>1000.0</v>
      </c>
      <c r="Y92" s="28" t="s">
        <v>7769</v>
      </c>
    </row>
    <row r="93" ht="17.25" hidden="1" customHeight="1">
      <c r="B93" s="26" t="s">
        <v>64</v>
      </c>
      <c r="C93" s="26" t="s">
        <v>65</v>
      </c>
      <c r="D93" s="26" t="s">
        <v>8047</v>
      </c>
      <c r="E93" s="26" t="s">
        <v>20</v>
      </c>
      <c r="F93" s="26" t="s">
        <v>8049</v>
      </c>
      <c r="G93" s="26" t="s">
        <v>8050</v>
      </c>
      <c r="H93" s="26" t="s">
        <v>7897</v>
      </c>
      <c r="I93" s="26" t="s">
        <v>8051</v>
      </c>
      <c r="J93" s="26" t="s">
        <v>7899</v>
      </c>
      <c r="K93" s="26"/>
      <c r="L93" s="26" t="s">
        <v>8045</v>
      </c>
      <c r="M93" s="26" t="e">
        <v>#N/A</v>
      </c>
      <c r="N93" s="26" t="e">
        <v>#N/A</v>
      </c>
      <c r="W93" s="26" t="s">
        <v>8052</v>
      </c>
      <c r="X93" s="28">
        <v>1000.0</v>
      </c>
      <c r="Y93" s="28" t="s">
        <v>7769</v>
      </c>
    </row>
    <row r="94" ht="17.25" hidden="1" customHeight="1">
      <c r="B94" s="26" t="s">
        <v>64</v>
      </c>
      <c r="C94" s="26" t="s">
        <v>65</v>
      </c>
      <c r="D94" s="26" t="s">
        <v>8053</v>
      </c>
      <c r="E94" s="26" t="s">
        <v>20</v>
      </c>
      <c r="F94" s="26" t="s">
        <v>8049</v>
      </c>
      <c r="G94" s="26" t="s">
        <v>8054</v>
      </c>
      <c r="H94" s="26" t="s">
        <v>7897</v>
      </c>
      <c r="I94" s="26" t="s">
        <v>8055</v>
      </c>
      <c r="J94" s="26" t="s">
        <v>7899</v>
      </c>
      <c r="K94" s="26"/>
      <c r="L94" s="26" t="s">
        <v>8045</v>
      </c>
      <c r="M94" s="26" t="e">
        <v>#N/A</v>
      </c>
      <c r="N94" s="26" t="s">
        <v>7784</v>
      </c>
      <c r="W94" s="26" t="s">
        <v>8056</v>
      </c>
      <c r="X94" s="28">
        <v>1000.0</v>
      </c>
      <c r="Y94" s="28" t="s">
        <v>7769</v>
      </c>
    </row>
    <row r="95" ht="17.25" hidden="1" customHeight="1">
      <c r="B95" s="26" t="s">
        <v>64</v>
      </c>
      <c r="C95" s="26" t="s">
        <v>65</v>
      </c>
      <c r="D95" s="26" t="s">
        <v>8053</v>
      </c>
      <c r="E95" s="26" t="s">
        <v>20</v>
      </c>
      <c r="F95" s="26" t="s">
        <v>8049</v>
      </c>
      <c r="G95" s="26" t="s">
        <v>8054</v>
      </c>
      <c r="H95" s="26" t="s">
        <v>7811</v>
      </c>
      <c r="I95" s="26" t="s">
        <v>8057</v>
      </c>
      <c r="J95" s="26" t="s">
        <v>7813</v>
      </c>
      <c r="K95" s="26"/>
      <c r="L95" s="26" t="s">
        <v>8045</v>
      </c>
      <c r="M95" s="26" t="e">
        <v>#N/A</v>
      </c>
      <c r="N95" s="26" t="s">
        <v>7784</v>
      </c>
      <c r="W95" s="26" t="s">
        <v>8056</v>
      </c>
      <c r="X95" s="28">
        <v>500.0</v>
      </c>
      <c r="Y95" s="28" t="s">
        <v>7769</v>
      </c>
    </row>
    <row r="96" ht="17.25" hidden="1" customHeight="1">
      <c r="B96" s="26" t="s">
        <v>64</v>
      </c>
      <c r="C96" s="26" t="s">
        <v>65</v>
      </c>
      <c r="D96" s="26" t="s">
        <v>8058</v>
      </c>
      <c r="E96" s="26" t="s">
        <v>12</v>
      </c>
      <c r="F96" s="26" t="s">
        <v>7826</v>
      </c>
      <c r="G96" s="26" t="s">
        <v>8059</v>
      </c>
      <c r="H96" s="26" t="s">
        <v>7897</v>
      </c>
      <c r="I96" s="26" t="s">
        <v>8060</v>
      </c>
      <c r="J96" s="26" t="s">
        <v>7899</v>
      </c>
      <c r="K96" s="26"/>
      <c r="L96" s="26" t="s">
        <v>8045</v>
      </c>
      <c r="M96" s="26" t="e">
        <v>#N/A</v>
      </c>
      <c r="N96" s="26" t="s">
        <v>7784</v>
      </c>
      <c r="W96" s="26" t="s">
        <v>8061</v>
      </c>
      <c r="X96" s="28">
        <v>1000.0</v>
      </c>
      <c r="Y96" s="28" t="s">
        <v>7769</v>
      </c>
    </row>
    <row r="97" ht="17.25" hidden="1" customHeight="1">
      <c r="B97" s="26" t="s">
        <v>64</v>
      </c>
      <c r="C97" s="26" t="s">
        <v>65</v>
      </c>
      <c r="D97" s="26" t="s">
        <v>8062</v>
      </c>
      <c r="E97" s="26" t="s">
        <v>12</v>
      </c>
      <c r="F97" s="26" t="s">
        <v>7826</v>
      </c>
      <c r="G97" s="26" t="s">
        <v>8063</v>
      </c>
      <c r="H97" s="26" t="s">
        <v>7897</v>
      </c>
      <c r="I97" s="26" t="s">
        <v>8064</v>
      </c>
      <c r="J97" s="26" t="s">
        <v>7899</v>
      </c>
      <c r="K97" s="26"/>
      <c r="L97" s="26" t="s">
        <v>8045</v>
      </c>
      <c r="M97" s="26" t="e">
        <v>#N/A</v>
      </c>
      <c r="N97" s="26" t="e">
        <v>#N/A</v>
      </c>
      <c r="W97" s="26" t="s">
        <v>8065</v>
      </c>
      <c r="X97" s="28">
        <v>1000.0</v>
      </c>
      <c r="Y97" s="28" t="s">
        <v>7769</v>
      </c>
    </row>
    <row r="98" ht="17.25" hidden="1" customHeight="1">
      <c r="B98" s="26" t="s">
        <v>64</v>
      </c>
      <c r="C98" s="26" t="s">
        <v>65</v>
      </c>
      <c r="D98" s="26" t="s">
        <v>8062</v>
      </c>
      <c r="E98" s="26" t="s">
        <v>20</v>
      </c>
      <c r="F98" s="26" t="s">
        <v>7869</v>
      </c>
      <c r="G98" s="26" t="s">
        <v>8066</v>
      </c>
      <c r="H98" s="26" t="s">
        <v>7897</v>
      </c>
      <c r="I98" s="26" t="s">
        <v>8067</v>
      </c>
      <c r="J98" s="26" t="s">
        <v>7899</v>
      </c>
      <c r="K98" s="26"/>
      <c r="L98" s="26" t="s">
        <v>8045</v>
      </c>
      <c r="M98" s="26" t="e">
        <v>#N/A</v>
      </c>
      <c r="N98" s="26" t="e">
        <v>#N/A</v>
      </c>
      <c r="W98" s="26" t="s">
        <v>8068</v>
      </c>
      <c r="X98" s="28">
        <v>1000.0</v>
      </c>
      <c r="Y98" s="28" t="s">
        <v>7769</v>
      </c>
    </row>
    <row r="99" ht="17.25" hidden="1" customHeight="1">
      <c r="B99" s="26" t="s">
        <v>64</v>
      </c>
      <c r="C99" s="26" t="s">
        <v>65</v>
      </c>
      <c r="D99" s="26" t="s">
        <v>8062</v>
      </c>
      <c r="E99" s="26" t="s">
        <v>20</v>
      </c>
      <c r="F99" s="26" t="s">
        <v>7869</v>
      </c>
      <c r="G99" s="26" t="s">
        <v>8069</v>
      </c>
      <c r="H99" s="26" t="s">
        <v>8070</v>
      </c>
      <c r="I99" s="26" t="s">
        <v>8071</v>
      </c>
      <c r="J99" s="26" t="s">
        <v>8072</v>
      </c>
      <c r="K99" s="26"/>
      <c r="L99" s="26" t="s">
        <v>8045</v>
      </c>
      <c r="M99" s="26" t="e">
        <v>#N/A</v>
      </c>
      <c r="N99" s="26" t="s">
        <v>7784</v>
      </c>
      <c r="W99" s="26" t="s">
        <v>8073</v>
      </c>
      <c r="X99" s="28">
        <v>1100.0</v>
      </c>
      <c r="Y99" s="28" t="s">
        <v>7769</v>
      </c>
    </row>
    <row r="100" ht="17.25" hidden="1" customHeight="1">
      <c r="B100" s="26" t="s">
        <v>64</v>
      </c>
      <c r="C100" s="26" t="s">
        <v>65</v>
      </c>
      <c r="D100" s="26" t="s">
        <v>8074</v>
      </c>
      <c r="E100" s="26" t="s">
        <v>20</v>
      </c>
      <c r="F100" s="26" t="s">
        <v>880</v>
      </c>
      <c r="G100" s="26" t="s">
        <v>8075</v>
      </c>
      <c r="H100" s="26" t="s">
        <v>8076</v>
      </c>
      <c r="I100" s="26" t="s">
        <v>8077</v>
      </c>
      <c r="J100" s="26"/>
      <c r="K100" s="26"/>
      <c r="L100" s="26" t="s">
        <v>8078</v>
      </c>
      <c r="M100" s="26" t="e">
        <v>#N/A</v>
      </c>
      <c r="N100" s="26" t="e">
        <v>#N/A</v>
      </c>
      <c r="W100" s="26" t="s">
        <v>8077</v>
      </c>
    </row>
    <row r="101" ht="17.25" hidden="1" customHeight="1">
      <c r="B101" s="26" t="s">
        <v>64</v>
      </c>
      <c r="C101" s="26" t="s">
        <v>65</v>
      </c>
      <c r="D101" s="26" t="s">
        <v>8079</v>
      </c>
      <c r="E101" s="26" t="s">
        <v>12</v>
      </c>
      <c r="F101" s="26" t="s">
        <v>8080</v>
      </c>
      <c r="G101" s="26" t="s">
        <v>8081</v>
      </c>
      <c r="H101" s="26" t="s">
        <v>8070</v>
      </c>
      <c r="I101" s="26" t="s">
        <v>8082</v>
      </c>
      <c r="J101" s="26" t="s">
        <v>8072</v>
      </c>
      <c r="K101" s="26"/>
      <c r="L101" s="26" t="s">
        <v>8045</v>
      </c>
      <c r="M101" s="26" t="e">
        <v>#N/A</v>
      </c>
      <c r="N101" s="26" t="s">
        <v>7784</v>
      </c>
      <c r="W101" s="26" t="s">
        <v>8083</v>
      </c>
      <c r="X101" s="28">
        <v>1100.0</v>
      </c>
      <c r="Y101" s="28" t="s">
        <v>7769</v>
      </c>
    </row>
    <row r="102" ht="17.25" hidden="1" customHeight="1">
      <c r="B102" s="26" t="s">
        <v>64</v>
      </c>
      <c r="C102" s="26" t="s">
        <v>65</v>
      </c>
      <c r="D102" s="26" t="s">
        <v>8079</v>
      </c>
      <c r="E102" s="26" t="s">
        <v>20</v>
      </c>
      <c r="F102" s="26" t="s">
        <v>8080</v>
      </c>
      <c r="G102" s="26" t="s">
        <v>8081</v>
      </c>
      <c r="H102" s="26" t="s">
        <v>8084</v>
      </c>
      <c r="I102" s="26" t="s">
        <v>8085</v>
      </c>
      <c r="J102" s="26" t="s">
        <v>8086</v>
      </c>
      <c r="K102" s="26"/>
      <c r="L102" s="26" t="s">
        <v>8045</v>
      </c>
      <c r="M102" s="26" t="e">
        <v>#N/A</v>
      </c>
      <c r="N102" s="26" t="s">
        <v>7784</v>
      </c>
      <c r="W102" s="26" t="s">
        <v>8083</v>
      </c>
      <c r="X102" s="28">
        <v>550.0</v>
      </c>
      <c r="Y102" s="28" t="s">
        <v>7769</v>
      </c>
    </row>
    <row r="103" ht="17.25" hidden="1" customHeight="1">
      <c r="B103" s="26" t="s">
        <v>64</v>
      </c>
      <c r="C103" s="26" t="s">
        <v>65</v>
      </c>
      <c r="D103" s="26" t="s">
        <v>8087</v>
      </c>
      <c r="E103" s="26" t="s">
        <v>20</v>
      </c>
      <c r="F103" s="26" t="s">
        <v>876</v>
      </c>
      <c r="G103" s="26" t="s">
        <v>8088</v>
      </c>
      <c r="H103" s="26" t="s">
        <v>7811</v>
      </c>
      <c r="I103" s="26" t="s">
        <v>8089</v>
      </c>
      <c r="J103" s="26" t="s">
        <v>7813</v>
      </c>
      <c r="K103" s="26"/>
      <c r="L103" s="26" t="s">
        <v>8090</v>
      </c>
      <c r="M103" s="26" t="e">
        <v>#N/A</v>
      </c>
      <c r="N103" s="26" t="e">
        <v>#N/A</v>
      </c>
      <c r="W103" s="26" t="s">
        <v>8091</v>
      </c>
      <c r="X103" s="28">
        <v>500.0</v>
      </c>
      <c r="Y103" s="28" t="s">
        <v>7769</v>
      </c>
    </row>
    <row r="104" ht="17.25" hidden="1" customHeight="1">
      <c r="B104" s="26" t="s">
        <v>64</v>
      </c>
      <c r="C104" s="26" t="s">
        <v>65</v>
      </c>
      <c r="D104" s="26" t="s">
        <v>8092</v>
      </c>
      <c r="E104" s="26" t="s">
        <v>20</v>
      </c>
      <c r="F104" s="26" t="s">
        <v>814</v>
      </c>
      <c r="G104" s="26" t="s">
        <v>8093</v>
      </c>
      <c r="H104" s="26" t="s">
        <v>8094</v>
      </c>
      <c r="I104" s="26" t="s">
        <v>8095</v>
      </c>
      <c r="J104" s="26"/>
      <c r="K104" s="26"/>
      <c r="L104" s="26" t="s">
        <v>8078</v>
      </c>
      <c r="M104" s="26" t="e">
        <v>#N/A</v>
      </c>
      <c r="N104" s="26" t="e">
        <v>#N/A</v>
      </c>
      <c r="W104" s="26" t="s">
        <v>8095</v>
      </c>
    </row>
    <row r="105" ht="17.25" hidden="1" customHeight="1">
      <c r="B105" s="26" t="s">
        <v>64</v>
      </c>
      <c r="C105" s="26" t="s">
        <v>65</v>
      </c>
      <c r="D105" s="26" t="s">
        <v>8092</v>
      </c>
      <c r="E105" s="26" t="s">
        <v>20</v>
      </c>
      <c r="F105" s="26" t="s">
        <v>814</v>
      </c>
      <c r="G105" s="26" t="s">
        <v>8093</v>
      </c>
      <c r="H105" s="26" t="s">
        <v>8076</v>
      </c>
      <c r="I105" s="26" t="s">
        <v>8096</v>
      </c>
      <c r="J105" s="26"/>
      <c r="K105" s="26"/>
      <c r="L105" s="26" t="s">
        <v>8078</v>
      </c>
      <c r="M105" s="26" t="e">
        <v>#N/A</v>
      </c>
      <c r="N105" s="26" t="e">
        <v>#N/A</v>
      </c>
      <c r="W105" s="26" t="s">
        <v>8096</v>
      </c>
    </row>
    <row r="106" ht="17.25" hidden="1" customHeight="1">
      <c r="B106" s="26" t="s">
        <v>64</v>
      </c>
      <c r="C106" s="26" t="s">
        <v>65</v>
      </c>
      <c r="D106" s="26" t="s">
        <v>8092</v>
      </c>
      <c r="E106" s="26" t="s">
        <v>20</v>
      </c>
      <c r="F106" s="26" t="s">
        <v>814</v>
      </c>
      <c r="G106" s="26" t="s">
        <v>8093</v>
      </c>
      <c r="H106" s="26" t="s">
        <v>8097</v>
      </c>
      <c r="I106" s="26" t="s">
        <v>8098</v>
      </c>
      <c r="J106" s="26"/>
      <c r="K106" s="26"/>
      <c r="L106" s="26" t="s">
        <v>8078</v>
      </c>
      <c r="M106" s="26" t="e">
        <v>#N/A</v>
      </c>
      <c r="N106" s="26" t="e">
        <v>#N/A</v>
      </c>
      <c r="W106" s="26" t="s">
        <v>8098</v>
      </c>
    </row>
    <row r="107" ht="17.25" hidden="1" customHeight="1">
      <c r="B107" s="26" t="s">
        <v>64</v>
      </c>
      <c r="C107" s="26" t="s">
        <v>65</v>
      </c>
      <c r="D107" s="26" t="s">
        <v>8092</v>
      </c>
      <c r="E107" s="26" t="s">
        <v>20</v>
      </c>
      <c r="F107" s="26" t="s">
        <v>8049</v>
      </c>
      <c r="G107" s="26" t="s">
        <v>8099</v>
      </c>
      <c r="H107" s="26" t="s">
        <v>8100</v>
      </c>
      <c r="I107" s="26" t="s">
        <v>8101</v>
      </c>
      <c r="J107" s="26"/>
      <c r="K107" s="26"/>
      <c r="L107" s="26" t="s">
        <v>8078</v>
      </c>
      <c r="M107" s="26" t="e">
        <v>#N/A</v>
      </c>
      <c r="N107" s="26" t="e">
        <v>#N/A</v>
      </c>
      <c r="W107" s="26" t="s">
        <v>8101</v>
      </c>
    </row>
    <row r="108" ht="17.25" hidden="1" customHeight="1">
      <c r="B108" s="26" t="s">
        <v>64</v>
      </c>
      <c r="C108" s="26" t="s">
        <v>65</v>
      </c>
      <c r="D108" s="26" t="s">
        <v>8102</v>
      </c>
      <c r="E108" s="26" t="s">
        <v>20</v>
      </c>
      <c r="F108" s="26" t="s">
        <v>7758</v>
      </c>
      <c r="G108" s="26" t="s">
        <v>8103</v>
      </c>
      <c r="H108" s="26" t="s">
        <v>8076</v>
      </c>
      <c r="I108" s="26" t="s">
        <v>8104</v>
      </c>
      <c r="J108" s="26"/>
      <c r="K108" s="26"/>
      <c r="L108" s="26" t="s">
        <v>8078</v>
      </c>
      <c r="M108" s="26" t="e">
        <v>#N/A</v>
      </c>
      <c r="N108" s="26" t="e">
        <v>#N/A</v>
      </c>
      <c r="W108" s="26" t="s">
        <v>8104</v>
      </c>
    </row>
    <row r="109" ht="17.25" hidden="1" customHeight="1">
      <c r="B109" s="26" t="s">
        <v>64</v>
      </c>
      <c r="C109" s="26" t="s">
        <v>65</v>
      </c>
      <c r="D109" s="26" t="s">
        <v>8105</v>
      </c>
      <c r="E109" s="26" t="s">
        <v>12</v>
      </c>
      <c r="F109" s="26" t="s">
        <v>880</v>
      </c>
      <c r="G109" s="26" t="s">
        <v>8106</v>
      </c>
      <c r="H109" s="26" t="s">
        <v>8107</v>
      </c>
      <c r="I109" s="26" t="s">
        <v>8108</v>
      </c>
      <c r="J109" s="26"/>
      <c r="K109" s="26"/>
      <c r="L109" s="26" t="s">
        <v>8078</v>
      </c>
      <c r="M109" s="26" t="e">
        <v>#N/A</v>
      </c>
      <c r="N109" s="26" t="e">
        <v>#N/A</v>
      </c>
      <c r="W109" s="26" t="s">
        <v>8108</v>
      </c>
    </row>
    <row r="110" ht="17.25" hidden="1" customHeight="1">
      <c r="B110" s="26" t="s">
        <v>64</v>
      </c>
      <c r="C110" s="26" t="s">
        <v>65</v>
      </c>
      <c r="D110" s="26" t="s">
        <v>8109</v>
      </c>
      <c r="E110" s="26" t="s">
        <v>20</v>
      </c>
      <c r="F110" s="26" t="s">
        <v>1305</v>
      </c>
      <c r="G110" s="26" t="s">
        <v>76</v>
      </c>
      <c r="H110" s="26" t="s">
        <v>8110</v>
      </c>
      <c r="I110" s="26" t="s">
        <v>8111</v>
      </c>
      <c r="J110" s="26"/>
      <c r="K110" s="26"/>
      <c r="L110" s="26" t="s">
        <v>8078</v>
      </c>
      <c r="M110" s="26" t="e">
        <v>#N/A</v>
      </c>
      <c r="N110" s="26" t="e">
        <v>#N/A</v>
      </c>
      <c r="W110" s="26" t="s">
        <v>8111</v>
      </c>
    </row>
    <row r="111" ht="17.25" hidden="1" customHeight="1">
      <c r="B111" s="26" t="s">
        <v>64</v>
      </c>
      <c r="C111" s="26" t="s">
        <v>65</v>
      </c>
      <c r="D111" s="26" t="s">
        <v>8112</v>
      </c>
      <c r="E111" s="26" t="s">
        <v>20</v>
      </c>
      <c r="F111" s="26" t="s">
        <v>8049</v>
      </c>
      <c r="G111" s="26" t="s">
        <v>8113</v>
      </c>
      <c r="H111" s="26" t="s">
        <v>8114</v>
      </c>
      <c r="I111" s="26" t="s">
        <v>8115</v>
      </c>
      <c r="J111" s="26" t="s">
        <v>8116</v>
      </c>
      <c r="K111" s="26"/>
      <c r="L111" s="26" t="s">
        <v>8078</v>
      </c>
      <c r="M111" s="26" t="e">
        <v>#N/A</v>
      </c>
      <c r="N111" s="26" t="e">
        <v>#N/A</v>
      </c>
      <c r="W111" s="26" t="s">
        <v>8117</v>
      </c>
      <c r="X111" s="28">
        <v>250.0</v>
      </c>
      <c r="Y111" s="28" t="s">
        <v>7769</v>
      </c>
    </row>
    <row r="112" ht="17.25" hidden="1" customHeight="1">
      <c r="B112" s="26" t="s">
        <v>64</v>
      </c>
      <c r="C112" s="26" t="s">
        <v>65</v>
      </c>
      <c r="D112" s="26" t="s">
        <v>8118</v>
      </c>
      <c r="E112" s="26" t="s">
        <v>12</v>
      </c>
      <c r="F112" s="26" t="s">
        <v>7826</v>
      </c>
      <c r="G112" s="26" t="s">
        <v>8119</v>
      </c>
      <c r="H112" s="26" t="s">
        <v>8120</v>
      </c>
      <c r="I112" s="26" t="s">
        <v>8121</v>
      </c>
      <c r="J112" s="26"/>
      <c r="K112" s="26"/>
      <c r="L112" s="26" t="s">
        <v>8078</v>
      </c>
      <c r="M112" s="26" t="e">
        <v>#N/A</v>
      </c>
      <c r="N112" s="26" t="e">
        <v>#N/A</v>
      </c>
      <c r="W112" s="26" t="s">
        <v>8121</v>
      </c>
    </row>
    <row r="113" ht="17.25" hidden="1" customHeight="1">
      <c r="B113" s="26" t="s">
        <v>64</v>
      </c>
      <c r="C113" s="26" t="s">
        <v>65</v>
      </c>
      <c r="D113" s="26" t="s">
        <v>8122</v>
      </c>
      <c r="E113" s="26" t="s">
        <v>20</v>
      </c>
      <c r="F113" s="26" t="s">
        <v>7911</v>
      </c>
      <c r="G113" s="26" t="s">
        <v>8123</v>
      </c>
      <c r="H113" s="26" t="s">
        <v>8110</v>
      </c>
      <c r="I113" s="26" t="s">
        <v>8124</v>
      </c>
      <c r="J113" s="26"/>
      <c r="K113" s="26"/>
      <c r="L113" s="26" t="s">
        <v>8078</v>
      </c>
      <c r="M113" s="26" t="e">
        <v>#N/A</v>
      </c>
      <c r="N113" s="26" t="e">
        <v>#N/A</v>
      </c>
      <c r="W113" s="26" t="s">
        <v>8124</v>
      </c>
    </row>
    <row r="114" ht="17.25" hidden="1" customHeight="1">
      <c r="B114" s="26" t="s">
        <v>64</v>
      </c>
      <c r="C114" s="26" t="s">
        <v>65</v>
      </c>
      <c r="D114" s="26" t="s">
        <v>8122</v>
      </c>
      <c r="E114" s="26" t="s">
        <v>20</v>
      </c>
      <c r="F114" s="26" t="s">
        <v>7911</v>
      </c>
      <c r="G114" s="26" t="s">
        <v>8123</v>
      </c>
      <c r="H114" s="26" t="s">
        <v>8125</v>
      </c>
      <c r="I114" s="26" t="s">
        <v>8126</v>
      </c>
      <c r="J114" s="26"/>
      <c r="K114" s="26"/>
      <c r="L114" s="26" t="s">
        <v>8078</v>
      </c>
      <c r="M114" s="26" t="e">
        <v>#N/A</v>
      </c>
      <c r="N114" s="26" t="e">
        <v>#N/A</v>
      </c>
      <c r="W114" s="26" t="s">
        <v>8126</v>
      </c>
    </row>
    <row r="115" ht="17.25" hidden="1" customHeight="1">
      <c r="B115" s="26" t="s">
        <v>64</v>
      </c>
      <c r="C115" s="26" t="s">
        <v>65</v>
      </c>
      <c r="D115" s="26" t="s">
        <v>8127</v>
      </c>
      <c r="E115" s="26" t="s">
        <v>20</v>
      </c>
      <c r="F115" s="26" t="s">
        <v>7707</v>
      </c>
      <c r="G115" s="26" t="s">
        <v>8128</v>
      </c>
      <c r="H115" s="26" t="s">
        <v>8114</v>
      </c>
      <c r="I115" s="26" t="s">
        <v>8129</v>
      </c>
      <c r="J115" s="26" t="s">
        <v>8116</v>
      </c>
      <c r="K115" s="26"/>
      <c r="L115" s="26" t="s">
        <v>8078</v>
      </c>
      <c r="M115" s="26" t="e">
        <v>#N/A</v>
      </c>
      <c r="N115" s="26" t="e">
        <v>#N/A</v>
      </c>
      <c r="W115" s="26" t="s">
        <v>8130</v>
      </c>
      <c r="X115" s="28">
        <v>250.0</v>
      </c>
      <c r="Y115" s="28" t="s">
        <v>7769</v>
      </c>
    </row>
    <row r="116" ht="17.25" hidden="1" customHeight="1">
      <c r="B116" s="26" t="s">
        <v>64</v>
      </c>
      <c r="C116" s="26" t="s">
        <v>65</v>
      </c>
      <c r="D116" s="26" t="s">
        <v>8131</v>
      </c>
      <c r="E116" s="26" t="s">
        <v>20</v>
      </c>
      <c r="F116" s="26" t="s">
        <v>7911</v>
      </c>
      <c r="G116" s="26" t="s">
        <v>8132</v>
      </c>
      <c r="H116" s="26" t="s">
        <v>8133</v>
      </c>
      <c r="I116" s="26" t="s">
        <v>8134</v>
      </c>
      <c r="J116" s="26" t="s">
        <v>8135</v>
      </c>
      <c r="K116" s="26"/>
      <c r="L116" s="26" t="s">
        <v>8045</v>
      </c>
      <c r="M116" s="26" t="e">
        <v>#N/A</v>
      </c>
      <c r="N116" s="26" t="s">
        <v>7784</v>
      </c>
      <c r="W116" s="26" t="s">
        <v>8136</v>
      </c>
      <c r="X116" s="28" t="s">
        <v>8137</v>
      </c>
      <c r="Y116" s="28" t="s">
        <v>7769</v>
      </c>
    </row>
    <row r="117" ht="17.25" hidden="1" customHeight="1">
      <c r="B117" s="26" t="s">
        <v>64</v>
      </c>
      <c r="C117" s="26" t="s">
        <v>65</v>
      </c>
      <c r="D117" s="26" t="s">
        <v>8138</v>
      </c>
      <c r="E117" s="26" t="s">
        <v>20</v>
      </c>
      <c r="F117" s="26" t="s">
        <v>7911</v>
      </c>
      <c r="G117" s="26" t="s">
        <v>8139</v>
      </c>
      <c r="H117" s="26" t="s">
        <v>8133</v>
      </c>
      <c r="I117" s="26" t="s">
        <v>8140</v>
      </c>
      <c r="J117" s="26" t="s">
        <v>8135</v>
      </c>
      <c r="K117" s="26"/>
      <c r="L117" s="26" t="s">
        <v>8045</v>
      </c>
      <c r="M117" s="26" t="e">
        <v>#N/A</v>
      </c>
      <c r="N117" s="26" t="e">
        <v>#N/A</v>
      </c>
      <c r="W117" s="26" t="s">
        <v>8141</v>
      </c>
      <c r="X117" s="28" t="s">
        <v>8137</v>
      </c>
      <c r="Y117" s="28" t="s">
        <v>7769</v>
      </c>
    </row>
    <row r="118" ht="17.25" hidden="1" customHeight="1">
      <c r="B118" s="26" t="s">
        <v>64</v>
      </c>
      <c r="C118" s="26" t="s">
        <v>65</v>
      </c>
      <c r="D118" s="26" t="s">
        <v>8142</v>
      </c>
      <c r="E118" s="26" t="s">
        <v>20</v>
      </c>
      <c r="F118" s="26" t="s">
        <v>7869</v>
      </c>
      <c r="G118" s="26" t="s">
        <v>8143</v>
      </c>
      <c r="H118" s="26" t="s">
        <v>7811</v>
      </c>
      <c r="I118" s="26" t="s">
        <v>8144</v>
      </c>
      <c r="J118" s="26" t="s">
        <v>7813</v>
      </c>
      <c r="K118" s="26"/>
      <c r="L118" s="26" t="s">
        <v>8078</v>
      </c>
      <c r="M118" s="26" t="e">
        <v>#N/A</v>
      </c>
      <c r="N118" s="26" t="e">
        <v>#N/A</v>
      </c>
      <c r="W118" s="26" t="s">
        <v>8145</v>
      </c>
      <c r="X118" s="28">
        <v>500.0</v>
      </c>
      <c r="Y118" s="28" t="s">
        <v>7769</v>
      </c>
    </row>
    <row r="119" ht="17.25" hidden="1" customHeight="1">
      <c r="B119" s="26" t="s">
        <v>64</v>
      </c>
      <c r="C119" s="26" t="s">
        <v>65</v>
      </c>
      <c r="D119" s="26" t="s">
        <v>8142</v>
      </c>
      <c r="E119" s="26" t="s">
        <v>20</v>
      </c>
      <c r="F119" s="26" t="s">
        <v>8049</v>
      </c>
      <c r="G119" s="26" t="s">
        <v>8146</v>
      </c>
      <c r="H119" s="26" t="s">
        <v>7811</v>
      </c>
      <c r="I119" s="26" t="s">
        <v>8147</v>
      </c>
      <c r="J119" s="26" t="s">
        <v>7813</v>
      </c>
      <c r="K119" s="26"/>
      <c r="L119" s="26" t="s">
        <v>8078</v>
      </c>
      <c r="M119" s="26" t="e">
        <v>#N/A</v>
      </c>
      <c r="N119" s="26" t="e">
        <v>#N/A</v>
      </c>
      <c r="W119" s="26" t="s">
        <v>8148</v>
      </c>
      <c r="X119" s="28">
        <v>500.0</v>
      </c>
      <c r="Y119" s="28" t="s">
        <v>7769</v>
      </c>
    </row>
    <row r="120" ht="17.25" hidden="1" customHeight="1">
      <c r="B120" s="26" t="s">
        <v>64</v>
      </c>
      <c r="C120" s="26" t="s">
        <v>65</v>
      </c>
      <c r="D120" s="26" t="s">
        <v>8149</v>
      </c>
      <c r="E120" s="26" t="s">
        <v>12</v>
      </c>
      <c r="F120" s="26" t="s">
        <v>1305</v>
      </c>
      <c r="G120" s="26" t="s">
        <v>69</v>
      </c>
      <c r="H120" s="26" t="s">
        <v>7811</v>
      </c>
      <c r="I120" s="26" t="s">
        <v>8150</v>
      </c>
      <c r="J120" s="26" t="s">
        <v>7813</v>
      </c>
      <c r="K120" s="26"/>
      <c r="L120" s="26" t="s">
        <v>8078</v>
      </c>
      <c r="M120" s="26" t="e">
        <v>#N/A</v>
      </c>
      <c r="N120" s="26" t="e">
        <v>#N/A</v>
      </c>
      <c r="W120" s="26" t="s">
        <v>8151</v>
      </c>
      <c r="X120" s="28">
        <v>500.0</v>
      </c>
      <c r="Y120" s="28" t="s">
        <v>7769</v>
      </c>
    </row>
    <row r="121" ht="17.25" hidden="1" customHeight="1">
      <c r="B121" s="26" t="s">
        <v>64</v>
      </c>
      <c r="C121" s="26" t="s">
        <v>65</v>
      </c>
      <c r="D121" s="26" t="s">
        <v>8149</v>
      </c>
      <c r="E121" s="26" t="s">
        <v>12</v>
      </c>
      <c r="F121" s="26" t="s">
        <v>8049</v>
      </c>
      <c r="G121" s="26" t="s">
        <v>8152</v>
      </c>
      <c r="H121" s="26" t="s">
        <v>8153</v>
      </c>
      <c r="I121" s="26" t="s">
        <v>8154</v>
      </c>
      <c r="J121" s="26"/>
      <c r="K121" s="26"/>
      <c r="L121" s="26" t="s">
        <v>8078</v>
      </c>
      <c r="M121" s="26" t="e">
        <v>#N/A</v>
      </c>
      <c r="N121" s="26" t="e">
        <v>#N/A</v>
      </c>
      <c r="W121" s="26" t="s">
        <v>8154</v>
      </c>
    </row>
    <row r="122" ht="17.25" hidden="1" customHeight="1">
      <c r="B122" s="26" t="s">
        <v>64</v>
      </c>
      <c r="C122" s="26" t="s">
        <v>65</v>
      </c>
      <c r="D122" s="26" t="s">
        <v>8149</v>
      </c>
      <c r="E122" s="26" t="s">
        <v>12</v>
      </c>
      <c r="F122" s="26" t="s">
        <v>8049</v>
      </c>
      <c r="G122" s="26" t="s">
        <v>8152</v>
      </c>
      <c r="H122" s="26" t="s">
        <v>8097</v>
      </c>
      <c r="I122" s="26" t="s">
        <v>8155</v>
      </c>
      <c r="J122" s="26"/>
      <c r="K122" s="26"/>
      <c r="L122" s="26" t="s">
        <v>8078</v>
      </c>
      <c r="M122" s="26" t="e">
        <v>#N/A</v>
      </c>
      <c r="N122" s="26" t="e">
        <v>#N/A</v>
      </c>
      <c r="W122" s="26" t="s">
        <v>8155</v>
      </c>
    </row>
    <row r="123" ht="17.25" hidden="1" customHeight="1">
      <c r="B123" s="26" t="s">
        <v>64</v>
      </c>
      <c r="C123" s="26" t="s">
        <v>65</v>
      </c>
      <c r="D123" s="26" t="s">
        <v>8149</v>
      </c>
      <c r="E123" s="26" t="s">
        <v>20</v>
      </c>
      <c r="F123" s="26" t="s">
        <v>8049</v>
      </c>
      <c r="G123" s="26" t="s">
        <v>8152</v>
      </c>
      <c r="H123" s="26" t="s">
        <v>8076</v>
      </c>
      <c r="I123" s="26" t="s">
        <v>8156</v>
      </c>
      <c r="J123" s="26"/>
      <c r="K123" s="26"/>
      <c r="L123" s="26" t="s">
        <v>8078</v>
      </c>
      <c r="M123" s="26" t="e">
        <v>#N/A</v>
      </c>
      <c r="N123" s="26" t="e">
        <v>#N/A</v>
      </c>
      <c r="W123" s="26" t="s">
        <v>8156</v>
      </c>
    </row>
    <row r="124" ht="17.25" hidden="1" customHeight="1">
      <c r="B124" s="26" t="s">
        <v>64</v>
      </c>
      <c r="C124" s="26" t="s">
        <v>65</v>
      </c>
      <c r="D124" s="26" t="s">
        <v>8157</v>
      </c>
      <c r="E124" s="26" t="s">
        <v>20</v>
      </c>
      <c r="F124" s="26" t="s">
        <v>8080</v>
      </c>
      <c r="G124" s="26" t="s">
        <v>8158</v>
      </c>
      <c r="H124" s="26" t="s">
        <v>8159</v>
      </c>
      <c r="I124" s="26" t="s">
        <v>8160</v>
      </c>
      <c r="J124" s="26"/>
      <c r="K124" s="26"/>
      <c r="L124" s="26" t="s">
        <v>8078</v>
      </c>
      <c r="M124" s="26" t="e">
        <v>#N/A</v>
      </c>
      <c r="N124" s="26" t="e">
        <v>#N/A</v>
      </c>
      <c r="W124" s="26" t="s">
        <v>8160</v>
      </c>
    </row>
    <row r="125" ht="17.25" hidden="1" customHeight="1">
      <c r="B125" s="26" t="s">
        <v>64</v>
      </c>
      <c r="C125" s="26" t="s">
        <v>65</v>
      </c>
      <c r="D125" s="26" t="s">
        <v>8161</v>
      </c>
      <c r="E125" s="26" t="s">
        <v>12</v>
      </c>
      <c r="F125" s="26" t="s">
        <v>7826</v>
      </c>
      <c r="G125" s="26" t="s">
        <v>8162</v>
      </c>
      <c r="H125" s="26" t="s">
        <v>8076</v>
      </c>
      <c r="I125" s="26" t="s">
        <v>8163</v>
      </c>
      <c r="J125" s="26"/>
      <c r="K125" s="26"/>
      <c r="L125" s="26" t="s">
        <v>8078</v>
      </c>
      <c r="M125" s="26" t="e">
        <v>#N/A</v>
      </c>
      <c r="N125" s="26" t="e">
        <v>#N/A</v>
      </c>
      <c r="W125" s="26" t="s">
        <v>8163</v>
      </c>
    </row>
    <row r="126" ht="17.25" hidden="1" customHeight="1">
      <c r="B126" s="26" t="s">
        <v>64</v>
      </c>
      <c r="C126" s="26" t="s">
        <v>65</v>
      </c>
      <c r="D126" s="26" t="s">
        <v>8161</v>
      </c>
      <c r="E126" s="26" t="s">
        <v>12</v>
      </c>
      <c r="F126" s="26" t="s">
        <v>7826</v>
      </c>
      <c r="G126" s="26" t="s">
        <v>8162</v>
      </c>
      <c r="H126" s="26" t="s">
        <v>8097</v>
      </c>
      <c r="I126" s="26" t="s">
        <v>8164</v>
      </c>
      <c r="J126" s="26"/>
      <c r="K126" s="26"/>
      <c r="L126" s="26" t="s">
        <v>8078</v>
      </c>
      <c r="M126" s="26" t="e">
        <v>#N/A</v>
      </c>
      <c r="N126" s="26" t="e">
        <v>#N/A</v>
      </c>
      <c r="W126" s="26" t="s">
        <v>8164</v>
      </c>
    </row>
    <row r="127" ht="17.25" hidden="1" customHeight="1">
      <c r="B127" s="26" t="s">
        <v>64</v>
      </c>
      <c r="C127" s="26" t="s">
        <v>65</v>
      </c>
      <c r="D127" s="26" t="s">
        <v>8165</v>
      </c>
      <c r="E127" s="26" t="s">
        <v>12</v>
      </c>
      <c r="F127" s="26" t="s">
        <v>7826</v>
      </c>
      <c r="G127" s="26" t="s">
        <v>8166</v>
      </c>
      <c r="H127" s="26" t="s">
        <v>8120</v>
      </c>
      <c r="I127" s="26" t="s">
        <v>8167</v>
      </c>
      <c r="J127" s="26"/>
      <c r="K127" s="26"/>
      <c r="L127" s="26" t="s">
        <v>8078</v>
      </c>
      <c r="M127" s="26" t="e">
        <v>#N/A</v>
      </c>
      <c r="N127" s="26" t="e">
        <v>#N/A</v>
      </c>
      <c r="W127" s="26" t="s">
        <v>8167</v>
      </c>
    </row>
    <row r="128" ht="17.25" hidden="1" customHeight="1">
      <c r="B128" s="26" t="s">
        <v>64</v>
      </c>
      <c r="C128" s="26" t="s">
        <v>65</v>
      </c>
      <c r="D128" s="26" t="s">
        <v>8168</v>
      </c>
      <c r="E128" s="26" t="s">
        <v>20</v>
      </c>
      <c r="F128" s="26" t="s">
        <v>8049</v>
      </c>
      <c r="G128" s="26" t="s">
        <v>8169</v>
      </c>
      <c r="H128" s="26" t="s">
        <v>8076</v>
      </c>
      <c r="I128" s="26" t="s">
        <v>8170</v>
      </c>
      <c r="J128" s="26"/>
      <c r="K128" s="26"/>
      <c r="L128" s="26" t="s">
        <v>8078</v>
      </c>
      <c r="M128" s="26" t="e">
        <v>#N/A</v>
      </c>
      <c r="N128" s="26" t="e">
        <v>#N/A</v>
      </c>
      <c r="W128" s="26" t="s">
        <v>8170</v>
      </c>
    </row>
    <row r="129" ht="17.25" hidden="1" customHeight="1">
      <c r="B129" s="26" t="s">
        <v>64</v>
      </c>
      <c r="C129" s="26" t="s">
        <v>65</v>
      </c>
      <c r="D129" s="26" t="s">
        <v>8171</v>
      </c>
      <c r="E129" s="26" t="s">
        <v>12</v>
      </c>
      <c r="F129" s="26" t="s">
        <v>7758</v>
      </c>
      <c r="G129" s="26" t="s">
        <v>8172</v>
      </c>
      <c r="H129" s="26" t="s">
        <v>8173</v>
      </c>
      <c r="I129" s="26" t="s">
        <v>8174</v>
      </c>
      <c r="J129" s="26" t="s">
        <v>8175</v>
      </c>
      <c r="K129" s="26"/>
      <c r="L129" s="26" t="s">
        <v>8078</v>
      </c>
      <c r="M129" s="26" t="e">
        <v>#N/A</v>
      </c>
      <c r="N129" s="26" t="e">
        <v>#N/A</v>
      </c>
      <c r="W129" s="26" t="s">
        <v>8176</v>
      </c>
      <c r="X129" s="28" t="s">
        <v>8177</v>
      </c>
      <c r="Y129" s="28" t="s">
        <v>7769</v>
      </c>
    </row>
    <row r="130" ht="17.25" hidden="1" customHeight="1">
      <c r="B130" s="26" t="s">
        <v>64</v>
      </c>
      <c r="C130" s="26" t="s">
        <v>65</v>
      </c>
      <c r="D130" s="26" t="s">
        <v>8171</v>
      </c>
      <c r="E130" s="26" t="s">
        <v>12</v>
      </c>
      <c r="F130" s="26" t="s">
        <v>7758</v>
      </c>
      <c r="G130" s="26" t="s">
        <v>8172</v>
      </c>
      <c r="H130" s="26" t="s">
        <v>8178</v>
      </c>
      <c r="I130" s="26" t="s">
        <v>8179</v>
      </c>
      <c r="J130" s="26" t="s">
        <v>8180</v>
      </c>
      <c r="K130" s="26"/>
      <c r="L130" s="26" t="s">
        <v>8078</v>
      </c>
      <c r="M130" s="26" t="e">
        <v>#N/A</v>
      </c>
      <c r="N130" s="26" t="e">
        <v>#N/A</v>
      </c>
      <c r="W130" s="26" t="s">
        <v>8176</v>
      </c>
      <c r="X130" s="28" t="s">
        <v>8181</v>
      </c>
      <c r="Y130" s="28" t="s">
        <v>7769</v>
      </c>
    </row>
    <row r="131" ht="17.25" hidden="1" customHeight="1">
      <c r="B131" s="26" t="s">
        <v>64</v>
      </c>
      <c r="C131" s="26" t="s">
        <v>65</v>
      </c>
      <c r="D131" s="26" t="s">
        <v>8182</v>
      </c>
      <c r="E131" s="26" t="s">
        <v>12</v>
      </c>
      <c r="F131" s="26" t="s">
        <v>7758</v>
      </c>
      <c r="G131" s="26" t="s">
        <v>8172</v>
      </c>
      <c r="H131" s="26" t="s">
        <v>8183</v>
      </c>
      <c r="I131" s="26" t="s">
        <v>8184</v>
      </c>
      <c r="J131" s="26" t="s">
        <v>8185</v>
      </c>
      <c r="K131" s="26"/>
      <c r="L131" s="26" t="s">
        <v>8078</v>
      </c>
      <c r="M131" s="26" t="e">
        <v>#N/A</v>
      </c>
      <c r="N131" s="26" t="e">
        <v>#N/A</v>
      </c>
      <c r="W131" s="26" t="s">
        <v>8176</v>
      </c>
      <c r="X131" s="28" t="s">
        <v>8186</v>
      </c>
      <c r="Y131" s="28" t="s">
        <v>7769</v>
      </c>
    </row>
    <row r="132" ht="17.25" hidden="1" customHeight="1">
      <c r="B132" s="26" t="s">
        <v>64</v>
      </c>
      <c r="C132" s="26" t="s">
        <v>65</v>
      </c>
      <c r="D132" s="26" t="s">
        <v>8182</v>
      </c>
      <c r="E132" s="26" t="s">
        <v>12</v>
      </c>
      <c r="F132" s="26" t="s">
        <v>7758</v>
      </c>
      <c r="G132" s="26" t="s">
        <v>8172</v>
      </c>
      <c r="H132" s="26" t="s">
        <v>8187</v>
      </c>
      <c r="I132" s="26" t="s">
        <v>8188</v>
      </c>
      <c r="J132" s="26" t="s">
        <v>8189</v>
      </c>
      <c r="K132" s="26"/>
      <c r="L132" s="26" t="s">
        <v>8078</v>
      </c>
      <c r="M132" s="26" t="e">
        <v>#N/A</v>
      </c>
      <c r="N132" s="26" t="e">
        <v>#N/A</v>
      </c>
      <c r="W132" s="26" t="s">
        <v>8176</v>
      </c>
      <c r="X132" s="28" t="s">
        <v>8190</v>
      </c>
      <c r="Y132" s="28" t="s">
        <v>7769</v>
      </c>
    </row>
    <row r="133" ht="17.25" hidden="1" customHeight="1">
      <c r="B133" s="26" t="s">
        <v>64</v>
      </c>
      <c r="C133" s="26" t="s">
        <v>65</v>
      </c>
      <c r="D133" s="26" t="s">
        <v>8191</v>
      </c>
      <c r="E133" s="26" t="s">
        <v>20</v>
      </c>
      <c r="F133" s="26" t="s">
        <v>8080</v>
      </c>
      <c r="G133" s="26" t="s">
        <v>8192</v>
      </c>
      <c r="H133" s="26" t="s">
        <v>8153</v>
      </c>
      <c r="I133" s="26" t="s">
        <v>8193</v>
      </c>
      <c r="J133" s="26"/>
      <c r="K133" s="26"/>
      <c r="L133" s="26" t="s">
        <v>8078</v>
      </c>
      <c r="M133" s="26" t="e">
        <v>#N/A</v>
      </c>
      <c r="N133" s="26" t="e">
        <v>#N/A</v>
      </c>
      <c r="W133" s="26" t="s">
        <v>8193</v>
      </c>
    </row>
    <row r="134" ht="17.25" hidden="1" customHeight="1">
      <c r="B134" s="26" t="s">
        <v>64</v>
      </c>
      <c r="C134" s="26" t="s">
        <v>65</v>
      </c>
      <c r="D134" s="26" t="s">
        <v>8191</v>
      </c>
      <c r="E134" s="26" t="s">
        <v>20</v>
      </c>
      <c r="F134" s="26" t="s">
        <v>794</v>
      </c>
      <c r="G134" s="26" t="s">
        <v>8194</v>
      </c>
      <c r="H134" s="26" t="s">
        <v>8076</v>
      </c>
      <c r="I134" s="26" t="s">
        <v>8195</v>
      </c>
      <c r="J134" s="26"/>
      <c r="K134" s="26"/>
      <c r="L134" s="26" t="s">
        <v>8078</v>
      </c>
      <c r="M134" s="26" t="e">
        <v>#N/A</v>
      </c>
      <c r="N134" s="26" t="e">
        <v>#N/A</v>
      </c>
      <c r="W134" s="26" t="s">
        <v>8195</v>
      </c>
    </row>
    <row r="135" ht="17.25" hidden="1" customHeight="1">
      <c r="B135" s="26" t="s">
        <v>64</v>
      </c>
      <c r="C135" s="26" t="s">
        <v>65</v>
      </c>
      <c r="D135" s="26" t="s">
        <v>8191</v>
      </c>
      <c r="E135" s="26" t="s">
        <v>20</v>
      </c>
      <c r="F135" s="26" t="s">
        <v>8196</v>
      </c>
      <c r="G135" s="26" t="s">
        <v>8197</v>
      </c>
      <c r="H135" s="26" t="s">
        <v>8110</v>
      </c>
      <c r="I135" s="26" t="s">
        <v>8198</v>
      </c>
      <c r="J135" s="26"/>
      <c r="K135" s="26"/>
      <c r="L135" s="26" t="s">
        <v>8078</v>
      </c>
      <c r="M135" s="26" t="e">
        <v>#N/A</v>
      </c>
      <c r="N135" s="26" t="e">
        <v>#N/A</v>
      </c>
      <c r="W135" s="26" t="s">
        <v>8198</v>
      </c>
    </row>
    <row r="136" ht="17.25" hidden="1" customHeight="1">
      <c r="B136" s="26" t="s">
        <v>64</v>
      </c>
      <c r="C136" s="26" t="s">
        <v>65</v>
      </c>
      <c r="D136" s="26" t="s">
        <v>8191</v>
      </c>
      <c r="E136" s="26" t="s">
        <v>20</v>
      </c>
      <c r="F136" s="26" t="s">
        <v>8049</v>
      </c>
      <c r="G136" s="26" t="s">
        <v>8199</v>
      </c>
      <c r="H136" s="26" t="s">
        <v>8114</v>
      </c>
      <c r="I136" s="26" t="s">
        <v>8200</v>
      </c>
      <c r="J136" s="26" t="s">
        <v>8116</v>
      </c>
      <c r="K136" s="26"/>
      <c r="L136" s="26" t="s">
        <v>8078</v>
      </c>
      <c r="M136" s="26" t="e">
        <v>#N/A</v>
      </c>
      <c r="N136" s="26" t="e">
        <v>#N/A</v>
      </c>
      <c r="W136" s="26" t="s">
        <v>8201</v>
      </c>
      <c r="X136" s="28">
        <v>250.0</v>
      </c>
      <c r="Y136" s="28" t="s">
        <v>7769</v>
      </c>
    </row>
    <row r="137" ht="17.25" hidden="1" customHeight="1">
      <c r="B137" s="26" t="s">
        <v>64</v>
      </c>
      <c r="C137" s="26" t="s">
        <v>65</v>
      </c>
      <c r="D137" s="26" t="s">
        <v>8202</v>
      </c>
      <c r="E137" s="26" t="s">
        <v>12</v>
      </c>
      <c r="F137" s="26" t="s">
        <v>1305</v>
      </c>
      <c r="G137" s="26" t="s">
        <v>67</v>
      </c>
      <c r="H137" s="26" t="s">
        <v>8070</v>
      </c>
      <c r="I137" s="26" t="s">
        <v>8203</v>
      </c>
      <c r="J137" s="26" t="s">
        <v>8072</v>
      </c>
      <c r="K137" s="26"/>
      <c r="L137" s="26" t="s">
        <v>8045</v>
      </c>
      <c r="M137" s="26" t="e">
        <v>#N/A</v>
      </c>
      <c r="N137" s="26" t="s">
        <v>7784</v>
      </c>
      <c r="W137" s="26" t="s">
        <v>8204</v>
      </c>
      <c r="X137" s="28">
        <v>1100.0</v>
      </c>
      <c r="Y137" s="28" t="s">
        <v>7769</v>
      </c>
    </row>
    <row r="138" ht="17.25" hidden="1" customHeight="1">
      <c r="B138" s="26" t="s">
        <v>64</v>
      </c>
      <c r="C138" s="26" t="s">
        <v>65</v>
      </c>
      <c r="D138" s="26" t="s">
        <v>8202</v>
      </c>
      <c r="E138" s="26" t="s">
        <v>20</v>
      </c>
      <c r="F138" s="26" t="s">
        <v>1305</v>
      </c>
      <c r="G138" s="26" t="s">
        <v>67</v>
      </c>
      <c r="H138" s="26" t="s">
        <v>8084</v>
      </c>
      <c r="I138" s="26" t="s">
        <v>8205</v>
      </c>
      <c r="J138" s="26" t="s">
        <v>8086</v>
      </c>
      <c r="K138" s="26"/>
      <c r="L138" s="26" t="s">
        <v>8045</v>
      </c>
      <c r="M138" s="26" t="e">
        <v>#N/A</v>
      </c>
      <c r="N138" s="26" t="s">
        <v>7784</v>
      </c>
      <c r="W138" s="26" t="s">
        <v>8204</v>
      </c>
      <c r="X138" s="28">
        <v>550.0</v>
      </c>
      <c r="Y138" s="28" t="s">
        <v>7769</v>
      </c>
    </row>
    <row r="139" ht="17.25" hidden="1" customHeight="1">
      <c r="B139" s="26" t="s">
        <v>64</v>
      </c>
      <c r="C139" s="26" t="s">
        <v>65</v>
      </c>
      <c r="D139" s="26" t="s">
        <v>8206</v>
      </c>
      <c r="E139" s="26" t="s">
        <v>20</v>
      </c>
      <c r="F139" s="26" t="s">
        <v>1305</v>
      </c>
      <c r="G139" s="26" t="s">
        <v>71</v>
      </c>
      <c r="H139" s="26" t="s">
        <v>8207</v>
      </c>
      <c r="I139" s="26" t="s">
        <v>8208</v>
      </c>
      <c r="J139" s="26" t="s">
        <v>8209</v>
      </c>
      <c r="K139" s="26"/>
      <c r="L139" s="26" t="s">
        <v>8078</v>
      </c>
      <c r="M139" s="26" t="e">
        <v>#N/A</v>
      </c>
      <c r="N139" s="26" t="e">
        <v>#N/A</v>
      </c>
      <c r="W139" s="26" t="s">
        <v>8210</v>
      </c>
      <c r="X139" s="28">
        <v>100.0</v>
      </c>
      <c r="Y139" s="28" t="s">
        <v>7769</v>
      </c>
    </row>
    <row r="140" ht="17.25" hidden="1" customHeight="1">
      <c r="B140" s="26" t="s">
        <v>64</v>
      </c>
      <c r="C140" s="26" t="s">
        <v>65</v>
      </c>
      <c r="D140" s="26" t="s">
        <v>8206</v>
      </c>
      <c r="E140" s="26" t="s">
        <v>20</v>
      </c>
      <c r="F140" s="26" t="s">
        <v>1305</v>
      </c>
      <c r="G140" s="26" t="s">
        <v>71</v>
      </c>
      <c r="H140" s="26" t="s">
        <v>8114</v>
      </c>
      <c r="I140" s="26" t="s">
        <v>8211</v>
      </c>
      <c r="J140" s="26" t="s">
        <v>8116</v>
      </c>
      <c r="K140" s="26"/>
      <c r="L140" s="26" t="s">
        <v>8078</v>
      </c>
      <c r="M140" s="26" t="e">
        <v>#N/A</v>
      </c>
      <c r="N140" s="26" t="e">
        <v>#N/A</v>
      </c>
      <c r="W140" s="26" t="s">
        <v>8210</v>
      </c>
      <c r="X140" s="28">
        <v>250.0</v>
      </c>
      <c r="Y140" s="28" t="s">
        <v>7769</v>
      </c>
    </row>
    <row r="141" ht="17.25" hidden="1" customHeight="1">
      <c r="B141" s="26" t="s">
        <v>64</v>
      </c>
      <c r="C141" s="26" t="s">
        <v>65</v>
      </c>
      <c r="D141" s="26" t="s">
        <v>8212</v>
      </c>
      <c r="E141" s="26" t="s">
        <v>20</v>
      </c>
      <c r="F141" s="26" t="s">
        <v>8080</v>
      </c>
      <c r="G141" s="26" t="s">
        <v>8213</v>
      </c>
      <c r="H141" s="26" t="s">
        <v>8153</v>
      </c>
      <c r="I141" s="26" t="s">
        <v>8214</v>
      </c>
      <c r="J141" s="26"/>
      <c r="K141" s="26"/>
      <c r="L141" s="26" t="s">
        <v>8078</v>
      </c>
      <c r="M141" s="26" t="e">
        <v>#N/A</v>
      </c>
      <c r="N141" s="26" t="e">
        <v>#N/A</v>
      </c>
      <c r="W141" s="26" t="s">
        <v>8214</v>
      </c>
    </row>
    <row r="142" ht="17.25" hidden="1" customHeight="1">
      <c r="B142" s="26" t="s">
        <v>64</v>
      </c>
      <c r="C142" s="26" t="s">
        <v>65</v>
      </c>
      <c r="D142" s="26" t="s">
        <v>8212</v>
      </c>
      <c r="E142" s="26" t="s">
        <v>20</v>
      </c>
      <c r="F142" s="26" t="s">
        <v>8080</v>
      </c>
      <c r="G142" s="26" t="s">
        <v>8213</v>
      </c>
      <c r="H142" s="26" t="s">
        <v>8215</v>
      </c>
      <c r="I142" s="26" t="s">
        <v>8216</v>
      </c>
      <c r="J142" s="26"/>
      <c r="K142" s="26"/>
      <c r="L142" s="26" t="s">
        <v>8078</v>
      </c>
      <c r="M142" s="26" t="e">
        <v>#N/A</v>
      </c>
      <c r="N142" s="26" t="e">
        <v>#N/A</v>
      </c>
      <c r="W142" s="26" t="s">
        <v>8216</v>
      </c>
    </row>
    <row r="143" ht="17.25" hidden="1" customHeight="1">
      <c r="B143" s="26" t="s">
        <v>64</v>
      </c>
      <c r="C143" s="26" t="s">
        <v>65</v>
      </c>
      <c r="D143" s="26" t="s">
        <v>8212</v>
      </c>
      <c r="E143" s="26" t="s">
        <v>20</v>
      </c>
      <c r="F143" s="26" t="s">
        <v>8080</v>
      </c>
      <c r="G143" s="26" t="s">
        <v>8213</v>
      </c>
      <c r="H143" s="26" t="s">
        <v>8207</v>
      </c>
      <c r="I143" s="26" t="s">
        <v>8217</v>
      </c>
      <c r="J143" s="26" t="s">
        <v>8209</v>
      </c>
      <c r="K143" s="26"/>
      <c r="L143" s="26" t="s">
        <v>8078</v>
      </c>
      <c r="M143" s="26" t="e">
        <v>#N/A</v>
      </c>
      <c r="N143" s="26" t="e">
        <v>#N/A</v>
      </c>
      <c r="W143" s="26" t="s">
        <v>8218</v>
      </c>
      <c r="X143" s="28">
        <v>100.0</v>
      </c>
      <c r="Y143" s="28" t="s">
        <v>7769</v>
      </c>
    </row>
    <row r="144" ht="17.25" hidden="1" customHeight="1">
      <c r="B144" s="26" t="s">
        <v>64</v>
      </c>
      <c r="C144" s="26" t="s">
        <v>65</v>
      </c>
      <c r="D144" s="26" t="s">
        <v>8219</v>
      </c>
      <c r="E144" s="26" t="s">
        <v>20</v>
      </c>
      <c r="F144" s="26" t="s">
        <v>8196</v>
      </c>
      <c r="G144" s="26" t="s">
        <v>8197</v>
      </c>
      <c r="H144" s="26" t="s">
        <v>8114</v>
      </c>
      <c r="I144" s="26" t="s">
        <v>8220</v>
      </c>
      <c r="J144" s="26" t="s">
        <v>8116</v>
      </c>
      <c r="K144" s="26"/>
      <c r="L144" s="26" t="s">
        <v>8078</v>
      </c>
      <c r="M144" s="26" t="e">
        <v>#N/A</v>
      </c>
      <c r="N144" s="26" t="e">
        <v>#N/A</v>
      </c>
      <c r="W144" s="26" t="s">
        <v>8221</v>
      </c>
      <c r="X144" s="28">
        <v>250.0</v>
      </c>
      <c r="Y144" s="28" t="s">
        <v>7769</v>
      </c>
    </row>
    <row r="145" ht="17.25" hidden="1" customHeight="1">
      <c r="B145" s="26" t="s">
        <v>64</v>
      </c>
      <c r="C145" s="26" t="s">
        <v>65</v>
      </c>
      <c r="D145" s="26" t="s">
        <v>8222</v>
      </c>
      <c r="E145" s="26" t="s">
        <v>20</v>
      </c>
      <c r="F145" s="26" t="s">
        <v>876</v>
      </c>
      <c r="G145" s="26" t="s">
        <v>8223</v>
      </c>
      <c r="H145" s="26" t="s">
        <v>8183</v>
      </c>
      <c r="I145" s="26" t="s">
        <v>8224</v>
      </c>
      <c r="J145" s="26" t="s">
        <v>8185</v>
      </c>
      <c r="K145" s="26"/>
      <c r="L145" s="26" t="s">
        <v>8078</v>
      </c>
      <c r="M145" s="26" t="e">
        <v>#N/A</v>
      </c>
      <c r="N145" s="26" t="e">
        <v>#N/A</v>
      </c>
      <c r="W145" s="26" t="s">
        <v>8225</v>
      </c>
      <c r="X145" s="28" t="s">
        <v>8186</v>
      </c>
      <c r="Y145" s="28" t="s">
        <v>7769</v>
      </c>
    </row>
    <row r="146" ht="17.25" hidden="1" customHeight="1">
      <c r="B146" s="26" t="s">
        <v>64</v>
      </c>
      <c r="C146" s="26" t="s">
        <v>65</v>
      </c>
      <c r="D146" s="26" t="s">
        <v>8226</v>
      </c>
      <c r="E146" s="26" t="s">
        <v>20</v>
      </c>
      <c r="F146" s="26" t="s">
        <v>999</v>
      </c>
      <c r="G146" s="26" t="s">
        <v>8227</v>
      </c>
      <c r="H146" s="26" t="s">
        <v>8076</v>
      </c>
      <c r="I146" s="26" t="s">
        <v>8228</v>
      </c>
      <c r="J146" s="26"/>
      <c r="K146" s="26"/>
      <c r="L146" s="26" t="s">
        <v>8078</v>
      </c>
      <c r="M146" s="26" t="e">
        <v>#N/A</v>
      </c>
      <c r="N146" s="26" t="e">
        <v>#N/A</v>
      </c>
      <c r="W146" s="26" t="s">
        <v>8228</v>
      </c>
    </row>
    <row r="147" ht="17.25" hidden="1" customHeight="1">
      <c r="B147" s="26" t="s">
        <v>64</v>
      </c>
      <c r="C147" s="26" t="s">
        <v>65</v>
      </c>
      <c r="D147" s="26" t="s">
        <v>8226</v>
      </c>
      <c r="E147" s="26" t="s">
        <v>20</v>
      </c>
      <c r="F147" s="26" t="s">
        <v>999</v>
      </c>
      <c r="G147" s="26" t="s">
        <v>8227</v>
      </c>
      <c r="H147" s="26" t="s">
        <v>8114</v>
      </c>
      <c r="I147" s="26" t="s">
        <v>8229</v>
      </c>
      <c r="J147" s="26" t="s">
        <v>8116</v>
      </c>
      <c r="K147" s="26"/>
      <c r="L147" s="26" t="s">
        <v>8078</v>
      </c>
      <c r="M147" s="26" t="e">
        <v>#N/A</v>
      </c>
      <c r="N147" s="26" t="e">
        <v>#N/A</v>
      </c>
      <c r="W147" s="26" t="s">
        <v>8230</v>
      </c>
      <c r="X147" s="28">
        <v>250.0</v>
      </c>
      <c r="Y147" s="28" t="s">
        <v>7769</v>
      </c>
    </row>
    <row r="148" ht="17.25" hidden="1" customHeight="1">
      <c r="B148" s="26" t="s">
        <v>64</v>
      </c>
      <c r="C148" s="26" t="s">
        <v>65</v>
      </c>
      <c r="D148" s="26" t="s">
        <v>8231</v>
      </c>
      <c r="E148" s="26" t="s">
        <v>12</v>
      </c>
      <c r="F148" s="26" t="s">
        <v>1305</v>
      </c>
      <c r="G148" s="26" t="s">
        <v>68</v>
      </c>
      <c r="H148" s="26" t="s">
        <v>8183</v>
      </c>
      <c r="I148" s="26" t="s">
        <v>8232</v>
      </c>
      <c r="J148" s="26" t="s">
        <v>8185</v>
      </c>
      <c r="K148" s="26"/>
      <c r="L148" s="26" t="s">
        <v>8078</v>
      </c>
      <c r="M148" s="26" t="e">
        <v>#N/A</v>
      </c>
      <c r="N148" s="26" t="e">
        <v>#N/A</v>
      </c>
      <c r="W148" s="26" t="s">
        <v>8233</v>
      </c>
      <c r="X148" s="28" t="s">
        <v>8186</v>
      </c>
      <c r="Y148" s="28" t="s">
        <v>7769</v>
      </c>
    </row>
    <row r="149" ht="17.25" hidden="1" customHeight="1">
      <c r="B149" s="26" t="s">
        <v>64</v>
      </c>
      <c r="C149" s="26" t="s">
        <v>65</v>
      </c>
      <c r="D149" s="26" t="s">
        <v>8231</v>
      </c>
      <c r="E149" s="26" t="s">
        <v>12</v>
      </c>
      <c r="F149" s="26" t="s">
        <v>1305</v>
      </c>
      <c r="G149" s="26" t="s">
        <v>68</v>
      </c>
      <c r="H149" s="26" t="s">
        <v>8187</v>
      </c>
      <c r="I149" s="26" t="s">
        <v>8234</v>
      </c>
      <c r="J149" s="26" t="s">
        <v>8189</v>
      </c>
      <c r="K149" s="26"/>
      <c r="L149" s="26" t="s">
        <v>8078</v>
      </c>
      <c r="M149" s="26" t="e">
        <v>#N/A</v>
      </c>
      <c r="N149" s="26" t="e">
        <v>#N/A</v>
      </c>
      <c r="W149" s="26" t="s">
        <v>8233</v>
      </c>
      <c r="X149" s="28" t="s">
        <v>8190</v>
      </c>
      <c r="Y149" s="28" t="s">
        <v>7769</v>
      </c>
    </row>
    <row r="150" ht="17.25" hidden="1" customHeight="1">
      <c r="B150" s="26" t="s">
        <v>64</v>
      </c>
      <c r="C150" s="26" t="s">
        <v>65</v>
      </c>
      <c r="D150" s="26" t="s">
        <v>8231</v>
      </c>
      <c r="E150" s="26" t="s">
        <v>12</v>
      </c>
      <c r="F150" s="26" t="s">
        <v>1305</v>
      </c>
      <c r="G150" s="26" t="s">
        <v>68</v>
      </c>
      <c r="H150" s="26" t="s">
        <v>8173</v>
      </c>
      <c r="I150" s="26" t="s">
        <v>8235</v>
      </c>
      <c r="J150" s="26" t="s">
        <v>8175</v>
      </c>
      <c r="K150" s="26"/>
      <c r="L150" s="26" t="s">
        <v>8078</v>
      </c>
      <c r="M150" s="26" t="e">
        <v>#N/A</v>
      </c>
      <c r="N150" s="26" t="e">
        <v>#N/A</v>
      </c>
      <c r="W150" s="26" t="s">
        <v>8233</v>
      </c>
      <c r="X150" s="28" t="s">
        <v>8177</v>
      </c>
      <c r="Y150" s="28" t="s">
        <v>7769</v>
      </c>
    </row>
    <row r="151" ht="17.25" hidden="1" customHeight="1">
      <c r="B151" s="26" t="s">
        <v>64</v>
      </c>
      <c r="C151" s="26" t="s">
        <v>65</v>
      </c>
      <c r="D151" s="26" t="s">
        <v>8231</v>
      </c>
      <c r="E151" s="26" t="s">
        <v>12</v>
      </c>
      <c r="F151" s="26" t="s">
        <v>1305</v>
      </c>
      <c r="G151" s="26" t="s">
        <v>68</v>
      </c>
      <c r="H151" s="26" t="s">
        <v>8178</v>
      </c>
      <c r="I151" s="26" t="s">
        <v>8236</v>
      </c>
      <c r="J151" s="26" t="s">
        <v>8180</v>
      </c>
      <c r="K151" s="26"/>
      <c r="L151" s="26" t="s">
        <v>8078</v>
      </c>
      <c r="M151" s="26" t="e">
        <v>#N/A</v>
      </c>
      <c r="N151" s="26" t="e">
        <v>#N/A</v>
      </c>
      <c r="W151" s="26" t="s">
        <v>8233</v>
      </c>
      <c r="X151" s="28" t="s">
        <v>8181</v>
      </c>
      <c r="Y151" s="28" t="s">
        <v>7769</v>
      </c>
    </row>
    <row r="152" ht="17.25" hidden="1" customHeight="1">
      <c r="B152" s="26" t="s">
        <v>64</v>
      </c>
      <c r="C152" s="26" t="s">
        <v>65</v>
      </c>
      <c r="D152" s="26" t="s">
        <v>8231</v>
      </c>
      <c r="E152" s="26" t="s">
        <v>12</v>
      </c>
      <c r="F152" s="26" t="s">
        <v>880</v>
      </c>
      <c r="G152" s="26" t="s">
        <v>8237</v>
      </c>
      <c r="H152" s="26" t="s">
        <v>8100</v>
      </c>
      <c r="I152" s="26" t="s">
        <v>8238</v>
      </c>
      <c r="J152" s="26"/>
      <c r="K152" s="26"/>
      <c r="L152" s="26" t="s">
        <v>8078</v>
      </c>
      <c r="M152" s="26" t="e">
        <v>#N/A</v>
      </c>
      <c r="N152" s="26" t="e">
        <v>#N/A</v>
      </c>
      <c r="W152" s="26" t="s">
        <v>8238</v>
      </c>
    </row>
    <row r="153" ht="17.25" hidden="1" customHeight="1">
      <c r="B153" s="26" t="s">
        <v>64</v>
      </c>
      <c r="C153" s="26" t="s">
        <v>65</v>
      </c>
      <c r="D153" s="26" t="s">
        <v>8231</v>
      </c>
      <c r="E153" s="26" t="s">
        <v>12</v>
      </c>
      <c r="F153" s="26" t="s">
        <v>880</v>
      </c>
      <c r="G153" s="26" t="s">
        <v>8237</v>
      </c>
      <c r="H153" s="26" t="s">
        <v>8239</v>
      </c>
      <c r="I153" s="26" t="s">
        <v>8240</v>
      </c>
      <c r="J153" s="26"/>
      <c r="K153" s="26"/>
      <c r="L153" s="26" t="s">
        <v>8078</v>
      </c>
      <c r="M153" s="26" t="e">
        <v>#N/A</v>
      </c>
      <c r="N153" s="26" t="e">
        <v>#N/A</v>
      </c>
      <c r="W153" s="26" t="s">
        <v>8240</v>
      </c>
    </row>
    <row r="154" ht="17.25" hidden="1" customHeight="1">
      <c r="B154" s="26" t="s">
        <v>64</v>
      </c>
      <c r="C154" s="26" t="s">
        <v>65</v>
      </c>
      <c r="D154" s="26" t="s">
        <v>8231</v>
      </c>
      <c r="E154" s="26" t="s">
        <v>20</v>
      </c>
      <c r="F154" s="26" t="s">
        <v>8080</v>
      </c>
      <c r="G154" s="26" t="s">
        <v>8241</v>
      </c>
      <c r="H154" s="26" t="s">
        <v>8094</v>
      </c>
      <c r="I154" s="26" t="s">
        <v>8242</v>
      </c>
      <c r="J154" s="26"/>
      <c r="K154" s="26"/>
      <c r="L154" s="26" t="s">
        <v>8078</v>
      </c>
      <c r="M154" s="26" t="e">
        <v>#N/A</v>
      </c>
      <c r="N154" s="26" t="e">
        <v>#N/A</v>
      </c>
      <c r="W154" s="26" t="s">
        <v>8242</v>
      </c>
    </row>
    <row r="155" ht="17.25" hidden="1" customHeight="1">
      <c r="B155" s="26" t="s">
        <v>64</v>
      </c>
      <c r="C155" s="26" t="s">
        <v>65</v>
      </c>
      <c r="D155" s="26" t="s">
        <v>8231</v>
      </c>
      <c r="E155" s="26" t="s">
        <v>20</v>
      </c>
      <c r="F155" s="26" t="s">
        <v>8080</v>
      </c>
      <c r="G155" s="26" t="s">
        <v>8241</v>
      </c>
      <c r="H155" s="26" t="s">
        <v>8243</v>
      </c>
      <c r="I155" s="26" t="s">
        <v>8244</v>
      </c>
      <c r="J155" s="26"/>
      <c r="K155" s="26"/>
      <c r="L155" s="26" t="s">
        <v>8078</v>
      </c>
      <c r="M155" s="26" t="e">
        <v>#N/A</v>
      </c>
      <c r="N155" s="26" t="e">
        <v>#N/A</v>
      </c>
      <c r="W155" s="26" t="s">
        <v>8244</v>
      </c>
    </row>
    <row r="156" ht="17.25" hidden="1" customHeight="1">
      <c r="B156" s="26" t="s">
        <v>64</v>
      </c>
      <c r="C156" s="26" t="s">
        <v>65</v>
      </c>
      <c r="D156" s="26" t="s">
        <v>8231</v>
      </c>
      <c r="E156" s="26" t="s">
        <v>20</v>
      </c>
      <c r="F156" s="26" t="s">
        <v>8080</v>
      </c>
      <c r="G156" s="26" t="s">
        <v>8241</v>
      </c>
      <c r="H156" s="26" t="s">
        <v>8153</v>
      </c>
      <c r="I156" s="26" t="s">
        <v>8245</v>
      </c>
      <c r="J156" s="26"/>
      <c r="K156" s="26"/>
      <c r="L156" s="26" t="s">
        <v>8078</v>
      </c>
      <c r="M156" s="26" t="e">
        <v>#N/A</v>
      </c>
      <c r="N156" s="26" t="e">
        <v>#N/A</v>
      </c>
      <c r="W156" s="26" t="s">
        <v>8245</v>
      </c>
    </row>
    <row r="157" ht="17.25" hidden="1" customHeight="1">
      <c r="B157" s="26" t="s">
        <v>64</v>
      </c>
      <c r="C157" s="26" t="s">
        <v>65</v>
      </c>
      <c r="D157" s="26" t="s">
        <v>8231</v>
      </c>
      <c r="E157" s="26" t="s">
        <v>20</v>
      </c>
      <c r="F157" s="26" t="s">
        <v>8080</v>
      </c>
      <c r="G157" s="26" t="s">
        <v>8241</v>
      </c>
      <c r="H157" s="26" t="s">
        <v>8100</v>
      </c>
      <c r="I157" s="26" t="s">
        <v>8246</v>
      </c>
      <c r="J157" s="26"/>
      <c r="K157" s="26"/>
      <c r="L157" s="26" t="s">
        <v>8078</v>
      </c>
      <c r="M157" s="26" t="e">
        <v>#N/A</v>
      </c>
      <c r="N157" s="26" t="e">
        <v>#N/A</v>
      </c>
      <c r="W157" s="26" t="s">
        <v>8246</v>
      </c>
    </row>
    <row r="158" ht="17.25" hidden="1" customHeight="1">
      <c r="B158" s="26" t="s">
        <v>64</v>
      </c>
      <c r="C158" s="26" t="s">
        <v>65</v>
      </c>
      <c r="D158" s="26" t="s">
        <v>8231</v>
      </c>
      <c r="E158" s="26" t="s">
        <v>20</v>
      </c>
      <c r="F158" s="26" t="s">
        <v>8080</v>
      </c>
      <c r="G158" s="26" t="s">
        <v>8241</v>
      </c>
      <c r="H158" s="26" t="s">
        <v>8207</v>
      </c>
      <c r="I158" s="26" t="s">
        <v>8247</v>
      </c>
      <c r="J158" s="26" t="s">
        <v>8209</v>
      </c>
      <c r="K158" s="26"/>
      <c r="L158" s="26" t="s">
        <v>8078</v>
      </c>
      <c r="M158" s="26" t="e">
        <v>#N/A</v>
      </c>
      <c r="N158" s="26" t="e">
        <v>#N/A</v>
      </c>
      <c r="W158" s="26" t="s">
        <v>8248</v>
      </c>
      <c r="X158" s="28">
        <v>100.0</v>
      </c>
      <c r="Y158" s="28" t="s">
        <v>7769</v>
      </c>
    </row>
    <row r="159" ht="17.25" hidden="1" customHeight="1">
      <c r="B159" s="26" t="s">
        <v>64</v>
      </c>
      <c r="C159" s="26" t="s">
        <v>65</v>
      </c>
      <c r="D159" s="26" t="s">
        <v>8231</v>
      </c>
      <c r="E159" s="26" t="s">
        <v>20</v>
      </c>
      <c r="F159" s="26" t="s">
        <v>8080</v>
      </c>
      <c r="G159" s="26" t="s">
        <v>8241</v>
      </c>
      <c r="H159" s="26" t="s">
        <v>8173</v>
      </c>
      <c r="I159" s="26" t="s">
        <v>8249</v>
      </c>
      <c r="J159" s="26" t="s">
        <v>8175</v>
      </c>
      <c r="K159" s="26"/>
      <c r="L159" s="26" t="s">
        <v>8078</v>
      </c>
      <c r="M159" s="26" t="e">
        <v>#N/A</v>
      </c>
      <c r="N159" s="26" t="e">
        <v>#N/A</v>
      </c>
      <c r="W159" s="26" t="s">
        <v>8248</v>
      </c>
      <c r="X159" s="28" t="s">
        <v>8177</v>
      </c>
      <c r="Y159" s="28" t="s">
        <v>7769</v>
      </c>
    </row>
    <row r="160" ht="17.25" hidden="1" customHeight="1">
      <c r="B160" s="26" t="s">
        <v>64</v>
      </c>
      <c r="C160" s="26" t="s">
        <v>65</v>
      </c>
      <c r="D160" s="26" t="s">
        <v>8231</v>
      </c>
      <c r="E160" s="26" t="s">
        <v>20</v>
      </c>
      <c r="F160" s="26" t="s">
        <v>788</v>
      </c>
      <c r="G160" s="26" t="s">
        <v>8250</v>
      </c>
      <c r="H160" s="26" t="s">
        <v>8076</v>
      </c>
      <c r="I160" s="26" t="s">
        <v>8251</v>
      </c>
      <c r="J160" s="26"/>
      <c r="K160" s="26"/>
      <c r="L160" s="26" t="s">
        <v>8078</v>
      </c>
      <c r="M160" s="26" t="e">
        <v>#N/A</v>
      </c>
      <c r="N160" s="26" t="e">
        <v>#N/A</v>
      </c>
      <c r="W160" s="26" t="s">
        <v>8251</v>
      </c>
    </row>
    <row r="161" ht="17.25" hidden="1" customHeight="1">
      <c r="B161" s="26" t="s">
        <v>64</v>
      </c>
      <c r="C161" s="26" t="s">
        <v>65</v>
      </c>
      <c r="D161" s="26" t="s">
        <v>8231</v>
      </c>
      <c r="E161" s="26" t="s">
        <v>20</v>
      </c>
      <c r="F161" s="26" t="s">
        <v>850</v>
      </c>
      <c r="G161" s="26" t="s">
        <v>8252</v>
      </c>
      <c r="H161" s="26" t="s">
        <v>8100</v>
      </c>
      <c r="I161" s="26" t="s">
        <v>8253</v>
      </c>
      <c r="J161" s="26"/>
      <c r="K161" s="26"/>
      <c r="L161" s="26" t="s">
        <v>8078</v>
      </c>
      <c r="M161" s="26" t="e">
        <v>#N/A</v>
      </c>
      <c r="N161" s="26" t="e">
        <v>#N/A</v>
      </c>
      <c r="W161" s="26" t="s">
        <v>8253</v>
      </c>
    </row>
    <row r="162" ht="17.25" hidden="1" customHeight="1">
      <c r="B162" s="26" t="s">
        <v>64</v>
      </c>
      <c r="C162" s="26" t="s">
        <v>65</v>
      </c>
      <c r="D162" s="26" t="s">
        <v>8231</v>
      </c>
      <c r="E162" s="26" t="s">
        <v>20</v>
      </c>
      <c r="F162" s="26" t="s">
        <v>1305</v>
      </c>
      <c r="G162" s="26" t="s">
        <v>73</v>
      </c>
      <c r="H162" s="26" t="s">
        <v>8207</v>
      </c>
      <c r="I162" s="26" t="s">
        <v>8254</v>
      </c>
      <c r="J162" s="26" t="s">
        <v>8209</v>
      </c>
      <c r="K162" s="26"/>
      <c r="L162" s="26" t="s">
        <v>8078</v>
      </c>
      <c r="M162" s="26" t="e">
        <v>#N/A</v>
      </c>
      <c r="N162" s="26" t="e">
        <v>#N/A</v>
      </c>
      <c r="W162" s="26" t="s">
        <v>8255</v>
      </c>
      <c r="X162" s="28">
        <v>100.0</v>
      </c>
      <c r="Y162" s="28" t="s">
        <v>7769</v>
      </c>
    </row>
    <row r="163" ht="17.25" hidden="1" customHeight="1">
      <c r="B163" s="26" t="s">
        <v>64</v>
      </c>
      <c r="C163" s="26" t="s">
        <v>65</v>
      </c>
      <c r="D163" s="26" t="s">
        <v>8231</v>
      </c>
      <c r="E163" s="26" t="s">
        <v>20</v>
      </c>
      <c r="F163" s="26" t="s">
        <v>1305</v>
      </c>
      <c r="G163" s="26" t="s">
        <v>74</v>
      </c>
      <c r="H163" s="26" t="s">
        <v>8076</v>
      </c>
      <c r="I163" s="26" t="s">
        <v>8256</v>
      </c>
      <c r="J163" s="26"/>
      <c r="K163" s="26"/>
      <c r="L163" s="26" t="s">
        <v>8078</v>
      </c>
      <c r="M163" s="26" t="e">
        <v>#N/A</v>
      </c>
      <c r="N163" s="26" t="e">
        <v>#N/A</v>
      </c>
      <c r="W163" s="26" t="s">
        <v>8256</v>
      </c>
    </row>
    <row r="164" ht="17.25" hidden="1" customHeight="1">
      <c r="B164" s="26" t="s">
        <v>64</v>
      </c>
      <c r="C164" s="26" t="s">
        <v>65</v>
      </c>
      <c r="D164" s="26" t="s">
        <v>8231</v>
      </c>
      <c r="E164" s="26" t="s">
        <v>20</v>
      </c>
      <c r="F164" s="26" t="s">
        <v>1305</v>
      </c>
      <c r="G164" s="26" t="s">
        <v>75</v>
      </c>
      <c r="H164" s="26" t="s">
        <v>8207</v>
      </c>
      <c r="I164" s="26" t="s">
        <v>8257</v>
      </c>
      <c r="J164" s="26" t="s">
        <v>8209</v>
      </c>
      <c r="K164" s="26"/>
      <c r="L164" s="26" t="s">
        <v>8078</v>
      </c>
      <c r="M164" s="26" t="e">
        <v>#N/A</v>
      </c>
      <c r="N164" s="26" t="e">
        <v>#N/A</v>
      </c>
      <c r="W164" s="26" t="s">
        <v>8258</v>
      </c>
      <c r="X164" s="28">
        <v>100.0</v>
      </c>
      <c r="Y164" s="28" t="s">
        <v>7769</v>
      </c>
    </row>
    <row r="165" ht="17.25" hidden="1" customHeight="1">
      <c r="B165" s="26" t="s">
        <v>64</v>
      </c>
      <c r="C165" s="26" t="s">
        <v>65</v>
      </c>
      <c r="D165" s="26" t="s">
        <v>8231</v>
      </c>
      <c r="E165" s="26" t="s">
        <v>20</v>
      </c>
      <c r="F165" s="26" t="s">
        <v>1305</v>
      </c>
      <c r="G165" s="26" t="s">
        <v>75</v>
      </c>
      <c r="H165" s="26" t="s">
        <v>8114</v>
      </c>
      <c r="I165" s="26" t="s">
        <v>8259</v>
      </c>
      <c r="J165" s="26" t="s">
        <v>8116</v>
      </c>
      <c r="K165" s="26"/>
      <c r="L165" s="26" t="s">
        <v>8078</v>
      </c>
      <c r="M165" s="26" t="e">
        <v>#N/A</v>
      </c>
      <c r="N165" s="26" t="e">
        <v>#N/A</v>
      </c>
      <c r="W165" s="26" t="s">
        <v>8258</v>
      </c>
      <c r="X165" s="28">
        <v>250.0</v>
      </c>
      <c r="Y165" s="28" t="s">
        <v>7769</v>
      </c>
    </row>
    <row r="166" ht="17.25" hidden="1" customHeight="1">
      <c r="B166" s="26" t="s">
        <v>64</v>
      </c>
      <c r="C166" s="26" t="s">
        <v>65</v>
      </c>
      <c r="D166" s="26" t="s">
        <v>8231</v>
      </c>
      <c r="E166" s="26" t="s">
        <v>20</v>
      </c>
      <c r="F166" s="26" t="s">
        <v>880</v>
      </c>
      <c r="G166" s="26" t="s">
        <v>8260</v>
      </c>
      <c r="H166" s="26" t="s">
        <v>8114</v>
      </c>
      <c r="I166" s="26" t="s">
        <v>8261</v>
      </c>
      <c r="J166" s="26" t="s">
        <v>8116</v>
      </c>
      <c r="K166" s="26"/>
      <c r="L166" s="26" t="s">
        <v>8078</v>
      </c>
      <c r="M166" s="26" t="e">
        <v>#N/A</v>
      </c>
      <c r="N166" s="26" t="e">
        <v>#N/A</v>
      </c>
      <c r="W166" s="26" t="s">
        <v>8262</v>
      </c>
      <c r="X166" s="28">
        <v>250.0</v>
      </c>
      <c r="Y166" s="28" t="s">
        <v>7769</v>
      </c>
    </row>
    <row r="167" ht="17.25" hidden="1" customHeight="1">
      <c r="B167" s="26" t="s">
        <v>64</v>
      </c>
      <c r="C167" s="26" t="s">
        <v>65</v>
      </c>
      <c r="D167" s="26" t="s">
        <v>8263</v>
      </c>
      <c r="E167" s="26" t="s">
        <v>20</v>
      </c>
      <c r="F167" s="26" t="s">
        <v>7869</v>
      </c>
      <c r="G167" s="26" t="s">
        <v>8264</v>
      </c>
      <c r="H167" s="26" t="s">
        <v>8076</v>
      </c>
      <c r="I167" s="26" t="s">
        <v>8265</v>
      </c>
      <c r="J167" s="26"/>
      <c r="K167" s="26"/>
      <c r="L167" s="26" t="s">
        <v>8078</v>
      </c>
      <c r="M167" s="26" t="e">
        <v>#N/A</v>
      </c>
      <c r="N167" s="26" t="e">
        <v>#N/A</v>
      </c>
      <c r="W167" s="26" t="s">
        <v>8265</v>
      </c>
    </row>
    <row r="168" ht="17.25" hidden="1" customHeight="1">
      <c r="B168" s="26" t="s">
        <v>64</v>
      </c>
      <c r="C168" s="26" t="s">
        <v>65</v>
      </c>
      <c r="D168" s="26" t="s">
        <v>8266</v>
      </c>
      <c r="E168" s="26" t="s">
        <v>20</v>
      </c>
      <c r="F168" s="26" t="s">
        <v>8049</v>
      </c>
      <c r="G168" s="26" t="s">
        <v>8099</v>
      </c>
      <c r="H168" s="26" t="s">
        <v>8110</v>
      </c>
      <c r="I168" s="26" t="s">
        <v>8267</v>
      </c>
      <c r="J168" s="26"/>
      <c r="K168" s="26"/>
      <c r="L168" s="26" t="s">
        <v>8078</v>
      </c>
      <c r="M168" s="26" t="e">
        <v>#N/A</v>
      </c>
      <c r="N168" s="26" t="e">
        <v>#N/A</v>
      </c>
      <c r="W168" s="26" t="s">
        <v>8267</v>
      </c>
    </row>
    <row r="169" ht="17.25" hidden="1" customHeight="1">
      <c r="B169" s="26" t="s">
        <v>64</v>
      </c>
      <c r="C169" s="26" t="s">
        <v>65</v>
      </c>
      <c r="D169" s="26" t="s">
        <v>8268</v>
      </c>
      <c r="E169" s="26" t="s">
        <v>20</v>
      </c>
      <c r="F169" s="26" t="s">
        <v>1305</v>
      </c>
      <c r="G169" s="26" t="s">
        <v>72</v>
      </c>
      <c r="H169" s="26" t="s">
        <v>8114</v>
      </c>
      <c r="I169" s="26" t="s">
        <v>8269</v>
      </c>
      <c r="J169" s="26" t="s">
        <v>8116</v>
      </c>
      <c r="K169" s="26"/>
      <c r="L169" s="26" t="s">
        <v>8078</v>
      </c>
      <c r="M169" s="26" t="e">
        <v>#N/A</v>
      </c>
      <c r="N169" s="26" t="e">
        <v>#N/A</v>
      </c>
      <c r="W169" s="26" t="s">
        <v>8270</v>
      </c>
      <c r="X169" s="28">
        <v>250.0</v>
      </c>
      <c r="Y169" s="28" t="s">
        <v>7769</v>
      </c>
    </row>
    <row r="170" ht="17.25" hidden="1" customHeight="1">
      <c r="B170" s="26" t="s">
        <v>64</v>
      </c>
      <c r="C170" s="26" t="s">
        <v>65</v>
      </c>
      <c r="D170" s="26" t="s">
        <v>8271</v>
      </c>
      <c r="E170" s="26" t="s">
        <v>20</v>
      </c>
      <c r="F170" s="26" t="s">
        <v>8080</v>
      </c>
      <c r="G170" s="26" t="s">
        <v>8272</v>
      </c>
      <c r="H170" s="26" t="s">
        <v>8153</v>
      </c>
      <c r="I170" s="26" t="s">
        <v>8273</v>
      </c>
      <c r="J170" s="26"/>
      <c r="K170" s="26"/>
      <c r="L170" s="26" t="s">
        <v>8078</v>
      </c>
      <c r="M170" s="26" t="e">
        <v>#N/A</v>
      </c>
      <c r="N170" s="26" t="e">
        <v>#N/A</v>
      </c>
      <c r="W170" s="26" t="s">
        <v>8273</v>
      </c>
    </row>
    <row r="171" ht="17.25" hidden="1" customHeight="1">
      <c r="B171" s="26" t="s">
        <v>64</v>
      </c>
      <c r="C171" s="26" t="s">
        <v>65</v>
      </c>
      <c r="D171" s="26" t="s">
        <v>8274</v>
      </c>
      <c r="E171" s="26" t="s">
        <v>20</v>
      </c>
      <c r="F171" s="26" t="s">
        <v>1305</v>
      </c>
      <c r="G171" s="26" t="s">
        <v>70</v>
      </c>
      <c r="H171" s="26" t="s">
        <v>8114</v>
      </c>
      <c r="I171" s="26" t="s">
        <v>8275</v>
      </c>
      <c r="J171" s="26" t="s">
        <v>8116</v>
      </c>
      <c r="K171" s="26"/>
      <c r="L171" s="26" t="s">
        <v>8078</v>
      </c>
      <c r="M171" s="26" t="e">
        <v>#N/A</v>
      </c>
      <c r="N171" s="26" t="e">
        <v>#N/A</v>
      </c>
      <c r="W171" s="26" t="s">
        <v>8276</v>
      </c>
      <c r="X171" s="28">
        <v>250.0</v>
      </c>
      <c r="Y171" s="28" t="s">
        <v>7769</v>
      </c>
    </row>
    <row r="172" ht="17.25" hidden="1" customHeight="1">
      <c r="B172" s="26" t="s">
        <v>64</v>
      </c>
      <c r="C172" s="26" t="s">
        <v>65</v>
      </c>
      <c r="D172" s="26" t="s">
        <v>8274</v>
      </c>
      <c r="E172" s="26" t="s">
        <v>20</v>
      </c>
      <c r="F172" s="26" t="s">
        <v>1305</v>
      </c>
      <c r="G172" s="26" t="s">
        <v>70</v>
      </c>
      <c r="H172" s="26" t="s">
        <v>7811</v>
      </c>
      <c r="I172" s="26" t="s">
        <v>8277</v>
      </c>
      <c r="J172" s="26" t="s">
        <v>7813</v>
      </c>
      <c r="K172" s="26"/>
      <c r="L172" s="26" t="s">
        <v>8078</v>
      </c>
      <c r="M172" s="26" t="e">
        <v>#N/A</v>
      </c>
      <c r="N172" s="26" t="e">
        <v>#N/A</v>
      </c>
      <c r="W172" s="26" t="s">
        <v>8276</v>
      </c>
      <c r="X172" s="28">
        <v>500.0</v>
      </c>
      <c r="Y172" s="28" t="s">
        <v>7769</v>
      </c>
    </row>
    <row r="173" ht="17.25" hidden="1" customHeight="1">
      <c r="B173" s="26" t="s">
        <v>64</v>
      </c>
      <c r="C173" s="26" t="s">
        <v>65</v>
      </c>
      <c r="D173" s="26" t="s">
        <v>8278</v>
      </c>
      <c r="E173" s="26" t="s">
        <v>20</v>
      </c>
      <c r="F173" s="26" t="s">
        <v>8080</v>
      </c>
      <c r="G173" s="26" t="s">
        <v>8279</v>
      </c>
      <c r="H173" s="26" t="s">
        <v>8094</v>
      </c>
      <c r="I173" s="26" t="s">
        <v>8280</v>
      </c>
      <c r="J173" s="26"/>
      <c r="K173" s="26"/>
      <c r="L173" s="26" t="s">
        <v>8078</v>
      </c>
      <c r="M173" s="26" t="e">
        <v>#N/A</v>
      </c>
      <c r="N173" s="26" t="e">
        <v>#N/A</v>
      </c>
      <c r="W173" s="26" t="s">
        <v>8280</v>
      </c>
    </row>
    <row r="174" ht="17.25" hidden="1" customHeight="1">
      <c r="B174" s="26" t="s">
        <v>64</v>
      </c>
      <c r="C174" s="26" t="s">
        <v>65</v>
      </c>
      <c r="D174" s="26" t="s">
        <v>8278</v>
      </c>
      <c r="E174" s="26" t="s">
        <v>20</v>
      </c>
      <c r="F174" s="26" t="s">
        <v>8080</v>
      </c>
      <c r="G174" s="26" t="s">
        <v>8279</v>
      </c>
      <c r="H174" s="26" t="s">
        <v>8076</v>
      </c>
      <c r="I174" s="26" t="s">
        <v>8281</v>
      </c>
      <c r="J174" s="26"/>
      <c r="K174" s="26"/>
      <c r="L174" s="26" t="s">
        <v>8078</v>
      </c>
      <c r="M174" s="26" t="e">
        <v>#N/A</v>
      </c>
      <c r="N174" s="26" t="e">
        <v>#N/A</v>
      </c>
      <c r="W174" s="26" t="s">
        <v>8281</v>
      </c>
    </row>
    <row r="175" ht="17.25" hidden="1" customHeight="1">
      <c r="B175" s="26" t="s">
        <v>64</v>
      </c>
      <c r="C175" s="26" t="s">
        <v>65</v>
      </c>
      <c r="D175" s="26" t="s">
        <v>8278</v>
      </c>
      <c r="E175" s="26" t="s">
        <v>20</v>
      </c>
      <c r="F175" s="26" t="s">
        <v>8080</v>
      </c>
      <c r="G175" s="26" t="s">
        <v>8279</v>
      </c>
      <c r="H175" s="26" t="s">
        <v>8207</v>
      </c>
      <c r="I175" s="26" t="s">
        <v>8282</v>
      </c>
      <c r="J175" s="26" t="s">
        <v>8209</v>
      </c>
      <c r="K175" s="26"/>
      <c r="L175" s="26" t="s">
        <v>8078</v>
      </c>
      <c r="M175" s="26" t="e">
        <v>#N/A</v>
      </c>
      <c r="N175" s="26" t="e">
        <v>#N/A</v>
      </c>
      <c r="W175" s="26" t="s">
        <v>8283</v>
      </c>
      <c r="X175" s="28">
        <v>100.0</v>
      </c>
      <c r="Y175" s="28" t="s">
        <v>7769</v>
      </c>
    </row>
    <row r="176" ht="17.25" hidden="1" customHeight="1">
      <c r="B176" s="26" t="s">
        <v>64</v>
      </c>
      <c r="C176" s="26" t="s">
        <v>65</v>
      </c>
      <c r="D176" s="26" t="s">
        <v>8278</v>
      </c>
      <c r="E176" s="26" t="s">
        <v>20</v>
      </c>
      <c r="F176" s="26" t="s">
        <v>8080</v>
      </c>
      <c r="G176" s="26" t="s">
        <v>8279</v>
      </c>
      <c r="H176" s="26" t="s">
        <v>8114</v>
      </c>
      <c r="I176" s="26" t="s">
        <v>8284</v>
      </c>
      <c r="J176" s="26" t="s">
        <v>8116</v>
      </c>
      <c r="K176" s="26"/>
      <c r="L176" s="26" t="s">
        <v>8078</v>
      </c>
      <c r="M176" s="26" t="e">
        <v>#N/A</v>
      </c>
      <c r="N176" s="26" t="e">
        <v>#N/A</v>
      </c>
      <c r="W176" s="26" t="s">
        <v>8283</v>
      </c>
      <c r="X176" s="28">
        <v>250.0</v>
      </c>
      <c r="Y176" s="28" t="s">
        <v>7769</v>
      </c>
    </row>
    <row r="177" ht="17.25" hidden="1" customHeight="1">
      <c r="B177" s="26" t="s">
        <v>64</v>
      </c>
      <c r="C177" s="26" t="s">
        <v>65</v>
      </c>
      <c r="D177" s="26" t="s">
        <v>8285</v>
      </c>
      <c r="E177" s="26" t="s">
        <v>20</v>
      </c>
      <c r="F177" s="26" t="s">
        <v>8049</v>
      </c>
      <c r="G177" s="26" t="s">
        <v>8286</v>
      </c>
      <c r="H177" s="26" t="s">
        <v>8153</v>
      </c>
      <c r="I177" s="26" t="s">
        <v>8287</v>
      </c>
      <c r="J177" s="26"/>
      <c r="K177" s="26"/>
      <c r="L177" s="26" t="s">
        <v>8078</v>
      </c>
      <c r="M177" s="26" t="e">
        <v>#N/A</v>
      </c>
      <c r="N177" s="26" t="e">
        <v>#N/A</v>
      </c>
      <c r="W177" s="26" t="s">
        <v>8287</v>
      </c>
    </row>
    <row r="178" ht="17.25" hidden="1" customHeight="1">
      <c r="B178" s="26" t="s">
        <v>64</v>
      </c>
      <c r="C178" s="26" t="s">
        <v>65</v>
      </c>
      <c r="D178" s="26" t="s">
        <v>8285</v>
      </c>
      <c r="E178" s="26" t="s">
        <v>20</v>
      </c>
      <c r="F178" s="26" t="s">
        <v>8049</v>
      </c>
      <c r="G178" s="26" t="s">
        <v>8286</v>
      </c>
      <c r="H178" s="26" t="s">
        <v>8076</v>
      </c>
      <c r="I178" s="26" t="s">
        <v>8288</v>
      </c>
      <c r="J178" s="26"/>
      <c r="K178" s="26"/>
      <c r="L178" s="26" t="s">
        <v>8078</v>
      </c>
      <c r="M178" s="26" t="e">
        <v>#N/A</v>
      </c>
      <c r="N178" s="26" t="e">
        <v>#N/A</v>
      </c>
      <c r="W178" s="26" t="s">
        <v>8288</v>
      </c>
    </row>
    <row r="179" ht="17.25" hidden="1" customHeight="1">
      <c r="B179" s="26" t="s">
        <v>64</v>
      </c>
      <c r="C179" s="26" t="s">
        <v>65</v>
      </c>
      <c r="D179" s="26" t="s">
        <v>8289</v>
      </c>
      <c r="E179" s="26" t="s">
        <v>20</v>
      </c>
      <c r="F179" s="26" t="s">
        <v>788</v>
      </c>
      <c r="G179" s="26" t="s">
        <v>8290</v>
      </c>
      <c r="H179" s="26" t="s">
        <v>8100</v>
      </c>
      <c r="I179" s="26" t="s">
        <v>8291</v>
      </c>
      <c r="J179" s="26"/>
      <c r="K179" s="26"/>
      <c r="L179" s="26" t="s">
        <v>8078</v>
      </c>
      <c r="M179" s="26" t="e">
        <v>#N/A</v>
      </c>
      <c r="N179" s="26" t="e">
        <v>#N/A</v>
      </c>
      <c r="W179" s="26" t="s">
        <v>8291</v>
      </c>
    </row>
    <row r="180" ht="17.25" hidden="1" customHeight="1">
      <c r="B180" s="26" t="s">
        <v>64</v>
      </c>
      <c r="C180" s="26" t="s">
        <v>65</v>
      </c>
      <c r="D180" s="26" t="s">
        <v>8292</v>
      </c>
      <c r="E180" s="26" t="s">
        <v>20</v>
      </c>
      <c r="F180" s="26" t="s">
        <v>8080</v>
      </c>
      <c r="G180" s="26" t="s">
        <v>8293</v>
      </c>
      <c r="H180" s="26" t="s">
        <v>8076</v>
      </c>
      <c r="I180" s="26" t="s">
        <v>8294</v>
      </c>
      <c r="J180" s="26"/>
      <c r="K180" s="26"/>
      <c r="L180" s="26" t="s">
        <v>8078</v>
      </c>
      <c r="M180" s="26" t="e">
        <v>#N/A</v>
      </c>
      <c r="N180" s="26" t="e">
        <v>#N/A</v>
      </c>
      <c r="W180" s="26" t="s">
        <v>8294</v>
      </c>
    </row>
    <row r="181" ht="17.25" hidden="1" customHeight="1">
      <c r="B181" s="26" t="s">
        <v>64</v>
      </c>
      <c r="C181" s="26" t="s">
        <v>65</v>
      </c>
      <c r="D181" s="26" t="s">
        <v>8292</v>
      </c>
      <c r="E181" s="26" t="s">
        <v>20</v>
      </c>
      <c r="F181" s="26" t="s">
        <v>8080</v>
      </c>
      <c r="G181" s="26" t="s">
        <v>8295</v>
      </c>
      <c r="H181" s="26" t="s">
        <v>8076</v>
      </c>
      <c r="I181" s="26" t="s">
        <v>8296</v>
      </c>
      <c r="J181" s="26"/>
      <c r="K181" s="26"/>
      <c r="L181" s="26" t="s">
        <v>8078</v>
      </c>
      <c r="M181" s="26" t="e">
        <v>#N/A</v>
      </c>
      <c r="N181" s="26" t="e">
        <v>#N/A</v>
      </c>
      <c r="W181" s="26" t="s">
        <v>8296</v>
      </c>
    </row>
    <row r="182" ht="17.25" hidden="1" customHeight="1">
      <c r="B182" s="26" t="s">
        <v>64</v>
      </c>
      <c r="C182" s="26" t="s">
        <v>65</v>
      </c>
      <c r="D182" s="26" t="s">
        <v>8292</v>
      </c>
      <c r="E182" s="26" t="s">
        <v>20</v>
      </c>
      <c r="F182" s="26" t="s">
        <v>8080</v>
      </c>
      <c r="G182" s="26" t="s">
        <v>8297</v>
      </c>
      <c r="H182" s="26" t="s">
        <v>8076</v>
      </c>
      <c r="I182" s="26" t="s">
        <v>8298</v>
      </c>
      <c r="J182" s="26"/>
      <c r="K182" s="26"/>
      <c r="L182" s="26" t="s">
        <v>8078</v>
      </c>
      <c r="M182" s="26" t="e">
        <v>#N/A</v>
      </c>
      <c r="N182" s="26" t="e">
        <v>#N/A</v>
      </c>
      <c r="W182" s="26" t="s">
        <v>8298</v>
      </c>
    </row>
    <row r="183" ht="17.25" hidden="1" customHeight="1">
      <c r="B183" s="26" t="s">
        <v>64</v>
      </c>
      <c r="C183" s="26" t="s">
        <v>65</v>
      </c>
      <c r="D183" s="26" t="s">
        <v>8292</v>
      </c>
      <c r="E183" s="26" t="s">
        <v>20</v>
      </c>
      <c r="F183" s="26" t="s">
        <v>8080</v>
      </c>
      <c r="G183" s="26" t="s">
        <v>8299</v>
      </c>
      <c r="H183" s="26" t="s">
        <v>8076</v>
      </c>
      <c r="I183" s="26" t="s">
        <v>8300</v>
      </c>
      <c r="J183" s="26"/>
      <c r="K183" s="26"/>
      <c r="L183" s="26" t="s">
        <v>8078</v>
      </c>
      <c r="M183" s="26" t="e">
        <v>#N/A</v>
      </c>
      <c r="N183" s="26" t="e">
        <v>#N/A</v>
      </c>
      <c r="W183" s="26" t="s">
        <v>8300</v>
      </c>
    </row>
    <row r="184" ht="17.25" hidden="1" customHeight="1">
      <c r="B184" s="26" t="s">
        <v>64</v>
      </c>
      <c r="C184" s="26" t="s">
        <v>65</v>
      </c>
      <c r="D184" s="26" t="s">
        <v>8301</v>
      </c>
      <c r="E184" s="26" t="s">
        <v>12</v>
      </c>
      <c r="F184" s="26" t="s">
        <v>876</v>
      </c>
      <c r="G184" s="26" t="s">
        <v>8302</v>
      </c>
      <c r="H184" s="26" t="s">
        <v>7811</v>
      </c>
      <c r="I184" s="26" t="s">
        <v>8303</v>
      </c>
      <c r="J184" s="26" t="s">
        <v>7813</v>
      </c>
      <c r="K184" s="26"/>
      <c r="L184" s="26" t="s">
        <v>8078</v>
      </c>
      <c r="M184" s="26" t="e">
        <v>#N/A</v>
      </c>
      <c r="N184" s="26" t="e">
        <v>#N/A</v>
      </c>
      <c r="W184" s="26" t="s">
        <v>8304</v>
      </c>
      <c r="X184" s="28">
        <v>500.0</v>
      </c>
      <c r="Y184" s="28" t="s">
        <v>7769</v>
      </c>
    </row>
    <row r="185" ht="17.25" hidden="1" customHeight="1">
      <c r="B185" s="26" t="s">
        <v>64</v>
      </c>
      <c r="C185" s="26" t="s">
        <v>65</v>
      </c>
      <c r="D185" s="26" t="s">
        <v>8305</v>
      </c>
      <c r="E185" s="26" t="s">
        <v>20</v>
      </c>
      <c r="F185" s="26" t="s">
        <v>8306</v>
      </c>
      <c r="G185" s="26" t="s">
        <v>8307</v>
      </c>
      <c r="H185" s="26" t="s">
        <v>8076</v>
      </c>
      <c r="I185" s="26" t="s">
        <v>8308</v>
      </c>
      <c r="J185" s="26"/>
      <c r="K185" s="26"/>
      <c r="L185" s="26" t="s">
        <v>8078</v>
      </c>
      <c r="M185" s="26" t="e">
        <v>#N/A</v>
      </c>
      <c r="N185" s="26" t="e">
        <v>#N/A</v>
      </c>
      <c r="W185" s="26" t="s">
        <v>8308</v>
      </c>
    </row>
    <row r="186" ht="17.25" hidden="1" customHeight="1">
      <c r="B186" s="26" t="s">
        <v>64</v>
      </c>
      <c r="C186" s="26" t="s">
        <v>65</v>
      </c>
      <c r="D186" s="26" t="s">
        <v>8309</v>
      </c>
      <c r="E186" s="26" t="s">
        <v>20</v>
      </c>
      <c r="F186" s="26" t="s">
        <v>850</v>
      </c>
      <c r="G186" s="26" t="s">
        <v>8310</v>
      </c>
      <c r="H186" s="26" t="s">
        <v>8110</v>
      </c>
      <c r="I186" s="26" t="s">
        <v>8311</v>
      </c>
      <c r="J186" s="26"/>
      <c r="K186" s="26"/>
      <c r="L186" s="26" t="s">
        <v>8078</v>
      </c>
      <c r="M186" s="26" t="e">
        <v>#N/A</v>
      </c>
      <c r="N186" s="26" t="e">
        <v>#N/A</v>
      </c>
      <c r="W186" s="26" t="s">
        <v>8311</v>
      </c>
    </row>
    <row r="187" ht="17.25" hidden="1" customHeight="1">
      <c r="B187" s="26" t="s">
        <v>64</v>
      </c>
      <c r="C187" s="26" t="s">
        <v>65</v>
      </c>
      <c r="D187" s="26" t="s">
        <v>8309</v>
      </c>
      <c r="E187" s="26" t="s">
        <v>20</v>
      </c>
      <c r="F187" s="26" t="s">
        <v>850</v>
      </c>
      <c r="G187" s="26" t="s">
        <v>8310</v>
      </c>
      <c r="H187" s="26" t="s">
        <v>8120</v>
      </c>
      <c r="I187" s="26" t="s">
        <v>8312</v>
      </c>
      <c r="J187" s="26"/>
      <c r="K187" s="26"/>
      <c r="L187" s="26" t="s">
        <v>8078</v>
      </c>
      <c r="M187" s="26" t="e">
        <v>#N/A</v>
      </c>
      <c r="N187" s="26" t="e">
        <v>#N/A</v>
      </c>
      <c r="W187" s="26" t="s">
        <v>8312</v>
      </c>
    </row>
    <row r="188" ht="17.25" hidden="1" customHeight="1">
      <c r="B188" s="26" t="s">
        <v>64</v>
      </c>
      <c r="C188" s="26" t="s">
        <v>65</v>
      </c>
      <c r="D188" s="26" t="s">
        <v>8313</v>
      </c>
      <c r="E188" s="26" t="s">
        <v>20</v>
      </c>
      <c r="F188" s="26" t="s">
        <v>880</v>
      </c>
      <c r="G188" s="26" t="s">
        <v>8314</v>
      </c>
      <c r="H188" s="26" t="s">
        <v>8315</v>
      </c>
      <c r="I188" s="26" t="s">
        <v>8316</v>
      </c>
      <c r="J188" s="26"/>
      <c r="K188" s="26"/>
      <c r="L188" s="26" t="s">
        <v>8078</v>
      </c>
      <c r="M188" s="26" t="e">
        <v>#N/A</v>
      </c>
      <c r="N188" s="26" t="e">
        <v>#N/A</v>
      </c>
      <c r="W188" s="26" t="s">
        <v>8316</v>
      </c>
    </row>
    <row r="189" ht="17.25" hidden="1" customHeight="1">
      <c r="B189" s="26" t="s">
        <v>64</v>
      </c>
      <c r="C189" s="26" t="s">
        <v>65</v>
      </c>
      <c r="D189" s="26" t="s">
        <v>8313</v>
      </c>
      <c r="E189" s="26" t="s">
        <v>20</v>
      </c>
      <c r="F189" s="26" t="s">
        <v>880</v>
      </c>
      <c r="G189" s="26" t="s">
        <v>8314</v>
      </c>
      <c r="H189" s="26" t="s">
        <v>8317</v>
      </c>
      <c r="I189" s="26" t="s">
        <v>8318</v>
      </c>
      <c r="J189" s="26"/>
      <c r="K189" s="26"/>
      <c r="L189" s="26" t="s">
        <v>8078</v>
      </c>
      <c r="M189" s="26" t="e">
        <v>#N/A</v>
      </c>
      <c r="N189" s="26" t="e">
        <v>#N/A</v>
      </c>
      <c r="W189" s="26" t="s">
        <v>8318</v>
      </c>
    </row>
    <row r="190" ht="17.25" hidden="1" customHeight="1">
      <c r="B190" s="26" t="s">
        <v>64</v>
      </c>
      <c r="C190" s="26" t="s">
        <v>65</v>
      </c>
      <c r="D190" s="26" t="s">
        <v>8319</v>
      </c>
      <c r="E190" s="26" t="s">
        <v>12</v>
      </c>
      <c r="F190" s="26" t="s">
        <v>880</v>
      </c>
      <c r="G190" s="26" t="s">
        <v>8320</v>
      </c>
      <c r="H190" s="26" t="s">
        <v>8110</v>
      </c>
      <c r="I190" s="26" t="s">
        <v>8321</v>
      </c>
      <c r="J190" s="26"/>
      <c r="K190" s="26"/>
      <c r="L190" s="26" t="s">
        <v>8078</v>
      </c>
      <c r="M190" s="26" t="e">
        <v>#N/A</v>
      </c>
      <c r="N190" s="26" t="e">
        <v>#N/A</v>
      </c>
      <c r="W190" s="26" t="s">
        <v>8321</v>
      </c>
    </row>
    <row r="191" ht="17.25" hidden="1" customHeight="1">
      <c r="B191" s="26" t="s">
        <v>64</v>
      </c>
      <c r="C191" s="26" t="s">
        <v>65</v>
      </c>
      <c r="D191" s="26" t="s">
        <v>8319</v>
      </c>
      <c r="E191" s="26" t="s">
        <v>12</v>
      </c>
      <c r="F191" s="26" t="s">
        <v>880</v>
      </c>
      <c r="G191" s="26" t="s">
        <v>8320</v>
      </c>
      <c r="H191" s="26" t="s">
        <v>8120</v>
      </c>
      <c r="I191" s="26" t="s">
        <v>8322</v>
      </c>
      <c r="J191" s="26"/>
      <c r="K191" s="26"/>
      <c r="L191" s="26" t="s">
        <v>8078</v>
      </c>
      <c r="M191" s="26" t="e">
        <v>#N/A</v>
      </c>
      <c r="N191" s="26" t="e">
        <v>#N/A</v>
      </c>
      <c r="W191" s="26" t="s">
        <v>8322</v>
      </c>
    </row>
    <row r="192" ht="17.25" hidden="1" customHeight="1">
      <c r="B192" s="26" t="s">
        <v>64</v>
      </c>
      <c r="C192" s="26" t="s">
        <v>65</v>
      </c>
      <c r="D192" s="26" t="s">
        <v>8323</v>
      </c>
      <c r="E192" s="26" t="s">
        <v>20</v>
      </c>
      <c r="F192" s="26" t="s">
        <v>8306</v>
      </c>
      <c r="G192" s="26" t="s">
        <v>8324</v>
      </c>
      <c r="H192" s="26" t="s">
        <v>8076</v>
      </c>
      <c r="I192" s="26" t="s">
        <v>8325</v>
      </c>
      <c r="J192" s="26"/>
      <c r="K192" s="26"/>
      <c r="L192" s="26" t="s">
        <v>8078</v>
      </c>
      <c r="M192" s="26" t="e">
        <v>#N/A</v>
      </c>
      <c r="N192" s="26" t="e">
        <v>#N/A</v>
      </c>
      <c r="W192" s="26" t="s">
        <v>8325</v>
      </c>
    </row>
    <row r="193" ht="17.25" hidden="1" customHeight="1">
      <c r="B193" s="26" t="s">
        <v>64</v>
      </c>
      <c r="C193" s="26" t="s">
        <v>65</v>
      </c>
      <c r="D193" s="26" t="s">
        <v>8326</v>
      </c>
      <c r="E193" s="26" t="s">
        <v>20</v>
      </c>
      <c r="F193" s="26" t="s">
        <v>7826</v>
      </c>
      <c r="G193" s="26" t="s">
        <v>8327</v>
      </c>
      <c r="H193" s="26" t="s">
        <v>8076</v>
      </c>
      <c r="I193" s="26" t="s">
        <v>8328</v>
      </c>
      <c r="J193" s="26"/>
      <c r="K193" s="26"/>
      <c r="L193" s="26" t="s">
        <v>8078</v>
      </c>
      <c r="M193" s="26" t="e">
        <v>#N/A</v>
      </c>
      <c r="N193" s="26" t="e">
        <v>#N/A</v>
      </c>
      <c r="W193" s="26" t="s">
        <v>8328</v>
      </c>
    </row>
    <row r="194" ht="17.25" hidden="1" customHeight="1">
      <c r="B194" s="26" t="s">
        <v>64</v>
      </c>
      <c r="C194" s="26" t="s">
        <v>65</v>
      </c>
      <c r="D194" s="26" t="s">
        <v>8329</v>
      </c>
      <c r="E194" s="26" t="s">
        <v>20</v>
      </c>
      <c r="F194" s="26" t="s">
        <v>788</v>
      </c>
      <c r="G194" s="26" t="s">
        <v>8330</v>
      </c>
      <c r="H194" s="26" t="s">
        <v>8076</v>
      </c>
      <c r="I194" s="26" t="s">
        <v>8331</v>
      </c>
      <c r="J194" s="26"/>
      <c r="K194" s="26"/>
      <c r="L194" s="26" t="s">
        <v>8078</v>
      </c>
      <c r="M194" s="26" t="e">
        <v>#N/A</v>
      </c>
      <c r="N194" s="26" t="e">
        <v>#N/A</v>
      </c>
      <c r="W194" s="26" t="s">
        <v>8331</v>
      </c>
    </row>
    <row r="195" ht="17.25" hidden="1" customHeight="1">
      <c r="B195" s="26" t="s">
        <v>64</v>
      </c>
      <c r="C195" s="26" t="s">
        <v>65</v>
      </c>
      <c r="D195" s="26" t="s">
        <v>8329</v>
      </c>
      <c r="E195" s="26" t="s">
        <v>20</v>
      </c>
      <c r="F195" s="26" t="s">
        <v>8196</v>
      </c>
      <c r="G195" s="26" t="s">
        <v>8332</v>
      </c>
      <c r="H195" s="26" t="s">
        <v>8076</v>
      </c>
      <c r="I195" s="26" t="s">
        <v>8333</v>
      </c>
      <c r="J195" s="26"/>
      <c r="K195" s="26"/>
      <c r="L195" s="26" t="s">
        <v>8078</v>
      </c>
      <c r="M195" s="26" t="e">
        <v>#N/A</v>
      </c>
      <c r="N195" s="26" t="e">
        <v>#N/A</v>
      </c>
      <c r="W195" s="26" t="s">
        <v>8333</v>
      </c>
    </row>
    <row r="196" ht="17.25" hidden="1" customHeight="1">
      <c r="B196" s="26" t="s">
        <v>64</v>
      </c>
      <c r="C196" s="26" t="s">
        <v>65</v>
      </c>
      <c r="D196" s="26" t="s">
        <v>8329</v>
      </c>
      <c r="E196" s="26" t="s">
        <v>20</v>
      </c>
      <c r="F196" s="26" t="s">
        <v>8196</v>
      </c>
      <c r="G196" s="26" t="s">
        <v>8332</v>
      </c>
      <c r="H196" s="26" t="s">
        <v>8114</v>
      </c>
      <c r="I196" s="26" t="s">
        <v>8334</v>
      </c>
      <c r="J196" s="26" t="s">
        <v>8116</v>
      </c>
      <c r="K196" s="26"/>
      <c r="L196" s="26" t="s">
        <v>8078</v>
      </c>
      <c r="M196" s="26" t="e">
        <v>#N/A</v>
      </c>
      <c r="N196" s="26" t="e">
        <v>#N/A</v>
      </c>
      <c r="W196" s="26" t="s">
        <v>8335</v>
      </c>
      <c r="X196" s="28">
        <v>250.0</v>
      </c>
      <c r="Y196" s="28" t="s">
        <v>7769</v>
      </c>
    </row>
    <row r="197" ht="17.25" hidden="1" customHeight="1">
      <c r="B197" s="26" t="s">
        <v>162</v>
      </c>
      <c r="C197" s="26" t="s">
        <v>163</v>
      </c>
      <c r="D197" s="26" t="s">
        <v>8336</v>
      </c>
      <c r="E197" s="26" t="s">
        <v>12</v>
      </c>
      <c r="F197" s="26" t="s">
        <v>8080</v>
      </c>
      <c r="G197" s="26" t="s">
        <v>8337</v>
      </c>
      <c r="H197" s="26" t="s">
        <v>8338</v>
      </c>
      <c r="I197" s="26" t="s">
        <v>8339</v>
      </c>
      <c r="J197" s="26"/>
      <c r="K197" s="26"/>
      <c r="L197" s="26" t="s">
        <v>8078</v>
      </c>
      <c r="M197" s="26" t="e">
        <v>#N/A</v>
      </c>
      <c r="N197" s="26" t="e">
        <v>#N/A</v>
      </c>
      <c r="W197" s="26" t="s">
        <v>8339</v>
      </c>
    </row>
    <row r="198" ht="17.25" hidden="1" customHeight="1">
      <c r="B198" s="26" t="s">
        <v>162</v>
      </c>
      <c r="C198" s="26" t="s">
        <v>163</v>
      </c>
      <c r="D198" s="26" t="s">
        <v>8336</v>
      </c>
      <c r="E198" s="26" t="s">
        <v>12</v>
      </c>
      <c r="F198" s="26" t="s">
        <v>8080</v>
      </c>
      <c r="G198" s="26" t="s">
        <v>8337</v>
      </c>
      <c r="H198" s="26" t="s">
        <v>8340</v>
      </c>
      <c r="I198" s="26" t="s">
        <v>8341</v>
      </c>
      <c r="J198" s="26"/>
      <c r="K198" s="26"/>
      <c r="L198" s="26" t="s">
        <v>8078</v>
      </c>
      <c r="M198" s="26" t="e">
        <v>#N/A</v>
      </c>
      <c r="N198" s="26" t="e">
        <v>#N/A</v>
      </c>
      <c r="W198" s="26" t="s">
        <v>8341</v>
      </c>
    </row>
    <row r="199" ht="17.25" hidden="1" customHeight="1">
      <c r="B199" s="26" t="s">
        <v>162</v>
      </c>
      <c r="C199" s="26" t="s">
        <v>163</v>
      </c>
      <c r="D199" s="26" t="s">
        <v>8336</v>
      </c>
      <c r="E199" s="26" t="s">
        <v>12</v>
      </c>
      <c r="F199" s="26" t="s">
        <v>8080</v>
      </c>
      <c r="G199" s="26" t="s">
        <v>8337</v>
      </c>
      <c r="H199" s="26" t="s">
        <v>8342</v>
      </c>
      <c r="I199" s="26" t="s">
        <v>8343</v>
      </c>
      <c r="J199" s="26" t="s">
        <v>8344</v>
      </c>
      <c r="K199" s="26"/>
      <c r="L199" s="26" t="s">
        <v>8078</v>
      </c>
      <c r="M199" s="26" t="e">
        <v>#N/A</v>
      </c>
      <c r="N199" s="26" t="e">
        <v>#N/A</v>
      </c>
      <c r="W199" s="26" t="s">
        <v>8345</v>
      </c>
      <c r="X199" s="28" t="s">
        <v>8346</v>
      </c>
      <c r="Y199" s="28" t="s">
        <v>7769</v>
      </c>
    </row>
    <row r="200" ht="17.25" hidden="1" customHeight="1">
      <c r="B200" s="26" t="s">
        <v>162</v>
      </c>
      <c r="C200" s="26" t="s">
        <v>163</v>
      </c>
      <c r="D200" s="26" t="s">
        <v>8336</v>
      </c>
      <c r="E200" s="26" t="s">
        <v>12</v>
      </c>
      <c r="F200" s="26" t="s">
        <v>8080</v>
      </c>
      <c r="G200" s="26" t="s">
        <v>8337</v>
      </c>
      <c r="H200" s="26" t="s">
        <v>8347</v>
      </c>
      <c r="I200" s="26" t="s">
        <v>8348</v>
      </c>
      <c r="J200" s="26" t="s">
        <v>8349</v>
      </c>
      <c r="K200" s="26"/>
      <c r="L200" s="26" t="s">
        <v>8078</v>
      </c>
      <c r="M200" s="26" t="e">
        <v>#N/A</v>
      </c>
      <c r="N200" s="26" t="e">
        <v>#N/A</v>
      </c>
      <c r="W200" s="26" t="s">
        <v>8345</v>
      </c>
      <c r="X200" s="28" t="s">
        <v>8350</v>
      </c>
      <c r="Y200" s="28" t="s">
        <v>7769</v>
      </c>
    </row>
    <row r="201" ht="17.25" hidden="1" customHeight="1">
      <c r="B201" s="26" t="s">
        <v>162</v>
      </c>
      <c r="C201" s="26" t="s">
        <v>163</v>
      </c>
      <c r="D201" s="26" t="s">
        <v>8336</v>
      </c>
      <c r="E201" s="26" t="s">
        <v>20</v>
      </c>
      <c r="F201" s="26" t="s">
        <v>7826</v>
      </c>
      <c r="G201" s="26" t="s">
        <v>8351</v>
      </c>
      <c r="H201" s="26" t="s">
        <v>8352</v>
      </c>
      <c r="I201" s="26" t="s">
        <v>8353</v>
      </c>
      <c r="J201" s="26"/>
      <c r="K201" s="26"/>
      <c r="L201" s="26" t="s">
        <v>8078</v>
      </c>
      <c r="M201" s="26" t="e">
        <v>#N/A</v>
      </c>
      <c r="N201" s="26" t="e">
        <v>#N/A</v>
      </c>
      <c r="W201" s="26" t="s">
        <v>8353</v>
      </c>
    </row>
    <row r="202" ht="17.25" hidden="1" customHeight="1">
      <c r="B202" s="26" t="s">
        <v>162</v>
      </c>
      <c r="C202" s="26" t="s">
        <v>163</v>
      </c>
      <c r="D202" s="26" t="s">
        <v>8354</v>
      </c>
      <c r="E202" s="26" t="s">
        <v>20</v>
      </c>
      <c r="F202" s="26" t="s">
        <v>8196</v>
      </c>
      <c r="G202" s="26" t="s">
        <v>8355</v>
      </c>
      <c r="H202" s="26" t="s">
        <v>8338</v>
      </c>
      <c r="I202" s="26" t="s">
        <v>8356</v>
      </c>
      <c r="J202" s="26"/>
      <c r="K202" s="26"/>
      <c r="L202" s="26" t="s">
        <v>8078</v>
      </c>
      <c r="M202" s="26" t="e">
        <v>#N/A</v>
      </c>
      <c r="N202" s="26" t="e">
        <v>#N/A</v>
      </c>
      <c r="W202" s="26" t="s">
        <v>8356</v>
      </c>
    </row>
    <row r="203" ht="17.25" hidden="1" customHeight="1">
      <c r="B203" s="26" t="s">
        <v>162</v>
      </c>
      <c r="C203" s="26" t="s">
        <v>163</v>
      </c>
      <c r="D203" s="26" t="s">
        <v>8354</v>
      </c>
      <c r="E203" s="26" t="s">
        <v>20</v>
      </c>
      <c r="F203" s="26" t="s">
        <v>8196</v>
      </c>
      <c r="G203" s="26" t="s">
        <v>8355</v>
      </c>
      <c r="H203" s="26" t="s">
        <v>8357</v>
      </c>
      <c r="I203" s="26" t="s">
        <v>8358</v>
      </c>
      <c r="J203" s="26" t="s">
        <v>8359</v>
      </c>
      <c r="K203" s="26"/>
      <c r="L203" s="26" t="s">
        <v>8078</v>
      </c>
      <c r="M203" s="26" t="e">
        <v>#N/A</v>
      </c>
      <c r="N203" s="26" t="e">
        <v>#N/A</v>
      </c>
      <c r="W203" s="26" t="s">
        <v>8360</v>
      </c>
      <c r="X203" s="28" t="s">
        <v>8361</v>
      </c>
      <c r="Y203" s="28" t="s">
        <v>7769</v>
      </c>
    </row>
    <row r="204" ht="17.25" hidden="1" customHeight="1">
      <c r="B204" s="26" t="s">
        <v>162</v>
      </c>
      <c r="C204" s="26" t="s">
        <v>163</v>
      </c>
      <c r="D204" s="26" t="s">
        <v>8362</v>
      </c>
      <c r="E204" s="26" t="s">
        <v>12</v>
      </c>
      <c r="F204" s="26" t="s">
        <v>1305</v>
      </c>
      <c r="G204" s="26" t="s">
        <v>164</v>
      </c>
      <c r="H204" s="26" t="s">
        <v>8342</v>
      </c>
      <c r="I204" s="26" t="s">
        <v>8363</v>
      </c>
      <c r="J204" s="26" t="s">
        <v>8344</v>
      </c>
      <c r="K204" s="26"/>
      <c r="L204" s="26" t="s">
        <v>8078</v>
      </c>
      <c r="M204" s="26" t="e">
        <v>#N/A</v>
      </c>
      <c r="N204" s="26" t="e">
        <v>#N/A</v>
      </c>
      <c r="W204" s="26" t="s">
        <v>8364</v>
      </c>
      <c r="X204" s="28" t="s">
        <v>8346</v>
      </c>
      <c r="Y204" s="28" t="s">
        <v>7769</v>
      </c>
    </row>
    <row r="205" ht="17.25" hidden="1" customHeight="1">
      <c r="B205" s="26" t="s">
        <v>162</v>
      </c>
      <c r="C205" s="26" t="s">
        <v>163</v>
      </c>
      <c r="D205" s="26" t="s">
        <v>8362</v>
      </c>
      <c r="E205" s="26" t="s">
        <v>12</v>
      </c>
      <c r="F205" s="26" t="s">
        <v>1305</v>
      </c>
      <c r="G205" s="26" t="s">
        <v>164</v>
      </c>
      <c r="H205" s="26" t="s">
        <v>8347</v>
      </c>
      <c r="I205" s="26" t="s">
        <v>8365</v>
      </c>
      <c r="J205" s="26" t="s">
        <v>8349</v>
      </c>
      <c r="K205" s="26"/>
      <c r="L205" s="26" t="s">
        <v>8078</v>
      </c>
      <c r="M205" s="26" t="e">
        <v>#N/A</v>
      </c>
      <c r="N205" s="26" t="e">
        <v>#N/A</v>
      </c>
      <c r="W205" s="26" t="s">
        <v>8364</v>
      </c>
      <c r="X205" s="28" t="s">
        <v>8350</v>
      </c>
      <c r="Y205" s="28" t="s">
        <v>7769</v>
      </c>
    </row>
    <row r="206" ht="17.25" hidden="1" customHeight="1">
      <c r="B206" s="26" t="s">
        <v>162</v>
      </c>
      <c r="C206" s="26" t="s">
        <v>163</v>
      </c>
      <c r="D206" s="26" t="s">
        <v>8366</v>
      </c>
      <c r="E206" s="26" t="s">
        <v>20</v>
      </c>
      <c r="F206" s="26" t="s">
        <v>850</v>
      </c>
      <c r="G206" s="26" t="s">
        <v>8367</v>
      </c>
      <c r="H206" s="26" t="s">
        <v>8076</v>
      </c>
      <c r="I206" s="26" t="s">
        <v>8368</v>
      </c>
      <c r="J206" s="26"/>
      <c r="K206" s="26"/>
      <c r="L206" s="26" t="s">
        <v>8078</v>
      </c>
      <c r="M206" s="26" t="e">
        <v>#N/A</v>
      </c>
      <c r="N206" s="26" t="e">
        <v>#N/A</v>
      </c>
      <c r="W206" s="26" t="s">
        <v>8368</v>
      </c>
    </row>
    <row r="207" ht="17.25" hidden="1" customHeight="1">
      <c r="B207" s="26" t="s">
        <v>162</v>
      </c>
      <c r="C207" s="26" t="s">
        <v>163</v>
      </c>
      <c r="D207" s="26" t="s">
        <v>8369</v>
      </c>
      <c r="E207" s="26" t="s">
        <v>20</v>
      </c>
      <c r="F207" s="26" t="s">
        <v>876</v>
      </c>
      <c r="G207" s="26" t="s">
        <v>8370</v>
      </c>
      <c r="H207" s="26" t="s">
        <v>8125</v>
      </c>
      <c r="I207" s="26" t="s">
        <v>8371</v>
      </c>
      <c r="J207" s="26"/>
      <c r="K207" s="26"/>
      <c r="L207" s="26" t="s">
        <v>8078</v>
      </c>
      <c r="M207" s="26" t="e">
        <v>#N/A</v>
      </c>
      <c r="N207" s="26" t="e">
        <v>#N/A</v>
      </c>
      <c r="W207" s="26" t="s">
        <v>8371</v>
      </c>
    </row>
    <row r="208" ht="17.25" hidden="1" customHeight="1">
      <c r="B208" s="26" t="s">
        <v>162</v>
      </c>
      <c r="C208" s="26" t="s">
        <v>163</v>
      </c>
      <c r="D208" s="26" t="s">
        <v>8157</v>
      </c>
      <c r="E208" s="26" t="s">
        <v>20</v>
      </c>
      <c r="F208" s="26" t="s">
        <v>814</v>
      </c>
      <c r="G208" s="26" t="s">
        <v>8372</v>
      </c>
      <c r="H208" s="26" t="s">
        <v>8076</v>
      </c>
      <c r="I208" s="26" t="s">
        <v>8373</v>
      </c>
      <c r="J208" s="26"/>
      <c r="K208" s="26"/>
      <c r="L208" s="26" t="s">
        <v>8078</v>
      </c>
      <c r="M208" s="26" t="e">
        <v>#N/A</v>
      </c>
      <c r="N208" s="26" t="e">
        <v>#N/A</v>
      </c>
      <c r="W208" s="26" t="s">
        <v>8373</v>
      </c>
    </row>
    <row r="209" ht="17.25" hidden="1" customHeight="1">
      <c r="B209" s="26" t="s">
        <v>162</v>
      </c>
      <c r="C209" s="26" t="s">
        <v>163</v>
      </c>
      <c r="D209" s="26" t="s">
        <v>8168</v>
      </c>
      <c r="E209" s="26" t="s">
        <v>20</v>
      </c>
      <c r="F209" s="26" t="s">
        <v>880</v>
      </c>
      <c r="G209" s="26" t="s">
        <v>8374</v>
      </c>
      <c r="H209" s="26" t="s">
        <v>8110</v>
      </c>
      <c r="I209" s="26" t="s">
        <v>8375</v>
      </c>
      <c r="J209" s="26"/>
      <c r="K209" s="26"/>
      <c r="L209" s="26" t="s">
        <v>8078</v>
      </c>
      <c r="M209" s="26" t="e">
        <v>#N/A</v>
      </c>
      <c r="N209" s="26" t="e">
        <v>#N/A</v>
      </c>
      <c r="W209" s="26" t="s">
        <v>8375</v>
      </c>
    </row>
    <row r="210" ht="17.25" hidden="1" customHeight="1">
      <c r="B210" s="26" t="s">
        <v>162</v>
      </c>
      <c r="C210" s="26" t="s">
        <v>163</v>
      </c>
      <c r="D210" s="26" t="s">
        <v>8168</v>
      </c>
      <c r="E210" s="26" t="s">
        <v>20</v>
      </c>
      <c r="F210" s="26" t="s">
        <v>880</v>
      </c>
      <c r="G210" s="26" t="s">
        <v>8374</v>
      </c>
      <c r="H210" s="26" t="s">
        <v>8183</v>
      </c>
      <c r="I210" s="26" t="s">
        <v>8376</v>
      </c>
      <c r="J210" s="26" t="s">
        <v>8185</v>
      </c>
      <c r="K210" s="26"/>
      <c r="L210" s="26" t="s">
        <v>8078</v>
      </c>
      <c r="M210" s="26" t="e">
        <v>#N/A</v>
      </c>
      <c r="N210" s="26" t="e">
        <v>#N/A</v>
      </c>
      <c r="W210" s="26" t="s">
        <v>8377</v>
      </c>
      <c r="X210" s="28" t="s">
        <v>8186</v>
      </c>
      <c r="Y210" s="28" t="s">
        <v>7769</v>
      </c>
    </row>
    <row r="211" ht="17.25" hidden="1" customHeight="1">
      <c r="B211" s="26" t="s">
        <v>162</v>
      </c>
      <c r="C211" s="26" t="s">
        <v>163</v>
      </c>
      <c r="D211" s="26" t="s">
        <v>8168</v>
      </c>
      <c r="E211" s="26" t="s">
        <v>20</v>
      </c>
      <c r="F211" s="26" t="s">
        <v>880</v>
      </c>
      <c r="G211" s="26" t="s">
        <v>8374</v>
      </c>
      <c r="H211" s="26" t="s">
        <v>8187</v>
      </c>
      <c r="I211" s="26" t="s">
        <v>8378</v>
      </c>
      <c r="J211" s="26" t="s">
        <v>8189</v>
      </c>
      <c r="K211" s="26"/>
      <c r="L211" s="26" t="s">
        <v>8078</v>
      </c>
      <c r="M211" s="26" t="e">
        <v>#N/A</v>
      </c>
      <c r="N211" s="26" t="e">
        <v>#N/A</v>
      </c>
      <c r="W211" s="26" t="s">
        <v>8377</v>
      </c>
      <c r="X211" s="28" t="s">
        <v>8190</v>
      </c>
      <c r="Y211" s="28" t="s">
        <v>7769</v>
      </c>
    </row>
    <row r="212" ht="17.25" hidden="1" customHeight="1">
      <c r="B212" s="26" t="s">
        <v>162</v>
      </c>
      <c r="C212" s="26" t="s">
        <v>163</v>
      </c>
      <c r="D212" s="26" t="s">
        <v>8379</v>
      </c>
      <c r="E212" s="26" t="s">
        <v>12</v>
      </c>
      <c r="F212" s="26" t="s">
        <v>8049</v>
      </c>
      <c r="G212" s="26" t="s">
        <v>8380</v>
      </c>
      <c r="H212" s="26" t="s">
        <v>8153</v>
      </c>
      <c r="I212" s="26" t="s">
        <v>8381</v>
      </c>
      <c r="J212" s="26"/>
      <c r="K212" s="26"/>
      <c r="L212" s="26" t="s">
        <v>8078</v>
      </c>
      <c r="M212" s="26" t="e">
        <v>#N/A</v>
      </c>
      <c r="N212" s="26" t="e">
        <v>#N/A</v>
      </c>
      <c r="W212" s="26" t="s">
        <v>8381</v>
      </c>
    </row>
    <row r="213" ht="17.25" hidden="1" customHeight="1">
      <c r="B213" s="26" t="s">
        <v>162</v>
      </c>
      <c r="C213" s="26" t="s">
        <v>163</v>
      </c>
      <c r="D213" s="26" t="s">
        <v>8379</v>
      </c>
      <c r="E213" s="26" t="s">
        <v>12</v>
      </c>
      <c r="F213" s="26" t="s">
        <v>8049</v>
      </c>
      <c r="G213" s="26" t="s">
        <v>8380</v>
      </c>
      <c r="H213" s="26" t="s">
        <v>8097</v>
      </c>
      <c r="I213" s="26" t="s">
        <v>8382</v>
      </c>
      <c r="J213" s="26"/>
      <c r="K213" s="26"/>
      <c r="L213" s="26" t="s">
        <v>8078</v>
      </c>
      <c r="M213" s="26" t="e">
        <v>#N/A</v>
      </c>
      <c r="N213" s="26" t="e">
        <v>#N/A</v>
      </c>
      <c r="W213" s="26" t="s">
        <v>8382</v>
      </c>
    </row>
    <row r="214" ht="17.25" hidden="1" customHeight="1">
      <c r="B214" s="26" t="s">
        <v>162</v>
      </c>
      <c r="C214" s="26" t="s">
        <v>163</v>
      </c>
      <c r="D214" s="26" t="s">
        <v>8379</v>
      </c>
      <c r="E214" s="26" t="s">
        <v>20</v>
      </c>
      <c r="F214" s="26" t="s">
        <v>8080</v>
      </c>
      <c r="G214" s="26" t="s">
        <v>8383</v>
      </c>
      <c r="H214" s="26" t="s">
        <v>8076</v>
      </c>
      <c r="I214" s="26" t="s">
        <v>8384</v>
      </c>
      <c r="J214" s="26"/>
      <c r="K214" s="26"/>
      <c r="L214" s="26" t="s">
        <v>8078</v>
      </c>
      <c r="M214" s="26" t="e">
        <v>#N/A</v>
      </c>
      <c r="N214" s="26" t="e">
        <v>#N/A</v>
      </c>
      <c r="W214" s="26" t="s">
        <v>8384</v>
      </c>
    </row>
    <row r="215" ht="17.25" hidden="1" customHeight="1">
      <c r="B215" s="26" t="s">
        <v>162</v>
      </c>
      <c r="C215" s="26" t="s">
        <v>163</v>
      </c>
      <c r="D215" s="26" t="s">
        <v>8379</v>
      </c>
      <c r="E215" s="26" t="s">
        <v>20</v>
      </c>
      <c r="F215" s="26" t="s">
        <v>788</v>
      </c>
      <c r="G215" s="26" t="s">
        <v>8385</v>
      </c>
      <c r="H215" s="26" t="s">
        <v>8076</v>
      </c>
      <c r="I215" s="26" t="s">
        <v>8386</v>
      </c>
      <c r="J215" s="26"/>
      <c r="K215" s="26"/>
      <c r="L215" s="26" t="s">
        <v>8078</v>
      </c>
      <c r="M215" s="26" t="e">
        <v>#N/A</v>
      </c>
      <c r="N215" s="26" t="e">
        <v>#N/A</v>
      </c>
      <c r="W215" s="26" t="s">
        <v>8386</v>
      </c>
    </row>
    <row r="216" ht="17.25" hidden="1" customHeight="1">
      <c r="B216" s="26" t="s">
        <v>162</v>
      </c>
      <c r="C216" s="26" t="s">
        <v>163</v>
      </c>
      <c r="D216" s="26" t="s">
        <v>8379</v>
      </c>
      <c r="E216" s="26" t="s">
        <v>20</v>
      </c>
      <c r="F216" s="26" t="s">
        <v>794</v>
      </c>
      <c r="G216" s="26" t="s">
        <v>8387</v>
      </c>
      <c r="H216" s="26" t="s">
        <v>8076</v>
      </c>
      <c r="I216" s="26" t="s">
        <v>8388</v>
      </c>
      <c r="J216" s="26"/>
      <c r="K216" s="26"/>
      <c r="L216" s="26" t="s">
        <v>8078</v>
      </c>
      <c r="M216" s="26" t="e">
        <v>#N/A</v>
      </c>
      <c r="N216" s="26" t="e">
        <v>#N/A</v>
      </c>
      <c r="W216" s="26" t="s">
        <v>8388</v>
      </c>
    </row>
    <row r="217" ht="17.25" hidden="1" customHeight="1">
      <c r="B217" s="26" t="s">
        <v>162</v>
      </c>
      <c r="C217" s="26" t="s">
        <v>163</v>
      </c>
      <c r="D217" s="26" t="s">
        <v>8379</v>
      </c>
      <c r="E217" s="26" t="s">
        <v>20</v>
      </c>
      <c r="F217" s="26" t="s">
        <v>794</v>
      </c>
      <c r="G217" s="26" t="s">
        <v>8389</v>
      </c>
      <c r="H217" s="26" t="s">
        <v>8390</v>
      </c>
      <c r="I217" s="26" t="s">
        <v>8391</v>
      </c>
      <c r="J217" s="26"/>
      <c r="K217" s="26"/>
      <c r="L217" s="26" t="s">
        <v>8078</v>
      </c>
      <c r="M217" s="26" t="e">
        <v>#N/A</v>
      </c>
      <c r="N217" s="26" t="e">
        <v>#N/A</v>
      </c>
      <c r="W217" s="26" t="s">
        <v>8391</v>
      </c>
    </row>
    <row r="218" ht="17.25" hidden="1" customHeight="1">
      <c r="B218" s="26" t="s">
        <v>162</v>
      </c>
      <c r="C218" s="26" t="s">
        <v>163</v>
      </c>
      <c r="D218" s="26" t="s">
        <v>8379</v>
      </c>
      <c r="E218" s="26" t="s">
        <v>20</v>
      </c>
      <c r="F218" s="26" t="s">
        <v>794</v>
      </c>
      <c r="G218" s="26" t="s">
        <v>8389</v>
      </c>
      <c r="H218" s="26" t="s">
        <v>8392</v>
      </c>
      <c r="I218" s="26" t="s">
        <v>8393</v>
      </c>
      <c r="J218" s="26"/>
      <c r="K218" s="26"/>
      <c r="L218" s="26" t="s">
        <v>8078</v>
      </c>
      <c r="M218" s="26" t="e">
        <v>#N/A</v>
      </c>
      <c r="N218" s="26" t="e">
        <v>#N/A</v>
      </c>
      <c r="W218" s="26" t="s">
        <v>8393</v>
      </c>
    </row>
    <row r="219" ht="17.25" hidden="1" customHeight="1">
      <c r="B219" s="26" t="s">
        <v>162</v>
      </c>
      <c r="C219" s="26" t="s">
        <v>163</v>
      </c>
      <c r="D219" s="26" t="s">
        <v>8379</v>
      </c>
      <c r="E219" s="26" t="s">
        <v>20</v>
      </c>
      <c r="F219" s="26" t="s">
        <v>814</v>
      </c>
      <c r="G219" s="26" t="s">
        <v>8394</v>
      </c>
      <c r="H219" s="26" t="s">
        <v>8395</v>
      </c>
      <c r="I219" s="26" t="s">
        <v>8396</v>
      </c>
      <c r="J219" s="26"/>
      <c r="K219" s="26"/>
      <c r="L219" s="26" t="s">
        <v>8078</v>
      </c>
      <c r="M219" s="26" t="e">
        <v>#N/A</v>
      </c>
      <c r="N219" s="26" t="e">
        <v>#N/A</v>
      </c>
      <c r="W219" s="26" t="s">
        <v>8396</v>
      </c>
    </row>
    <row r="220" ht="17.25" hidden="1" customHeight="1">
      <c r="B220" s="26" t="s">
        <v>162</v>
      </c>
      <c r="C220" s="26" t="s">
        <v>163</v>
      </c>
      <c r="D220" s="26" t="s">
        <v>8379</v>
      </c>
      <c r="E220" s="26" t="s">
        <v>20</v>
      </c>
      <c r="F220" s="26" t="s">
        <v>8196</v>
      </c>
      <c r="G220" s="26" t="s">
        <v>8397</v>
      </c>
      <c r="H220" s="26" t="s">
        <v>8114</v>
      </c>
      <c r="I220" s="26" t="s">
        <v>8398</v>
      </c>
      <c r="J220" s="26" t="s">
        <v>8116</v>
      </c>
      <c r="K220" s="26"/>
      <c r="L220" s="26" t="s">
        <v>8078</v>
      </c>
      <c r="M220" s="26" t="e">
        <v>#N/A</v>
      </c>
      <c r="N220" s="26" t="e">
        <v>#N/A</v>
      </c>
      <c r="W220" s="26" t="s">
        <v>8399</v>
      </c>
      <c r="X220" s="28">
        <v>250.0</v>
      </c>
      <c r="Y220" s="28" t="s">
        <v>7769</v>
      </c>
    </row>
    <row r="221" ht="17.25" hidden="1" customHeight="1">
      <c r="B221" s="26" t="s">
        <v>162</v>
      </c>
      <c r="C221" s="26" t="s">
        <v>163</v>
      </c>
      <c r="D221" s="26" t="s">
        <v>8379</v>
      </c>
      <c r="E221" s="26" t="s">
        <v>20</v>
      </c>
      <c r="F221" s="26" t="s">
        <v>7869</v>
      </c>
      <c r="G221" s="26" t="s">
        <v>8400</v>
      </c>
      <c r="H221" s="26" t="s">
        <v>8207</v>
      </c>
      <c r="I221" s="26" t="s">
        <v>8401</v>
      </c>
      <c r="J221" s="26" t="s">
        <v>8209</v>
      </c>
      <c r="K221" s="26"/>
      <c r="L221" s="26" t="s">
        <v>8078</v>
      </c>
      <c r="M221" s="26" t="e">
        <v>#N/A</v>
      </c>
      <c r="N221" s="26" t="e">
        <v>#N/A</v>
      </c>
      <c r="W221" s="26" t="s">
        <v>8402</v>
      </c>
      <c r="X221" s="28">
        <v>100.0</v>
      </c>
      <c r="Y221" s="28" t="s">
        <v>7769</v>
      </c>
    </row>
    <row r="222" ht="17.25" hidden="1" customHeight="1">
      <c r="B222" s="26" t="s">
        <v>162</v>
      </c>
      <c r="C222" s="26" t="s">
        <v>163</v>
      </c>
      <c r="D222" s="26" t="s">
        <v>8379</v>
      </c>
      <c r="E222" s="26" t="s">
        <v>20</v>
      </c>
      <c r="F222" s="26" t="s">
        <v>7869</v>
      </c>
      <c r="G222" s="26" t="s">
        <v>8400</v>
      </c>
      <c r="H222" s="26" t="s">
        <v>8114</v>
      </c>
      <c r="I222" s="26" t="s">
        <v>8403</v>
      </c>
      <c r="J222" s="26" t="s">
        <v>8116</v>
      </c>
      <c r="K222" s="26"/>
      <c r="L222" s="26" t="s">
        <v>8078</v>
      </c>
      <c r="M222" s="26" t="e">
        <v>#N/A</v>
      </c>
      <c r="N222" s="26" t="e">
        <v>#N/A</v>
      </c>
      <c r="W222" s="26" t="s">
        <v>8402</v>
      </c>
      <c r="X222" s="28">
        <v>250.0</v>
      </c>
      <c r="Y222" s="28" t="s">
        <v>7769</v>
      </c>
    </row>
    <row r="223" ht="17.25" hidden="1" customHeight="1">
      <c r="B223" s="26" t="s">
        <v>162</v>
      </c>
      <c r="C223" s="26" t="s">
        <v>163</v>
      </c>
      <c r="D223" s="26" t="s">
        <v>8379</v>
      </c>
      <c r="E223" s="26" t="s">
        <v>20</v>
      </c>
      <c r="F223" s="26" t="s">
        <v>874</v>
      </c>
      <c r="G223" s="26" t="s">
        <v>8404</v>
      </c>
      <c r="H223" s="26" t="s">
        <v>8405</v>
      </c>
      <c r="I223" s="26" t="s">
        <v>8406</v>
      </c>
      <c r="J223" s="26" t="s">
        <v>8407</v>
      </c>
      <c r="K223" s="26"/>
      <c r="L223" s="26" t="s">
        <v>8078</v>
      </c>
      <c r="M223" s="26" t="e">
        <v>#N/A</v>
      </c>
      <c r="N223" s="26" t="e">
        <v>#N/A</v>
      </c>
      <c r="W223" s="26" t="s">
        <v>8408</v>
      </c>
      <c r="X223" s="28" t="s">
        <v>8409</v>
      </c>
      <c r="Y223" s="28" t="s">
        <v>7769</v>
      </c>
    </row>
    <row r="224" ht="17.25" hidden="1" customHeight="1">
      <c r="B224" s="26" t="s">
        <v>162</v>
      </c>
      <c r="C224" s="26" t="s">
        <v>163</v>
      </c>
      <c r="D224" s="26" t="s">
        <v>8379</v>
      </c>
      <c r="E224" s="26" t="s">
        <v>20</v>
      </c>
      <c r="F224" s="26" t="s">
        <v>874</v>
      </c>
      <c r="G224" s="26" t="s">
        <v>8404</v>
      </c>
      <c r="H224" s="26" t="s">
        <v>8410</v>
      </c>
      <c r="I224" s="26" t="s">
        <v>8411</v>
      </c>
      <c r="J224" s="26" t="s">
        <v>8412</v>
      </c>
      <c r="K224" s="26"/>
      <c r="L224" s="26" t="s">
        <v>8078</v>
      </c>
      <c r="M224" s="26" t="e">
        <v>#N/A</v>
      </c>
      <c r="N224" s="26" t="e">
        <v>#N/A</v>
      </c>
      <c r="W224" s="26" t="s">
        <v>8408</v>
      </c>
      <c r="X224" s="28" t="s">
        <v>8413</v>
      </c>
      <c r="Y224" s="28" t="s">
        <v>7769</v>
      </c>
    </row>
    <row r="225" ht="17.25" hidden="1" customHeight="1">
      <c r="B225" s="26" t="s">
        <v>162</v>
      </c>
      <c r="C225" s="26" t="s">
        <v>163</v>
      </c>
      <c r="D225" s="26" t="s">
        <v>8379</v>
      </c>
      <c r="E225" s="26" t="s">
        <v>20</v>
      </c>
      <c r="F225" s="26" t="s">
        <v>1305</v>
      </c>
      <c r="G225" s="26" t="s">
        <v>166</v>
      </c>
      <c r="H225" s="26" t="s">
        <v>8207</v>
      </c>
      <c r="I225" s="26" t="s">
        <v>8414</v>
      </c>
      <c r="J225" s="26" t="s">
        <v>8209</v>
      </c>
      <c r="K225" s="26"/>
      <c r="L225" s="26" t="s">
        <v>8078</v>
      </c>
      <c r="M225" s="26" t="e">
        <v>#N/A</v>
      </c>
      <c r="N225" s="26" t="e">
        <v>#N/A</v>
      </c>
      <c r="W225" s="26" t="s">
        <v>8415</v>
      </c>
      <c r="X225" s="28">
        <v>100.0</v>
      </c>
      <c r="Y225" s="28" t="s">
        <v>7769</v>
      </c>
    </row>
    <row r="226" ht="17.25" hidden="1" customHeight="1">
      <c r="B226" s="26" t="s">
        <v>162</v>
      </c>
      <c r="C226" s="26" t="s">
        <v>163</v>
      </c>
      <c r="D226" s="26" t="s">
        <v>8379</v>
      </c>
      <c r="E226" s="26" t="s">
        <v>20</v>
      </c>
      <c r="F226" s="26" t="s">
        <v>1305</v>
      </c>
      <c r="G226" s="26" t="s">
        <v>166</v>
      </c>
      <c r="H226" s="26" t="s">
        <v>8114</v>
      </c>
      <c r="I226" s="26" t="s">
        <v>8416</v>
      </c>
      <c r="J226" s="26" t="s">
        <v>8116</v>
      </c>
      <c r="K226" s="26"/>
      <c r="L226" s="26" t="s">
        <v>8078</v>
      </c>
      <c r="M226" s="26" t="e">
        <v>#N/A</v>
      </c>
      <c r="N226" s="26" t="e">
        <v>#N/A</v>
      </c>
      <c r="W226" s="26" t="s">
        <v>8415</v>
      </c>
      <c r="X226" s="28">
        <v>250.0</v>
      </c>
      <c r="Y226" s="28" t="s">
        <v>7769</v>
      </c>
    </row>
    <row r="227" ht="17.25" hidden="1" customHeight="1">
      <c r="B227" s="26" t="s">
        <v>162</v>
      </c>
      <c r="C227" s="26" t="s">
        <v>163</v>
      </c>
      <c r="D227" s="26" t="s">
        <v>8379</v>
      </c>
      <c r="E227" s="26" t="s">
        <v>20</v>
      </c>
      <c r="F227" s="26" t="s">
        <v>8049</v>
      </c>
      <c r="G227" s="26" t="s">
        <v>8380</v>
      </c>
      <c r="H227" s="26" t="s">
        <v>8094</v>
      </c>
      <c r="I227" s="26" t="s">
        <v>8417</v>
      </c>
      <c r="J227" s="26"/>
      <c r="K227" s="26"/>
      <c r="L227" s="26" t="s">
        <v>8078</v>
      </c>
      <c r="M227" s="26" t="e">
        <v>#N/A</v>
      </c>
      <c r="N227" s="26" t="e">
        <v>#N/A</v>
      </c>
      <c r="W227" s="26" t="s">
        <v>8417</v>
      </c>
    </row>
    <row r="228" ht="17.25" hidden="1" customHeight="1">
      <c r="B228" s="26" t="s">
        <v>162</v>
      </c>
      <c r="C228" s="26" t="s">
        <v>163</v>
      </c>
      <c r="D228" s="26" t="s">
        <v>8379</v>
      </c>
      <c r="E228" s="26" t="s">
        <v>20</v>
      </c>
      <c r="F228" s="26" t="s">
        <v>8049</v>
      </c>
      <c r="G228" s="26" t="s">
        <v>8380</v>
      </c>
      <c r="H228" s="26" t="s">
        <v>8076</v>
      </c>
      <c r="I228" s="26" t="s">
        <v>8418</v>
      </c>
      <c r="J228" s="26"/>
      <c r="K228" s="26"/>
      <c r="L228" s="26" t="s">
        <v>8078</v>
      </c>
      <c r="M228" s="26" t="e">
        <v>#N/A</v>
      </c>
      <c r="N228" s="26" t="e">
        <v>#N/A</v>
      </c>
      <c r="W228" s="26" t="s">
        <v>8418</v>
      </c>
    </row>
    <row r="229" ht="17.25" hidden="1" customHeight="1">
      <c r="B229" s="26" t="s">
        <v>162</v>
      </c>
      <c r="C229" s="26" t="s">
        <v>163</v>
      </c>
      <c r="D229" s="26" t="s">
        <v>8206</v>
      </c>
      <c r="E229" s="26" t="s">
        <v>12</v>
      </c>
      <c r="F229" s="26" t="s">
        <v>850</v>
      </c>
      <c r="G229" s="26" t="s">
        <v>8419</v>
      </c>
      <c r="H229" s="26" t="s">
        <v>8076</v>
      </c>
      <c r="I229" s="26" t="s">
        <v>8420</v>
      </c>
      <c r="J229" s="26"/>
      <c r="K229" s="26"/>
      <c r="L229" s="26" t="s">
        <v>8078</v>
      </c>
      <c r="M229" s="26" t="e">
        <v>#N/A</v>
      </c>
      <c r="N229" s="26" t="e">
        <v>#N/A</v>
      </c>
      <c r="W229" s="26" t="s">
        <v>8420</v>
      </c>
    </row>
    <row r="230" ht="17.25" hidden="1" customHeight="1">
      <c r="B230" s="26" t="s">
        <v>162</v>
      </c>
      <c r="C230" s="26" t="s">
        <v>163</v>
      </c>
      <c r="D230" s="26" t="s">
        <v>8206</v>
      </c>
      <c r="E230" s="26" t="s">
        <v>12</v>
      </c>
      <c r="F230" s="26" t="s">
        <v>850</v>
      </c>
      <c r="G230" s="26" t="s">
        <v>8419</v>
      </c>
      <c r="H230" s="26" t="s">
        <v>8097</v>
      </c>
      <c r="I230" s="26" t="s">
        <v>8421</v>
      </c>
      <c r="J230" s="26"/>
      <c r="K230" s="26"/>
      <c r="L230" s="26" t="s">
        <v>8078</v>
      </c>
      <c r="M230" s="26" t="e">
        <v>#N/A</v>
      </c>
      <c r="N230" s="26" t="e">
        <v>#N/A</v>
      </c>
      <c r="W230" s="26" t="s">
        <v>8421</v>
      </c>
    </row>
    <row r="231" ht="17.25" hidden="1" customHeight="1">
      <c r="B231" s="26" t="s">
        <v>162</v>
      </c>
      <c r="C231" s="26" t="s">
        <v>163</v>
      </c>
      <c r="D231" s="26" t="s">
        <v>8206</v>
      </c>
      <c r="E231" s="26" t="s">
        <v>20</v>
      </c>
      <c r="F231" s="26" t="s">
        <v>746</v>
      </c>
      <c r="G231" s="26" t="s">
        <v>8422</v>
      </c>
      <c r="H231" s="26" t="s">
        <v>8094</v>
      </c>
      <c r="I231" s="26" t="s">
        <v>8423</v>
      </c>
      <c r="J231" s="26"/>
      <c r="K231" s="26"/>
      <c r="L231" s="26" t="s">
        <v>8078</v>
      </c>
      <c r="M231" s="26" t="e">
        <v>#N/A</v>
      </c>
      <c r="N231" s="26" t="e">
        <v>#N/A</v>
      </c>
      <c r="W231" s="26" t="s">
        <v>8423</v>
      </c>
    </row>
    <row r="232" ht="17.25" hidden="1" customHeight="1">
      <c r="B232" s="26" t="s">
        <v>162</v>
      </c>
      <c r="C232" s="26" t="s">
        <v>163</v>
      </c>
      <c r="D232" s="26" t="s">
        <v>8206</v>
      </c>
      <c r="E232" s="26" t="s">
        <v>20</v>
      </c>
      <c r="F232" s="26" t="s">
        <v>746</v>
      </c>
      <c r="G232" s="26" t="s">
        <v>8422</v>
      </c>
      <c r="H232" s="26" t="s">
        <v>8076</v>
      </c>
      <c r="I232" s="26" t="s">
        <v>8424</v>
      </c>
      <c r="J232" s="26"/>
      <c r="K232" s="26"/>
      <c r="L232" s="26" t="s">
        <v>8078</v>
      </c>
      <c r="M232" s="26" t="e">
        <v>#N/A</v>
      </c>
      <c r="N232" s="26" t="e">
        <v>#N/A</v>
      </c>
      <c r="W232" s="26" t="s">
        <v>8424</v>
      </c>
    </row>
    <row r="233" ht="17.25" hidden="1" customHeight="1">
      <c r="B233" s="26" t="s">
        <v>162</v>
      </c>
      <c r="C233" s="26" t="s">
        <v>163</v>
      </c>
      <c r="D233" s="26" t="s">
        <v>8206</v>
      </c>
      <c r="E233" s="26" t="s">
        <v>20</v>
      </c>
      <c r="F233" s="26" t="s">
        <v>746</v>
      </c>
      <c r="G233" s="26" t="s">
        <v>8425</v>
      </c>
      <c r="H233" s="26" t="s">
        <v>8426</v>
      </c>
      <c r="I233" s="26" t="s">
        <v>8427</v>
      </c>
      <c r="J233" s="26" t="s">
        <v>8428</v>
      </c>
      <c r="K233" s="26"/>
      <c r="L233" s="26" t="s">
        <v>8078</v>
      </c>
      <c r="M233" s="26" t="e">
        <v>#N/A</v>
      </c>
      <c r="N233" s="26" t="e">
        <v>#N/A</v>
      </c>
      <c r="W233" s="26" t="s">
        <v>8429</v>
      </c>
      <c r="X233" s="28" t="s">
        <v>8430</v>
      </c>
      <c r="Y233" s="28" t="s">
        <v>7769</v>
      </c>
    </row>
    <row r="234" ht="17.25" hidden="1" customHeight="1">
      <c r="B234" s="26" t="s">
        <v>162</v>
      </c>
      <c r="C234" s="26" t="s">
        <v>163</v>
      </c>
      <c r="D234" s="26" t="s">
        <v>8206</v>
      </c>
      <c r="E234" s="26" t="s">
        <v>20</v>
      </c>
      <c r="F234" s="26" t="s">
        <v>746</v>
      </c>
      <c r="G234" s="26" t="s">
        <v>8425</v>
      </c>
      <c r="H234" s="26" t="s">
        <v>8431</v>
      </c>
      <c r="I234" s="26" t="s">
        <v>8432</v>
      </c>
      <c r="J234" s="26" t="s">
        <v>8433</v>
      </c>
      <c r="K234" s="26"/>
      <c r="L234" s="26" t="s">
        <v>8078</v>
      </c>
      <c r="M234" s="26" t="e">
        <v>#N/A</v>
      </c>
      <c r="N234" s="26" t="e">
        <v>#N/A</v>
      </c>
      <c r="W234" s="26" t="s">
        <v>8429</v>
      </c>
      <c r="X234" s="28" t="s">
        <v>8434</v>
      </c>
      <c r="Y234" s="28" t="s">
        <v>7769</v>
      </c>
    </row>
    <row r="235" ht="17.25" hidden="1" customHeight="1">
      <c r="B235" s="26" t="s">
        <v>162</v>
      </c>
      <c r="C235" s="26" t="s">
        <v>163</v>
      </c>
      <c r="D235" s="26" t="s">
        <v>8206</v>
      </c>
      <c r="E235" s="26" t="s">
        <v>20</v>
      </c>
      <c r="F235" s="26" t="s">
        <v>705</v>
      </c>
      <c r="G235" s="26" t="s">
        <v>8435</v>
      </c>
      <c r="H235" s="26" t="s">
        <v>8431</v>
      </c>
      <c r="I235" s="26" t="s">
        <v>8436</v>
      </c>
      <c r="J235" s="26" t="s">
        <v>8433</v>
      </c>
      <c r="K235" s="26"/>
      <c r="L235" s="26" t="s">
        <v>8078</v>
      </c>
      <c r="M235" s="26" t="e">
        <v>#N/A</v>
      </c>
      <c r="N235" s="26" t="e">
        <v>#N/A</v>
      </c>
      <c r="W235" s="26" t="s">
        <v>8437</v>
      </c>
      <c r="X235" s="28" t="s">
        <v>8434</v>
      </c>
      <c r="Y235" s="28" t="s">
        <v>7769</v>
      </c>
    </row>
    <row r="236" ht="17.25" hidden="1" customHeight="1">
      <c r="B236" s="26" t="s">
        <v>162</v>
      </c>
      <c r="C236" s="26" t="s">
        <v>163</v>
      </c>
      <c r="D236" s="26" t="s">
        <v>8206</v>
      </c>
      <c r="E236" s="26" t="s">
        <v>20</v>
      </c>
      <c r="F236" s="26" t="s">
        <v>8080</v>
      </c>
      <c r="G236" s="26" t="s">
        <v>8438</v>
      </c>
      <c r="H236" s="26" t="s">
        <v>8076</v>
      </c>
      <c r="I236" s="26" t="s">
        <v>8439</v>
      </c>
      <c r="J236" s="26"/>
      <c r="K236" s="26"/>
      <c r="L236" s="26" t="s">
        <v>8078</v>
      </c>
      <c r="M236" s="26" t="e">
        <v>#N/A</v>
      </c>
      <c r="N236" s="26" t="e">
        <v>#N/A</v>
      </c>
      <c r="W236" s="26" t="s">
        <v>8439</v>
      </c>
    </row>
    <row r="237" ht="17.25" hidden="1" customHeight="1">
      <c r="B237" s="26" t="s">
        <v>162</v>
      </c>
      <c r="C237" s="26" t="s">
        <v>163</v>
      </c>
      <c r="D237" s="26" t="s">
        <v>8206</v>
      </c>
      <c r="E237" s="26" t="s">
        <v>20</v>
      </c>
      <c r="F237" s="26" t="s">
        <v>8080</v>
      </c>
      <c r="G237" s="26" t="s">
        <v>8438</v>
      </c>
      <c r="H237" s="26" t="s">
        <v>8114</v>
      </c>
      <c r="I237" s="26" t="s">
        <v>8440</v>
      </c>
      <c r="J237" s="26" t="s">
        <v>8116</v>
      </c>
      <c r="K237" s="26"/>
      <c r="L237" s="26" t="s">
        <v>8078</v>
      </c>
      <c r="M237" s="26" t="e">
        <v>#N/A</v>
      </c>
      <c r="N237" s="26" t="e">
        <v>#N/A</v>
      </c>
      <c r="W237" s="26" t="s">
        <v>8441</v>
      </c>
      <c r="X237" s="28">
        <v>250.0</v>
      </c>
      <c r="Y237" s="28" t="s">
        <v>7769</v>
      </c>
    </row>
    <row r="238" ht="17.25" hidden="1" customHeight="1">
      <c r="B238" s="26" t="s">
        <v>162</v>
      </c>
      <c r="C238" s="26" t="s">
        <v>163</v>
      </c>
      <c r="D238" s="26" t="s">
        <v>8206</v>
      </c>
      <c r="E238" s="26" t="s">
        <v>20</v>
      </c>
      <c r="F238" s="26" t="s">
        <v>788</v>
      </c>
      <c r="G238" s="26" t="s">
        <v>8442</v>
      </c>
      <c r="H238" s="26" t="s">
        <v>8076</v>
      </c>
      <c r="I238" s="26" t="s">
        <v>8443</v>
      </c>
      <c r="J238" s="26"/>
      <c r="K238" s="26"/>
      <c r="L238" s="26" t="s">
        <v>8078</v>
      </c>
      <c r="M238" s="26" t="e">
        <v>#N/A</v>
      </c>
      <c r="N238" s="26" t="e">
        <v>#N/A</v>
      </c>
      <c r="W238" s="26" t="s">
        <v>8443</v>
      </c>
    </row>
    <row r="239" ht="17.25" hidden="1" customHeight="1">
      <c r="B239" s="26" t="s">
        <v>162</v>
      </c>
      <c r="C239" s="26" t="s">
        <v>163</v>
      </c>
      <c r="D239" s="26" t="s">
        <v>8206</v>
      </c>
      <c r="E239" s="26" t="s">
        <v>20</v>
      </c>
      <c r="F239" s="26" t="s">
        <v>8444</v>
      </c>
      <c r="G239" s="26" t="s">
        <v>8445</v>
      </c>
      <c r="H239" s="26" t="s">
        <v>8114</v>
      </c>
      <c r="I239" s="26" t="s">
        <v>8446</v>
      </c>
      <c r="J239" s="26" t="s">
        <v>8116</v>
      </c>
      <c r="K239" s="26"/>
      <c r="L239" s="26" t="s">
        <v>8078</v>
      </c>
      <c r="M239" s="26" t="e">
        <v>#N/A</v>
      </c>
      <c r="N239" s="26" t="e">
        <v>#N/A</v>
      </c>
      <c r="W239" s="26" t="s">
        <v>8447</v>
      </c>
      <c r="X239" s="28">
        <v>250.0</v>
      </c>
      <c r="Y239" s="28" t="s">
        <v>7769</v>
      </c>
    </row>
    <row r="240" ht="17.25" hidden="1" customHeight="1">
      <c r="B240" s="26" t="s">
        <v>162</v>
      </c>
      <c r="C240" s="26" t="s">
        <v>163</v>
      </c>
      <c r="D240" s="26" t="s">
        <v>8206</v>
      </c>
      <c r="E240" s="26" t="s">
        <v>20</v>
      </c>
      <c r="F240" s="26" t="s">
        <v>794</v>
      </c>
      <c r="G240" s="26" t="s">
        <v>8448</v>
      </c>
      <c r="H240" s="26" t="s">
        <v>8094</v>
      </c>
      <c r="I240" s="26" t="s">
        <v>8449</v>
      </c>
      <c r="J240" s="26"/>
      <c r="K240" s="26"/>
      <c r="L240" s="26" t="s">
        <v>8078</v>
      </c>
      <c r="M240" s="26" t="e">
        <v>#N/A</v>
      </c>
      <c r="N240" s="26" t="e">
        <v>#N/A</v>
      </c>
      <c r="W240" s="26" t="s">
        <v>8449</v>
      </c>
    </row>
    <row r="241" ht="17.25" hidden="1" customHeight="1">
      <c r="B241" s="26" t="s">
        <v>162</v>
      </c>
      <c r="C241" s="26" t="s">
        <v>163</v>
      </c>
      <c r="D241" s="26" t="s">
        <v>8206</v>
      </c>
      <c r="E241" s="26" t="s">
        <v>20</v>
      </c>
      <c r="F241" s="26" t="s">
        <v>794</v>
      </c>
      <c r="G241" s="26" t="s">
        <v>8448</v>
      </c>
      <c r="H241" s="26" t="s">
        <v>8076</v>
      </c>
      <c r="I241" s="26" t="s">
        <v>8450</v>
      </c>
      <c r="J241" s="26"/>
      <c r="K241" s="26"/>
      <c r="L241" s="26" t="s">
        <v>8078</v>
      </c>
      <c r="M241" s="26" t="e">
        <v>#N/A</v>
      </c>
      <c r="N241" s="26" t="e">
        <v>#N/A</v>
      </c>
      <c r="W241" s="26" t="s">
        <v>8450</v>
      </c>
    </row>
    <row r="242" ht="17.25" hidden="1" customHeight="1">
      <c r="B242" s="26" t="s">
        <v>162</v>
      </c>
      <c r="C242" s="26" t="s">
        <v>163</v>
      </c>
      <c r="D242" s="26" t="s">
        <v>8206</v>
      </c>
      <c r="E242" s="26" t="s">
        <v>20</v>
      </c>
      <c r="F242" s="26" t="s">
        <v>7707</v>
      </c>
      <c r="G242" s="26" t="s">
        <v>8451</v>
      </c>
      <c r="H242" s="26" t="s">
        <v>8076</v>
      </c>
      <c r="I242" s="26" t="s">
        <v>8452</v>
      </c>
      <c r="J242" s="26"/>
      <c r="K242" s="26"/>
      <c r="L242" s="26" t="s">
        <v>8078</v>
      </c>
      <c r="M242" s="26" t="e">
        <v>#N/A</v>
      </c>
      <c r="N242" s="26" t="e">
        <v>#N/A</v>
      </c>
      <c r="W242" s="26" t="s">
        <v>8452</v>
      </c>
    </row>
    <row r="243" ht="17.25" hidden="1" customHeight="1">
      <c r="B243" s="26" t="s">
        <v>162</v>
      </c>
      <c r="C243" s="26" t="s">
        <v>163</v>
      </c>
      <c r="D243" s="26" t="s">
        <v>8206</v>
      </c>
      <c r="E243" s="26" t="s">
        <v>20</v>
      </c>
      <c r="F243" s="26" t="s">
        <v>925</v>
      </c>
      <c r="G243" s="26" t="s">
        <v>8453</v>
      </c>
      <c r="H243" s="26" t="s">
        <v>8076</v>
      </c>
      <c r="I243" s="26" t="s">
        <v>8454</v>
      </c>
      <c r="J243" s="26"/>
      <c r="K243" s="26"/>
      <c r="L243" s="26" t="s">
        <v>8078</v>
      </c>
      <c r="M243" s="26" t="e">
        <v>#N/A</v>
      </c>
      <c r="N243" s="26" t="e">
        <v>#N/A</v>
      </c>
      <c r="W243" s="26" t="s">
        <v>8454</v>
      </c>
    </row>
    <row r="244" ht="17.25" hidden="1" customHeight="1">
      <c r="B244" s="26" t="s">
        <v>162</v>
      </c>
      <c r="C244" s="26" t="s">
        <v>163</v>
      </c>
      <c r="D244" s="26" t="s">
        <v>8455</v>
      </c>
      <c r="E244" s="26" t="s">
        <v>20</v>
      </c>
      <c r="F244" s="26" t="s">
        <v>8196</v>
      </c>
      <c r="G244" s="26" t="s">
        <v>8456</v>
      </c>
      <c r="H244" s="26" t="s">
        <v>8076</v>
      </c>
      <c r="I244" s="26" t="s">
        <v>8457</v>
      </c>
      <c r="J244" s="26"/>
      <c r="K244" s="26"/>
      <c r="L244" s="26" t="s">
        <v>8078</v>
      </c>
      <c r="M244" s="26" t="e">
        <v>#N/A</v>
      </c>
      <c r="N244" s="26" t="e">
        <v>#N/A</v>
      </c>
      <c r="W244" s="26" t="s">
        <v>8457</v>
      </c>
    </row>
    <row r="245" ht="17.25" hidden="1" customHeight="1">
      <c r="B245" s="26" t="s">
        <v>162</v>
      </c>
      <c r="C245" s="26" t="s">
        <v>163</v>
      </c>
      <c r="D245" s="26" t="s">
        <v>8455</v>
      </c>
      <c r="E245" s="26" t="s">
        <v>20</v>
      </c>
      <c r="F245" s="26" t="s">
        <v>8196</v>
      </c>
      <c r="G245" s="26" t="s">
        <v>8456</v>
      </c>
      <c r="H245" s="26" t="s">
        <v>8207</v>
      </c>
      <c r="I245" s="26" t="s">
        <v>8458</v>
      </c>
      <c r="J245" s="26" t="s">
        <v>8209</v>
      </c>
      <c r="K245" s="26"/>
      <c r="L245" s="26" t="s">
        <v>8078</v>
      </c>
      <c r="M245" s="26" t="e">
        <v>#N/A</v>
      </c>
      <c r="N245" s="26" t="e">
        <v>#N/A</v>
      </c>
      <c r="W245" s="26" t="s">
        <v>8459</v>
      </c>
      <c r="X245" s="28">
        <v>100.0</v>
      </c>
      <c r="Y245" s="28" t="s">
        <v>7769</v>
      </c>
    </row>
    <row r="246" ht="17.25" hidden="1" customHeight="1">
      <c r="B246" s="26" t="s">
        <v>162</v>
      </c>
      <c r="C246" s="26" t="s">
        <v>163</v>
      </c>
      <c r="D246" s="26" t="s">
        <v>8455</v>
      </c>
      <c r="E246" s="26" t="s">
        <v>20</v>
      </c>
      <c r="F246" s="26" t="s">
        <v>8196</v>
      </c>
      <c r="G246" s="26" t="s">
        <v>8456</v>
      </c>
      <c r="H246" s="26" t="s">
        <v>8114</v>
      </c>
      <c r="I246" s="26" t="s">
        <v>8460</v>
      </c>
      <c r="J246" s="26" t="s">
        <v>8116</v>
      </c>
      <c r="K246" s="26"/>
      <c r="L246" s="26" t="s">
        <v>8078</v>
      </c>
      <c r="M246" s="26" t="e">
        <v>#N/A</v>
      </c>
      <c r="N246" s="26" t="e">
        <v>#N/A</v>
      </c>
      <c r="W246" s="26" t="s">
        <v>8459</v>
      </c>
      <c r="X246" s="28">
        <v>250.0</v>
      </c>
      <c r="Y246" s="28" t="s">
        <v>7769</v>
      </c>
    </row>
    <row r="247" ht="17.25" hidden="1" customHeight="1">
      <c r="B247" s="26" t="s">
        <v>162</v>
      </c>
      <c r="C247" s="26" t="s">
        <v>163</v>
      </c>
      <c r="D247" s="26" t="s">
        <v>8263</v>
      </c>
      <c r="E247" s="26" t="s">
        <v>12</v>
      </c>
      <c r="F247" s="26" t="s">
        <v>8306</v>
      </c>
      <c r="G247" s="26" t="s">
        <v>8461</v>
      </c>
      <c r="H247" s="26" t="s">
        <v>8076</v>
      </c>
      <c r="I247" s="26" t="s">
        <v>8462</v>
      </c>
      <c r="J247" s="26"/>
      <c r="K247" s="26"/>
      <c r="L247" s="26" t="s">
        <v>8078</v>
      </c>
      <c r="M247" s="26" t="e">
        <v>#N/A</v>
      </c>
      <c r="N247" s="26" t="e">
        <v>#N/A</v>
      </c>
      <c r="W247" s="26" t="s">
        <v>8462</v>
      </c>
    </row>
    <row r="248" ht="17.25" hidden="1" customHeight="1">
      <c r="B248" s="26" t="s">
        <v>162</v>
      </c>
      <c r="C248" s="26" t="s">
        <v>163</v>
      </c>
      <c r="D248" s="26" t="s">
        <v>8263</v>
      </c>
      <c r="E248" s="26" t="s">
        <v>12</v>
      </c>
      <c r="F248" s="26" t="s">
        <v>8306</v>
      </c>
      <c r="G248" s="26" t="s">
        <v>8461</v>
      </c>
      <c r="H248" s="26" t="s">
        <v>8097</v>
      </c>
      <c r="I248" s="26" t="s">
        <v>8463</v>
      </c>
      <c r="J248" s="26"/>
      <c r="K248" s="26"/>
      <c r="L248" s="26" t="s">
        <v>8078</v>
      </c>
      <c r="M248" s="26" t="e">
        <v>#N/A</v>
      </c>
      <c r="N248" s="26" t="e">
        <v>#N/A</v>
      </c>
      <c r="W248" s="26" t="s">
        <v>8463</v>
      </c>
    </row>
    <row r="249" ht="17.25" hidden="1" customHeight="1">
      <c r="B249" s="26" t="s">
        <v>162</v>
      </c>
      <c r="C249" s="26" t="s">
        <v>163</v>
      </c>
      <c r="D249" s="26" t="s">
        <v>8268</v>
      </c>
      <c r="E249" s="26" t="s">
        <v>12</v>
      </c>
      <c r="F249" s="26" t="s">
        <v>880</v>
      </c>
      <c r="G249" s="26" t="s">
        <v>8464</v>
      </c>
      <c r="H249" s="26" t="s">
        <v>8076</v>
      </c>
      <c r="I249" s="26" t="s">
        <v>8465</v>
      </c>
      <c r="J249" s="26"/>
      <c r="K249" s="26"/>
      <c r="L249" s="26" t="s">
        <v>8078</v>
      </c>
      <c r="M249" s="26" t="e">
        <v>#N/A</v>
      </c>
      <c r="N249" s="26" t="e">
        <v>#N/A</v>
      </c>
      <c r="W249" s="26" t="s">
        <v>8465</v>
      </c>
    </row>
    <row r="250" ht="17.25" hidden="1" customHeight="1">
      <c r="B250" s="26" t="s">
        <v>162</v>
      </c>
      <c r="C250" s="26" t="s">
        <v>163</v>
      </c>
      <c r="D250" s="26" t="s">
        <v>8268</v>
      </c>
      <c r="E250" s="26" t="s">
        <v>12</v>
      </c>
      <c r="F250" s="26" t="s">
        <v>880</v>
      </c>
      <c r="G250" s="26" t="s">
        <v>8464</v>
      </c>
      <c r="H250" s="26" t="s">
        <v>8097</v>
      </c>
      <c r="I250" s="26" t="s">
        <v>8466</v>
      </c>
      <c r="J250" s="26"/>
      <c r="K250" s="26"/>
      <c r="L250" s="26" t="s">
        <v>8078</v>
      </c>
      <c r="M250" s="26" t="e">
        <v>#N/A</v>
      </c>
      <c r="N250" s="26" t="e">
        <v>#N/A</v>
      </c>
      <c r="W250" s="26" t="s">
        <v>8466</v>
      </c>
    </row>
    <row r="251" ht="17.25" hidden="1" customHeight="1">
      <c r="B251" s="26" t="s">
        <v>162</v>
      </c>
      <c r="C251" s="26" t="s">
        <v>163</v>
      </c>
      <c r="D251" s="26" t="s">
        <v>8268</v>
      </c>
      <c r="E251" s="26" t="s">
        <v>20</v>
      </c>
      <c r="F251" s="26" t="s">
        <v>7758</v>
      </c>
      <c r="G251" s="26" t="s">
        <v>8467</v>
      </c>
      <c r="H251" s="26" t="s">
        <v>8468</v>
      </c>
      <c r="I251" s="26" t="s">
        <v>8469</v>
      </c>
      <c r="J251" s="26" t="s">
        <v>8470</v>
      </c>
      <c r="K251" s="26"/>
      <c r="L251" s="26" t="s">
        <v>8078</v>
      </c>
      <c r="M251" s="26" t="e">
        <v>#N/A</v>
      </c>
      <c r="N251" s="26" t="e">
        <v>#N/A</v>
      </c>
      <c r="W251" s="26" t="s">
        <v>8471</v>
      </c>
      <c r="X251" s="28" t="s">
        <v>8472</v>
      </c>
      <c r="Y251" s="28" t="s">
        <v>7769</v>
      </c>
    </row>
    <row r="252" ht="17.25" hidden="1" customHeight="1">
      <c r="B252" s="26" t="s">
        <v>162</v>
      </c>
      <c r="C252" s="26" t="s">
        <v>163</v>
      </c>
      <c r="D252" s="26" t="s">
        <v>8268</v>
      </c>
      <c r="E252" s="26" t="s">
        <v>20</v>
      </c>
      <c r="F252" s="26" t="s">
        <v>7758</v>
      </c>
      <c r="G252" s="26" t="s">
        <v>8467</v>
      </c>
      <c r="H252" s="26" t="s">
        <v>8473</v>
      </c>
      <c r="I252" s="26" t="s">
        <v>8474</v>
      </c>
      <c r="J252" s="26" t="s">
        <v>8475</v>
      </c>
      <c r="K252" s="26"/>
      <c r="L252" s="26" t="s">
        <v>8078</v>
      </c>
      <c r="M252" s="26" t="e">
        <v>#N/A</v>
      </c>
      <c r="N252" s="26" t="e">
        <v>#N/A</v>
      </c>
      <c r="W252" s="26" t="s">
        <v>8471</v>
      </c>
      <c r="X252" s="28" t="s">
        <v>8476</v>
      </c>
      <c r="Y252" s="28" t="s">
        <v>7769</v>
      </c>
    </row>
    <row r="253" ht="17.25" hidden="1" customHeight="1">
      <c r="B253" s="26" t="s">
        <v>162</v>
      </c>
      <c r="C253" s="26" t="s">
        <v>163</v>
      </c>
      <c r="D253" s="26" t="s">
        <v>8268</v>
      </c>
      <c r="E253" s="26" t="s">
        <v>20</v>
      </c>
      <c r="F253" s="26" t="s">
        <v>7758</v>
      </c>
      <c r="G253" s="26" t="s">
        <v>8477</v>
      </c>
      <c r="H253" s="26" t="s">
        <v>8342</v>
      </c>
      <c r="I253" s="26" t="s">
        <v>8478</v>
      </c>
      <c r="J253" s="26" t="s">
        <v>8344</v>
      </c>
      <c r="K253" s="26"/>
      <c r="L253" s="26" t="s">
        <v>8078</v>
      </c>
      <c r="M253" s="26" t="e">
        <v>#N/A</v>
      </c>
      <c r="N253" s="26" t="e">
        <v>#N/A</v>
      </c>
      <c r="W253" s="26" t="s">
        <v>8479</v>
      </c>
      <c r="X253" s="28" t="s">
        <v>8346</v>
      </c>
      <c r="Y253" s="28" t="s">
        <v>7769</v>
      </c>
    </row>
    <row r="254" ht="17.25" hidden="1" customHeight="1">
      <c r="B254" s="26" t="s">
        <v>162</v>
      </c>
      <c r="C254" s="26" t="s">
        <v>163</v>
      </c>
      <c r="D254" s="26" t="s">
        <v>8268</v>
      </c>
      <c r="E254" s="26" t="s">
        <v>20</v>
      </c>
      <c r="F254" s="26" t="s">
        <v>7758</v>
      </c>
      <c r="G254" s="26" t="s">
        <v>8477</v>
      </c>
      <c r="H254" s="26" t="s">
        <v>8347</v>
      </c>
      <c r="I254" s="26" t="s">
        <v>8480</v>
      </c>
      <c r="J254" s="26" t="s">
        <v>8349</v>
      </c>
      <c r="K254" s="26"/>
      <c r="L254" s="26" t="s">
        <v>8078</v>
      </c>
      <c r="M254" s="26" t="e">
        <v>#N/A</v>
      </c>
      <c r="N254" s="26" t="e">
        <v>#N/A</v>
      </c>
      <c r="W254" s="26" t="s">
        <v>8479</v>
      </c>
      <c r="X254" s="28" t="s">
        <v>8350</v>
      </c>
      <c r="Y254" s="28" t="s">
        <v>7769</v>
      </c>
    </row>
    <row r="255" ht="17.25" hidden="1" customHeight="1">
      <c r="B255" s="26" t="s">
        <v>162</v>
      </c>
      <c r="C255" s="26" t="s">
        <v>163</v>
      </c>
      <c r="D255" s="26" t="s">
        <v>8268</v>
      </c>
      <c r="E255" s="26" t="s">
        <v>20</v>
      </c>
      <c r="F255" s="26" t="s">
        <v>8080</v>
      </c>
      <c r="G255" s="26" t="s">
        <v>8481</v>
      </c>
      <c r="H255" s="26" t="s">
        <v>8107</v>
      </c>
      <c r="I255" s="26" t="s">
        <v>8482</v>
      </c>
      <c r="J255" s="26"/>
      <c r="K255" s="26"/>
      <c r="L255" s="26" t="s">
        <v>8078</v>
      </c>
      <c r="M255" s="26" t="e">
        <v>#N/A</v>
      </c>
      <c r="N255" s="26" t="e">
        <v>#N/A</v>
      </c>
      <c r="W255" s="26" t="s">
        <v>8482</v>
      </c>
    </row>
    <row r="256" ht="17.25" hidden="1" customHeight="1">
      <c r="B256" s="26" t="s">
        <v>162</v>
      </c>
      <c r="C256" s="26" t="s">
        <v>163</v>
      </c>
      <c r="D256" s="26" t="s">
        <v>8268</v>
      </c>
      <c r="E256" s="26" t="s">
        <v>20</v>
      </c>
      <c r="F256" s="26" t="s">
        <v>788</v>
      </c>
      <c r="G256" s="26" t="s">
        <v>8483</v>
      </c>
      <c r="H256" s="26" t="s">
        <v>8094</v>
      </c>
      <c r="I256" s="26" t="s">
        <v>8484</v>
      </c>
      <c r="J256" s="26"/>
      <c r="K256" s="26"/>
      <c r="L256" s="26" t="s">
        <v>8078</v>
      </c>
      <c r="M256" s="26" t="e">
        <v>#N/A</v>
      </c>
      <c r="N256" s="26" t="e">
        <v>#N/A</v>
      </c>
      <c r="W256" s="26" t="s">
        <v>8484</v>
      </c>
    </row>
    <row r="257" ht="17.25" hidden="1" customHeight="1">
      <c r="B257" s="26" t="s">
        <v>162</v>
      </c>
      <c r="C257" s="26" t="s">
        <v>163</v>
      </c>
      <c r="D257" s="26" t="s">
        <v>8268</v>
      </c>
      <c r="E257" s="26" t="s">
        <v>20</v>
      </c>
      <c r="F257" s="26" t="s">
        <v>788</v>
      </c>
      <c r="G257" s="26" t="s">
        <v>8483</v>
      </c>
      <c r="H257" s="26" t="s">
        <v>8076</v>
      </c>
      <c r="I257" s="26" t="s">
        <v>8485</v>
      </c>
      <c r="J257" s="26"/>
      <c r="K257" s="26"/>
      <c r="L257" s="26" t="s">
        <v>8078</v>
      </c>
      <c r="M257" s="26" t="e">
        <v>#N/A</v>
      </c>
      <c r="N257" s="26" t="e">
        <v>#N/A</v>
      </c>
      <c r="W257" s="26" t="s">
        <v>8485</v>
      </c>
    </row>
    <row r="258" ht="17.25" hidden="1" customHeight="1">
      <c r="B258" s="26" t="s">
        <v>162</v>
      </c>
      <c r="C258" s="26" t="s">
        <v>163</v>
      </c>
      <c r="D258" s="26" t="s">
        <v>8268</v>
      </c>
      <c r="E258" s="26" t="s">
        <v>20</v>
      </c>
      <c r="F258" s="26" t="s">
        <v>794</v>
      </c>
      <c r="G258" s="26" t="s">
        <v>8486</v>
      </c>
      <c r="H258" s="26" t="s">
        <v>8076</v>
      </c>
      <c r="I258" s="26" t="s">
        <v>8487</v>
      </c>
      <c r="J258" s="26"/>
      <c r="K258" s="26"/>
      <c r="L258" s="26" t="s">
        <v>8078</v>
      </c>
      <c r="M258" s="26" t="e">
        <v>#N/A</v>
      </c>
      <c r="N258" s="26" t="e">
        <v>#N/A</v>
      </c>
      <c r="W258" s="26" t="s">
        <v>8487</v>
      </c>
    </row>
    <row r="259" ht="17.25" hidden="1" customHeight="1">
      <c r="B259" s="26" t="s">
        <v>162</v>
      </c>
      <c r="C259" s="26" t="s">
        <v>163</v>
      </c>
      <c r="D259" s="26" t="s">
        <v>8268</v>
      </c>
      <c r="E259" s="26" t="s">
        <v>20</v>
      </c>
      <c r="F259" s="26" t="s">
        <v>814</v>
      </c>
      <c r="G259" s="26" t="s">
        <v>8488</v>
      </c>
      <c r="H259" s="26" t="s">
        <v>8076</v>
      </c>
      <c r="I259" s="26" t="s">
        <v>8489</v>
      </c>
      <c r="J259" s="26"/>
      <c r="K259" s="26"/>
      <c r="L259" s="26" t="s">
        <v>8078</v>
      </c>
      <c r="M259" s="26" t="e">
        <v>#N/A</v>
      </c>
      <c r="N259" s="26" t="e">
        <v>#N/A</v>
      </c>
      <c r="W259" s="26" t="s">
        <v>8489</v>
      </c>
    </row>
    <row r="260" ht="17.25" hidden="1" customHeight="1">
      <c r="B260" s="26" t="s">
        <v>162</v>
      </c>
      <c r="C260" s="26" t="s">
        <v>163</v>
      </c>
      <c r="D260" s="26" t="s">
        <v>8268</v>
      </c>
      <c r="E260" s="26" t="s">
        <v>20</v>
      </c>
      <c r="F260" s="26" t="s">
        <v>8196</v>
      </c>
      <c r="G260" s="26" t="s">
        <v>8490</v>
      </c>
      <c r="H260" s="26" t="s">
        <v>8076</v>
      </c>
      <c r="I260" s="26" t="s">
        <v>8491</v>
      </c>
      <c r="J260" s="26"/>
      <c r="K260" s="26"/>
      <c r="L260" s="26" t="s">
        <v>8078</v>
      </c>
      <c r="M260" s="26" t="e">
        <v>#N/A</v>
      </c>
      <c r="N260" s="26" t="e">
        <v>#N/A</v>
      </c>
      <c r="W260" s="26" t="s">
        <v>8491</v>
      </c>
    </row>
    <row r="261" ht="17.25" hidden="1" customHeight="1">
      <c r="B261" s="26" t="s">
        <v>162</v>
      </c>
      <c r="C261" s="26" t="s">
        <v>163</v>
      </c>
      <c r="D261" s="26" t="s">
        <v>8268</v>
      </c>
      <c r="E261" s="26" t="s">
        <v>20</v>
      </c>
      <c r="F261" s="26" t="s">
        <v>8196</v>
      </c>
      <c r="G261" s="26" t="s">
        <v>8490</v>
      </c>
      <c r="H261" s="26" t="s">
        <v>8207</v>
      </c>
      <c r="I261" s="26" t="s">
        <v>8492</v>
      </c>
      <c r="J261" s="26" t="s">
        <v>8209</v>
      </c>
      <c r="K261" s="26"/>
      <c r="L261" s="26" t="s">
        <v>8078</v>
      </c>
      <c r="M261" s="26" t="e">
        <v>#N/A</v>
      </c>
      <c r="N261" s="26" t="e">
        <v>#N/A</v>
      </c>
      <c r="W261" s="26" t="s">
        <v>8493</v>
      </c>
      <c r="X261" s="28">
        <v>100.0</v>
      </c>
      <c r="Y261" s="28" t="s">
        <v>7769</v>
      </c>
    </row>
    <row r="262" ht="17.25" hidden="1" customHeight="1">
      <c r="B262" s="26" t="s">
        <v>162</v>
      </c>
      <c r="C262" s="26" t="s">
        <v>163</v>
      </c>
      <c r="D262" s="26" t="s">
        <v>8268</v>
      </c>
      <c r="E262" s="26" t="s">
        <v>20</v>
      </c>
      <c r="F262" s="26" t="s">
        <v>8196</v>
      </c>
      <c r="G262" s="26" t="s">
        <v>8490</v>
      </c>
      <c r="H262" s="26" t="s">
        <v>8114</v>
      </c>
      <c r="I262" s="26" t="s">
        <v>8494</v>
      </c>
      <c r="J262" s="26" t="s">
        <v>8116</v>
      </c>
      <c r="K262" s="26"/>
      <c r="L262" s="26" t="s">
        <v>8078</v>
      </c>
      <c r="M262" s="26" t="e">
        <v>#N/A</v>
      </c>
      <c r="N262" s="26" t="e">
        <v>#N/A</v>
      </c>
      <c r="W262" s="26" t="s">
        <v>8493</v>
      </c>
      <c r="X262" s="28">
        <v>250.0</v>
      </c>
      <c r="Y262" s="28" t="s">
        <v>7769</v>
      </c>
    </row>
    <row r="263" ht="17.25" hidden="1" customHeight="1">
      <c r="B263" s="26" t="s">
        <v>162</v>
      </c>
      <c r="C263" s="26" t="s">
        <v>163</v>
      </c>
      <c r="D263" s="26" t="s">
        <v>8268</v>
      </c>
      <c r="E263" s="26" t="s">
        <v>20</v>
      </c>
      <c r="F263" s="26" t="s">
        <v>8306</v>
      </c>
      <c r="G263" s="26" t="s">
        <v>8495</v>
      </c>
      <c r="H263" s="26" t="s">
        <v>8094</v>
      </c>
      <c r="I263" s="26" t="s">
        <v>8496</v>
      </c>
      <c r="J263" s="26"/>
      <c r="K263" s="26"/>
      <c r="L263" s="26" t="s">
        <v>8078</v>
      </c>
      <c r="M263" s="26" t="e">
        <v>#N/A</v>
      </c>
      <c r="N263" s="26" t="e">
        <v>#N/A</v>
      </c>
      <c r="W263" s="26" t="s">
        <v>8496</v>
      </c>
    </row>
    <row r="264" ht="17.25" hidden="1" customHeight="1">
      <c r="B264" s="26" t="s">
        <v>162</v>
      </c>
      <c r="C264" s="26" t="s">
        <v>163</v>
      </c>
      <c r="D264" s="26" t="s">
        <v>8268</v>
      </c>
      <c r="E264" s="26" t="s">
        <v>20</v>
      </c>
      <c r="F264" s="26" t="s">
        <v>8306</v>
      </c>
      <c r="G264" s="26" t="s">
        <v>8495</v>
      </c>
      <c r="H264" s="26" t="s">
        <v>8153</v>
      </c>
      <c r="I264" s="26" t="s">
        <v>8497</v>
      </c>
      <c r="J264" s="26"/>
      <c r="K264" s="26"/>
      <c r="L264" s="26" t="s">
        <v>8078</v>
      </c>
      <c r="M264" s="26" t="e">
        <v>#N/A</v>
      </c>
      <c r="N264" s="26" t="e">
        <v>#N/A</v>
      </c>
      <c r="W264" s="26" t="s">
        <v>8497</v>
      </c>
    </row>
    <row r="265" ht="17.25" hidden="1" customHeight="1">
      <c r="B265" s="26" t="s">
        <v>162</v>
      </c>
      <c r="C265" s="26" t="s">
        <v>163</v>
      </c>
      <c r="D265" s="26" t="s">
        <v>8268</v>
      </c>
      <c r="E265" s="26" t="s">
        <v>20</v>
      </c>
      <c r="F265" s="26" t="s">
        <v>8306</v>
      </c>
      <c r="G265" s="26" t="s">
        <v>8495</v>
      </c>
      <c r="H265" s="26" t="s">
        <v>8076</v>
      </c>
      <c r="I265" s="26" t="s">
        <v>8498</v>
      </c>
      <c r="J265" s="26"/>
      <c r="K265" s="26"/>
      <c r="L265" s="26" t="s">
        <v>8078</v>
      </c>
      <c r="M265" s="26" t="e">
        <v>#N/A</v>
      </c>
      <c r="N265" s="26" t="e">
        <v>#N/A</v>
      </c>
      <c r="W265" s="26" t="s">
        <v>8498</v>
      </c>
    </row>
    <row r="266" ht="17.25" hidden="1" customHeight="1">
      <c r="B266" s="26" t="s">
        <v>162</v>
      </c>
      <c r="C266" s="26" t="s">
        <v>163</v>
      </c>
      <c r="D266" s="26" t="s">
        <v>8268</v>
      </c>
      <c r="E266" s="26" t="s">
        <v>20</v>
      </c>
      <c r="F266" s="26" t="s">
        <v>701</v>
      </c>
      <c r="G266" s="26" t="s">
        <v>8499</v>
      </c>
      <c r="H266" s="26" t="s">
        <v>8094</v>
      </c>
      <c r="I266" s="26" t="s">
        <v>8500</v>
      </c>
      <c r="J266" s="26"/>
      <c r="K266" s="26"/>
      <c r="L266" s="26" t="s">
        <v>8078</v>
      </c>
      <c r="M266" s="26" t="e">
        <v>#N/A</v>
      </c>
      <c r="N266" s="26" t="e">
        <v>#N/A</v>
      </c>
      <c r="W266" s="26" t="s">
        <v>8500</v>
      </c>
    </row>
    <row r="267" ht="17.25" hidden="1" customHeight="1">
      <c r="B267" s="26" t="s">
        <v>162</v>
      </c>
      <c r="C267" s="26" t="s">
        <v>163</v>
      </c>
      <c r="D267" s="26" t="s">
        <v>8268</v>
      </c>
      <c r="E267" s="26" t="s">
        <v>20</v>
      </c>
      <c r="F267" s="26" t="s">
        <v>701</v>
      </c>
      <c r="G267" s="26" t="s">
        <v>8499</v>
      </c>
      <c r="H267" s="26" t="s">
        <v>8076</v>
      </c>
      <c r="I267" s="26" t="s">
        <v>8501</v>
      </c>
      <c r="J267" s="26"/>
      <c r="K267" s="26"/>
      <c r="L267" s="26" t="s">
        <v>8078</v>
      </c>
      <c r="M267" s="26" t="e">
        <v>#N/A</v>
      </c>
      <c r="N267" s="26" t="e">
        <v>#N/A</v>
      </c>
      <c r="W267" s="26" t="s">
        <v>8501</v>
      </c>
    </row>
    <row r="268" ht="17.25" hidden="1" customHeight="1">
      <c r="B268" s="26" t="s">
        <v>162</v>
      </c>
      <c r="C268" s="26" t="s">
        <v>163</v>
      </c>
      <c r="D268" s="26" t="s">
        <v>8268</v>
      </c>
      <c r="E268" s="26" t="s">
        <v>20</v>
      </c>
      <c r="F268" s="26" t="s">
        <v>880</v>
      </c>
      <c r="G268" s="26" t="s">
        <v>8502</v>
      </c>
      <c r="H268" s="26" t="s">
        <v>8076</v>
      </c>
      <c r="I268" s="26" t="s">
        <v>8503</v>
      </c>
      <c r="J268" s="26"/>
      <c r="K268" s="26"/>
      <c r="L268" s="26" t="s">
        <v>8078</v>
      </c>
      <c r="M268" s="26" t="e">
        <v>#N/A</v>
      </c>
      <c r="N268" s="26" t="e">
        <v>#N/A</v>
      </c>
      <c r="W268" s="26" t="s">
        <v>8503</v>
      </c>
    </row>
    <row r="269" ht="17.25" hidden="1" customHeight="1">
      <c r="B269" s="26" t="s">
        <v>162</v>
      </c>
      <c r="C269" s="26" t="s">
        <v>163</v>
      </c>
      <c r="D269" s="26" t="s">
        <v>8268</v>
      </c>
      <c r="E269" s="26" t="s">
        <v>20</v>
      </c>
      <c r="F269" s="26" t="s">
        <v>880</v>
      </c>
      <c r="G269" s="26" t="s">
        <v>8504</v>
      </c>
      <c r="H269" s="26" t="s">
        <v>8076</v>
      </c>
      <c r="I269" s="26" t="s">
        <v>8505</v>
      </c>
      <c r="J269" s="26"/>
      <c r="K269" s="26"/>
      <c r="L269" s="26" t="s">
        <v>8078</v>
      </c>
      <c r="M269" s="26" t="e">
        <v>#N/A</v>
      </c>
      <c r="N269" s="26" t="e">
        <v>#N/A</v>
      </c>
      <c r="W269" s="26" t="s">
        <v>8505</v>
      </c>
    </row>
    <row r="270" ht="17.25" hidden="1" customHeight="1">
      <c r="B270" s="26" t="s">
        <v>162</v>
      </c>
      <c r="C270" s="26" t="s">
        <v>163</v>
      </c>
      <c r="D270" s="26" t="s">
        <v>8268</v>
      </c>
      <c r="E270" s="26" t="s">
        <v>20</v>
      </c>
      <c r="F270" s="26" t="s">
        <v>7707</v>
      </c>
      <c r="G270" s="26" t="s">
        <v>8506</v>
      </c>
      <c r="H270" s="26" t="s">
        <v>8094</v>
      </c>
      <c r="I270" s="26" t="s">
        <v>8507</v>
      </c>
      <c r="J270" s="26"/>
      <c r="K270" s="26"/>
      <c r="L270" s="26" t="s">
        <v>8078</v>
      </c>
      <c r="M270" s="26" t="e">
        <v>#N/A</v>
      </c>
      <c r="N270" s="26" t="e">
        <v>#N/A</v>
      </c>
      <c r="W270" s="26" t="s">
        <v>8507</v>
      </c>
    </row>
    <row r="271" ht="17.25" hidden="1" customHeight="1">
      <c r="B271" s="26" t="s">
        <v>162</v>
      </c>
      <c r="C271" s="26" t="s">
        <v>163</v>
      </c>
      <c r="D271" s="26" t="s">
        <v>8268</v>
      </c>
      <c r="E271" s="26" t="s">
        <v>20</v>
      </c>
      <c r="F271" s="26" t="s">
        <v>7826</v>
      </c>
      <c r="G271" s="26" t="s">
        <v>8508</v>
      </c>
      <c r="H271" s="26" t="s">
        <v>8509</v>
      </c>
      <c r="I271" s="26" t="s">
        <v>8510</v>
      </c>
      <c r="J271" s="26"/>
      <c r="K271" s="26"/>
      <c r="L271" s="26" t="s">
        <v>8078</v>
      </c>
      <c r="M271" s="26" t="e">
        <v>#N/A</v>
      </c>
      <c r="N271" s="26" t="e">
        <v>#N/A</v>
      </c>
      <c r="W271" s="26" t="s">
        <v>8510</v>
      </c>
    </row>
    <row r="272" ht="17.25" hidden="1" customHeight="1">
      <c r="B272" s="26" t="s">
        <v>162</v>
      </c>
      <c r="C272" s="26" t="s">
        <v>163</v>
      </c>
      <c r="D272" s="26" t="s">
        <v>8268</v>
      </c>
      <c r="E272" s="26" t="s">
        <v>20</v>
      </c>
      <c r="F272" s="26" t="s">
        <v>7826</v>
      </c>
      <c r="G272" s="26" t="s">
        <v>8508</v>
      </c>
      <c r="H272" s="26" t="s">
        <v>8338</v>
      </c>
      <c r="I272" s="26" t="s">
        <v>8511</v>
      </c>
      <c r="J272" s="26"/>
      <c r="K272" s="26"/>
      <c r="L272" s="26" t="s">
        <v>8078</v>
      </c>
      <c r="M272" s="26" t="e">
        <v>#N/A</v>
      </c>
      <c r="N272" s="26" t="e">
        <v>#N/A</v>
      </c>
      <c r="W272" s="26" t="s">
        <v>8511</v>
      </c>
    </row>
    <row r="273" ht="17.25" hidden="1" customHeight="1">
      <c r="B273" s="26" t="s">
        <v>162</v>
      </c>
      <c r="C273" s="26" t="s">
        <v>163</v>
      </c>
      <c r="D273" s="26" t="s">
        <v>8512</v>
      </c>
      <c r="E273" s="26" t="s">
        <v>12</v>
      </c>
      <c r="F273" s="26" t="s">
        <v>8049</v>
      </c>
      <c r="G273" s="26" t="s">
        <v>8513</v>
      </c>
      <c r="H273" s="26" t="s">
        <v>8338</v>
      </c>
      <c r="I273" s="26" t="s">
        <v>8514</v>
      </c>
      <c r="J273" s="26"/>
      <c r="K273" s="26"/>
      <c r="L273" s="26" t="s">
        <v>8078</v>
      </c>
      <c r="M273" s="26" t="e">
        <v>#N/A</v>
      </c>
      <c r="N273" s="26" t="e">
        <v>#N/A</v>
      </c>
      <c r="W273" s="26" t="s">
        <v>8514</v>
      </c>
    </row>
    <row r="274" ht="17.25" hidden="1" customHeight="1">
      <c r="B274" s="26" t="s">
        <v>162</v>
      </c>
      <c r="C274" s="26" t="s">
        <v>163</v>
      </c>
      <c r="D274" s="26" t="s">
        <v>8512</v>
      </c>
      <c r="E274" s="26" t="s">
        <v>20</v>
      </c>
      <c r="F274" s="26" t="s">
        <v>8049</v>
      </c>
      <c r="G274" s="26" t="s">
        <v>8513</v>
      </c>
      <c r="H274" s="26" t="s">
        <v>8515</v>
      </c>
      <c r="I274" s="26" t="s">
        <v>8516</v>
      </c>
      <c r="J274" s="26"/>
      <c r="K274" s="26"/>
      <c r="L274" s="26" t="s">
        <v>8078</v>
      </c>
      <c r="M274" s="26" t="e">
        <v>#N/A</v>
      </c>
      <c r="N274" s="26" t="e">
        <v>#N/A</v>
      </c>
      <c r="W274" s="26" t="s">
        <v>8516</v>
      </c>
    </row>
    <row r="275" ht="17.25" hidden="1" customHeight="1">
      <c r="B275" s="26" t="s">
        <v>162</v>
      </c>
      <c r="C275" s="26" t="s">
        <v>163</v>
      </c>
      <c r="D275" s="26" t="s">
        <v>8517</v>
      </c>
      <c r="E275" s="26" t="s">
        <v>20</v>
      </c>
      <c r="F275" s="26" t="s">
        <v>788</v>
      </c>
      <c r="G275" s="26" t="s">
        <v>8518</v>
      </c>
      <c r="H275" s="26" t="s">
        <v>8076</v>
      </c>
      <c r="I275" s="26" t="s">
        <v>8519</v>
      </c>
      <c r="J275" s="26"/>
      <c r="K275" s="26"/>
      <c r="L275" s="26" t="s">
        <v>8078</v>
      </c>
      <c r="M275" s="26" t="e">
        <v>#N/A</v>
      </c>
      <c r="N275" s="26" t="e">
        <v>#N/A</v>
      </c>
      <c r="W275" s="26" t="s">
        <v>8519</v>
      </c>
    </row>
    <row r="276" ht="17.25" hidden="1" customHeight="1">
      <c r="B276" s="26" t="s">
        <v>162</v>
      </c>
      <c r="C276" s="26" t="s">
        <v>163</v>
      </c>
      <c r="D276" s="26" t="s">
        <v>8520</v>
      </c>
      <c r="E276" s="26" t="s">
        <v>12</v>
      </c>
      <c r="F276" s="26" t="s">
        <v>814</v>
      </c>
      <c r="G276" s="26" t="s">
        <v>8488</v>
      </c>
      <c r="H276" s="26" t="s">
        <v>8097</v>
      </c>
      <c r="I276" s="26" t="s">
        <v>8521</v>
      </c>
      <c r="J276" s="26"/>
      <c r="K276" s="26"/>
      <c r="L276" s="26" t="s">
        <v>8078</v>
      </c>
      <c r="M276" s="26" t="e">
        <v>#N/A</v>
      </c>
      <c r="N276" s="26" t="e">
        <v>#N/A</v>
      </c>
      <c r="W276" s="26" t="s">
        <v>8521</v>
      </c>
    </row>
    <row r="277" ht="17.25" hidden="1" customHeight="1">
      <c r="B277" s="26" t="s">
        <v>162</v>
      </c>
      <c r="C277" s="26" t="s">
        <v>163</v>
      </c>
      <c r="D277" s="26" t="s">
        <v>8522</v>
      </c>
      <c r="E277" s="26" t="s">
        <v>20</v>
      </c>
      <c r="F277" s="26" t="s">
        <v>8306</v>
      </c>
      <c r="G277" s="26" t="s">
        <v>8523</v>
      </c>
      <c r="H277" s="26" t="s">
        <v>8076</v>
      </c>
      <c r="I277" s="26" t="s">
        <v>8524</v>
      </c>
      <c r="J277" s="26"/>
      <c r="K277" s="26"/>
      <c r="L277" s="26" t="s">
        <v>8078</v>
      </c>
      <c r="M277" s="26" t="e">
        <v>#N/A</v>
      </c>
      <c r="N277" s="26" t="e">
        <v>#N/A</v>
      </c>
      <c r="W277" s="26" t="s">
        <v>8524</v>
      </c>
    </row>
    <row r="278" ht="17.25" hidden="1" customHeight="1">
      <c r="B278" s="26" t="s">
        <v>162</v>
      </c>
      <c r="C278" s="26" t="s">
        <v>163</v>
      </c>
      <c r="D278" s="26" t="s">
        <v>8525</v>
      </c>
      <c r="E278" s="26" t="s">
        <v>20</v>
      </c>
      <c r="F278" s="26" t="s">
        <v>1305</v>
      </c>
      <c r="G278" s="26" t="s">
        <v>165</v>
      </c>
      <c r="H278" s="26" t="s">
        <v>8114</v>
      </c>
      <c r="I278" s="26" t="s">
        <v>8526</v>
      </c>
      <c r="J278" s="26" t="s">
        <v>8116</v>
      </c>
      <c r="K278" s="26"/>
      <c r="L278" s="26" t="s">
        <v>8078</v>
      </c>
      <c r="M278" s="26" t="e">
        <v>#N/A</v>
      </c>
      <c r="N278" s="26" t="e">
        <v>#N/A</v>
      </c>
      <c r="W278" s="26" t="s">
        <v>8527</v>
      </c>
      <c r="X278" s="28">
        <v>250.0</v>
      </c>
      <c r="Y278" s="28" t="s">
        <v>7769</v>
      </c>
    </row>
    <row r="279" ht="17.25" hidden="1" customHeight="1">
      <c r="B279" s="26" t="s">
        <v>162</v>
      </c>
      <c r="C279" s="26" t="s">
        <v>163</v>
      </c>
      <c r="D279" s="26" t="s">
        <v>8528</v>
      </c>
      <c r="E279" s="26" t="s">
        <v>20</v>
      </c>
      <c r="F279" s="26" t="s">
        <v>850</v>
      </c>
      <c r="G279" s="26" t="s">
        <v>8529</v>
      </c>
      <c r="H279" s="26" t="s">
        <v>8076</v>
      </c>
      <c r="I279" s="26" t="s">
        <v>8530</v>
      </c>
      <c r="J279" s="26"/>
      <c r="K279" s="26"/>
      <c r="L279" s="26" t="s">
        <v>8078</v>
      </c>
      <c r="M279" s="26" t="e">
        <v>#N/A</v>
      </c>
      <c r="N279" s="26" t="e">
        <v>#N/A</v>
      </c>
      <c r="W279" s="26" t="s">
        <v>8530</v>
      </c>
    </row>
    <row r="280" ht="17.25" hidden="1" customHeight="1">
      <c r="B280" s="26" t="s">
        <v>162</v>
      </c>
      <c r="C280" s="26" t="s">
        <v>163</v>
      </c>
      <c r="D280" s="26" t="s">
        <v>8528</v>
      </c>
      <c r="E280" s="26" t="s">
        <v>20</v>
      </c>
      <c r="F280" s="26" t="s">
        <v>850</v>
      </c>
      <c r="G280" s="26" t="s">
        <v>8529</v>
      </c>
      <c r="H280" s="26" t="s">
        <v>8114</v>
      </c>
      <c r="I280" s="26" t="s">
        <v>8531</v>
      </c>
      <c r="J280" s="26" t="s">
        <v>8116</v>
      </c>
      <c r="K280" s="26"/>
      <c r="L280" s="26" t="s">
        <v>8078</v>
      </c>
      <c r="M280" s="26" t="e">
        <v>#N/A</v>
      </c>
      <c r="N280" s="26" t="e">
        <v>#N/A</v>
      </c>
      <c r="W280" s="26" t="s">
        <v>8532</v>
      </c>
      <c r="X280" s="28">
        <v>250.0</v>
      </c>
      <c r="Y280" s="28" t="s">
        <v>7769</v>
      </c>
    </row>
    <row r="281" ht="17.25" hidden="1" customHeight="1">
      <c r="B281" s="26" t="s">
        <v>162</v>
      </c>
      <c r="C281" s="26" t="s">
        <v>163</v>
      </c>
      <c r="D281" s="26" t="s">
        <v>8292</v>
      </c>
      <c r="E281" s="26" t="s">
        <v>20</v>
      </c>
      <c r="F281" s="26" t="s">
        <v>814</v>
      </c>
      <c r="G281" s="26" t="s">
        <v>8533</v>
      </c>
      <c r="H281" s="26" t="s">
        <v>8076</v>
      </c>
      <c r="I281" s="26" t="s">
        <v>8534</v>
      </c>
      <c r="J281" s="26"/>
      <c r="K281" s="26"/>
      <c r="L281" s="26" t="s">
        <v>8078</v>
      </c>
      <c r="M281" s="26" t="e">
        <v>#N/A</v>
      </c>
      <c r="N281" s="26" t="e">
        <v>#N/A</v>
      </c>
      <c r="W281" s="26" t="s">
        <v>8534</v>
      </c>
    </row>
    <row r="282" ht="17.25" hidden="1" customHeight="1">
      <c r="B282" s="26" t="s">
        <v>162</v>
      </c>
      <c r="C282" s="26" t="s">
        <v>163</v>
      </c>
      <c r="D282" s="26" t="s">
        <v>8292</v>
      </c>
      <c r="E282" s="26" t="s">
        <v>20</v>
      </c>
      <c r="F282" s="26" t="s">
        <v>8049</v>
      </c>
      <c r="G282" s="26" t="s">
        <v>8535</v>
      </c>
      <c r="H282" s="26" t="s">
        <v>8153</v>
      </c>
      <c r="I282" s="26" t="s">
        <v>8536</v>
      </c>
      <c r="J282" s="26"/>
      <c r="K282" s="26"/>
      <c r="L282" s="26" t="s">
        <v>8078</v>
      </c>
      <c r="M282" s="26" t="e">
        <v>#N/A</v>
      </c>
      <c r="N282" s="26" t="e">
        <v>#N/A</v>
      </c>
      <c r="W282" s="26" t="s">
        <v>8536</v>
      </c>
    </row>
    <row r="283" ht="17.25" hidden="1" customHeight="1">
      <c r="B283" s="26" t="s">
        <v>162</v>
      </c>
      <c r="C283" s="26" t="s">
        <v>163</v>
      </c>
      <c r="D283" s="26" t="s">
        <v>8292</v>
      </c>
      <c r="E283" s="26" t="s">
        <v>20</v>
      </c>
      <c r="F283" s="26" t="s">
        <v>8049</v>
      </c>
      <c r="G283" s="26" t="s">
        <v>8535</v>
      </c>
      <c r="H283" s="26" t="s">
        <v>8076</v>
      </c>
      <c r="I283" s="26" t="s">
        <v>8537</v>
      </c>
      <c r="J283" s="26"/>
      <c r="K283" s="26"/>
      <c r="L283" s="26" t="s">
        <v>8078</v>
      </c>
      <c r="M283" s="26" t="e">
        <v>#N/A</v>
      </c>
      <c r="N283" s="26" t="e">
        <v>#N/A</v>
      </c>
      <c r="W283" s="26" t="s">
        <v>8537</v>
      </c>
    </row>
    <row r="284" ht="17.25" hidden="1" customHeight="1">
      <c r="B284" s="26" t="s">
        <v>162</v>
      </c>
      <c r="C284" s="26" t="s">
        <v>163</v>
      </c>
      <c r="D284" s="26" t="s">
        <v>8538</v>
      </c>
      <c r="E284" s="26" t="s">
        <v>20</v>
      </c>
      <c r="F284" s="26" t="s">
        <v>8306</v>
      </c>
      <c r="G284" s="26" t="s">
        <v>8539</v>
      </c>
      <c r="H284" s="26" t="s">
        <v>8076</v>
      </c>
      <c r="I284" s="26" t="s">
        <v>8540</v>
      </c>
      <c r="J284" s="26"/>
      <c r="K284" s="26"/>
      <c r="L284" s="26" t="s">
        <v>8078</v>
      </c>
      <c r="M284" s="26" t="e">
        <v>#N/A</v>
      </c>
      <c r="N284" s="26" t="e">
        <v>#N/A</v>
      </c>
      <c r="W284" s="26" t="s">
        <v>8540</v>
      </c>
    </row>
    <row r="285" ht="17.25" hidden="1" customHeight="1">
      <c r="B285" s="26" t="s">
        <v>162</v>
      </c>
      <c r="C285" s="26" t="s">
        <v>163</v>
      </c>
      <c r="D285" s="26" t="s">
        <v>8541</v>
      </c>
      <c r="E285" s="26" t="s">
        <v>20</v>
      </c>
      <c r="F285" s="26" t="s">
        <v>8049</v>
      </c>
      <c r="G285" s="26" t="s">
        <v>8542</v>
      </c>
      <c r="H285" s="26" t="s">
        <v>8076</v>
      </c>
      <c r="I285" s="26" t="s">
        <v>8543</v>
      </c>
      <c r="J285" s="26"/>
      <c r="K285" s="26"/>
      <c r="L285" s="26" t="s">
        <v>8078</v>
      </c>
      <c r="M285" s="26" t="e">
        <v>#N/A</v>
      </c>
      <c r="N285" s="26" t="e">
        <v>#N/A</v>
      </c>
      <c r="W285" s="26" t="s">
        <v>8543</v>
      </c>
    </row>
    <row r="286" ht="17.25" hidden="1" customHeight="1">
      <c r="B286" s="26" t="s">
        <v>162</v>
      </c>
      <c r="C286" s="26" t="s">
        <v>163</v>
      </c>
      <c r="D286" s="26" t="s">
        <v>8541</v>
      </c>
      <c r="E286" s="26" t="s">
        <v>20</v>
      </c>
      <c r="F286" s="26" t="s">
        <v>8049</v>
      </c>
      <c r="G286" s="26" t="s">
        <v>8542</v>
      </c>
      <c r="H286" s="26" t="s">
        <v>8097</v>
      </c>
      <c r="I286" s="26" t="s">
        <v>8544</v>
      </c>
      <c r="J286" s="26"/>
      <c r="K286" s="26"/>
      <c r="L286" s="26" t="s">
        <v>8078</v>
      </c>
      <c r="M286" s="26" t="e">
        <v>#N/A</v>
      </c>
      <c r="N286" s="26" t="e">
        <v>#N/A</v>
      </c>
      <c r="W286" s="26" t="s">
        <v>8544</v>
      </c>
    </row>
    <row r="287" ht="17.25" hidden="1" customHeight="1">
      <c r="B287" s="26" t="s">
        <v>162</v>
      </c>
      <c r="C287" s="26" t="s">
        <v>163</v>
      </c>
      <c r="D287" s="26" t="s">
        <v>8545</v>
      </c>
      <c r="E287" s="26" t="s">
        <v>20</v>
      </c>
      <c r="F287" s="26" t="s">
        <v>8049</v>
      </c>
      <c r="G287" s="26" t="s">
        <v>8546</v>
      </c>
      <c r="H287" s="26" t="s">
        <v>8114</v>
      </c>
      <c r="I287" s="26" t="s">
        <v>8547</v>
      </c>
      <c r="J287" s="26" t="s">
        <v>8116</v>
      </c>
      <c r="K287" s="26"/>
      <c r="L287" s="26" t="s">
        <v>8078</v>
      </c>
      <c r="M287" s="26" t="e">
        <v>#N/A</v>
      </c>
      <c r="N287" s="26" t="e">
        <v>#N/A</v>
      </c>
      <c r="W287" s="26" t="s">
        <v>8548</v>
      </c>
      <c r="X287" s="28">
        <v>250.0</v>
      </c>
      <c r="Y287" s="28" t="s">
        <v>7769</v>
      </c>
    </row>
    <row r="288" ht="17.25" hidden="1" customHeight="1">
      <c r="B288" s="26" t="s">
        <v>294</v>
      </c>
      <c r="C288" s="26" t="s">
        <v>295</v>
      </c>
      <c r="D288" s="26" t="s">
        <v>8549</v>
      </c>
      <c r="E288" s="26" t="s">
        <v>20</v>
      </c>
      <c r="F288" s="26" t="s">
        <v>7826</v>
      </c>
      <c r="G288" s="26" t="s">
        <v>8550</v>
      </c>
      <c r="H288" s="26" t="s">
        <v>8551</v>
      </c>
      <c r="I288" s="26" t="s">
        <v>8552</v>
      </c>
      <c r="J288" s="26" t="s">
        <v>8553</v>
      </c>
      <c r="K288" s="26"/>
      <c r="L288" s="26" t="s">
        <v>8554</v>
      </c>
      <c r="M288" s="26" t="e">
        <v>#N/A</v>
      </c>
      <c r="N288" s="26" t="e">
        <v>#N/A</v>
      </c>
      <c r="W288" s="26" t="s">
        <v>8555</v>
      </c>
      <c r="X288" s="28">
        <v>50.0</v>
      </c>
      <c r="Y288" s="28" t="s">
        <v>7769</v>
      </c>
    </row>
    <row r="289" ht="17.25" hidden="1" customHeight="1">
      <c r="B289" s="26" t="s">
        <v>294</v>
      </c>
      <c r="C289" s="26" t="s">
        <v>295</v>
      </c>
      <c r="D289" s="26" t="s">
        <v>8556</v>
      </c>
      <c r="E289" s="26" t="s">
        <v>12</v>
      </c>
      <c r="F289" s="26" t="s">
        <v>7826</v>
      </c>
      <c r="G289" s="26" t="s">
        <v>8557</v>
      </c>
      <c r="H289" s="26" t="s">
        <v>8558</v>
      </c>
      <c r="I289" s="26" t="s">
        <v>8559</v>
      </c>
      <c r="J289" s="26"/>
      <c r="K289" s="26"/>
      <c r="L289" s="26" t="s">
        <v>8560</v>
      </c>
      <c r="M289" s="26" t="e">
        <v>#N/A</v>
      </c>
      <c r="N289" s="26" t="e">
        <v>#N/A</v>
      </c>
      <c r="W289" s="26" t="s">
        <v>8559</v>
      </c>
    </row>
    <row r="290" ht="17.25" hidden="1" customHeight="1">
      <c r="B290" s="26" t="s">
        <v>294</v>
      </c>
      <c r="C290" s="26" t="s">
        <v>295</v>
      </c>
      <c r="D290" s="26" t="s">
        <v>8556</v>
      </c>
      <c r="E290" s="26" t="s">
        <v>12</v>
      </c>
      <c r="F290" s="26" t="s">
        <v>7826</v>
      </c>
      <c r="G290" s="26" t="s">
        <v>8557</v>
      </c>
      <c r="H290" s="26" t="s">
        <v>8561</v>
      </c>
      <c r="I290" s="26" t="s">
        <v>8562</v>
      </c>
      <c r="J290" s="26"/>
      <c r="K290" s="26"/>
      <c r="L290" s="26" t="s">
        <v>8560</v>
      </c>
      <c r="M290" s="26" t="e">
        <v>#N/A</v>
      </c>
      <c r="N290" s="26" t="e">
        <v>#N/A</v>
      </c>
      <c r="W290" s="26" t="s">
        <v>8562</v>
      </c>
    </row>
    <row r="291" ht="17.25" hidden="1" customHeight="1">
      <c r="B291" s="26" t="s">
        <v>294</v>
      </c>
      <c r="C291" s="26" t="s">
        <v>295</v>
      </c>
      <c r="D291" s="26" t="s">
        <v>8556</v>
      </c>
      <c r="E291" s="26" t="s">
        <v>12</v>
      </c>
      <c r="F291" s="26" t="s">
        <v>7826</v>
      </c>
      <c r="G291" s="26" t="s">
        <v>8557</v>
      </c>
      <c r="H291" s="26" t="s">
        <v>8563</v>
      </c>
      <c r="I291" s="26" t="s">
        <v>8564</v>
      </c>
      <c r="J291" s="26"/>
      <c r="K291" s="26"/>
      <c r="L291" s="26" t="s">
        <v>8560</v>
      </c>
      <c r="M291" s="26" t="e">
        <v>#N/A</v>
      </c>
      <c r="N291" s="26" t="e">
        <v>#N/A</v>
      </c>
      <c r="W291" s="26" t="s">
        <v>8564</v>
      </c>
    </row>
    <row r="292" ht="17.25" hidden="1" customHeight="1">
      <c r="B292" s="26" t="s">
        <v>294</v>
      </c>
      <c r="C292" s="26" t="s">
        <v>295</v>
      </c>
      <c r="D292" s="26" t="s">
        <v>8556</v>
      </c>
      <c r="E292" s="26" t="s">
        <v>20</v>
      </c>
      <c r="F292" s="26" t="s">
        <v>7758</v>
      </c>
      <c r="G292" s="26" t="s">
        <v>8565</v>
      </c>
      <c r="H292" s="26" t="s">
        <v>8207</v>
      </c>
      <c r="I292" s="26" t="s">
        <v>8566</v>
      </c>
      <c r="J292" s="26" t="s">
        <v>8209</v>
      </c>
      <c r="K292" s="26"/>
      <c r="L292" s="26" t="s">
        <v>8554</v>
      </c>
      <c r="M292" s="26" t="e">
        <v>#N/A</v>
      </c>
      <c r="N292" s="26" t="e">
        <v>#N/A</v>
      </c>
      <c r="W292" s="26" t="s">
        <v>8567</v>
      </c>
      <c r="X292" s="28">
        <v>100.0</v>
      </c>
      <c r="Y292" s="28" t="s">
        <v>7769</v>
      </c>
    </row>
    <row r="293" ht="17.25" hidden="1" customHeight="1">
      <c r="B293" s="26" t="s">
        <v>294</v>
      </c>
      <c r="C293" s="26" t="s">
        <v>295</v>
      </c>
      <c r="D293" s="26" t="s">
        <v>8556</v>
      </c>
      <c r="E293" s="26" t="s">
        <v>20</v>
      </c>
      <c r="F293" s="26" t="s">
        <v>701</v>
      </c>
      <c r="G293" s="26" t="s">
        <v>8568</v>
      </c>
      <c r="H293" s="26" t="s">
        <v>8114</v>
      </c>
      <c r="I293" s="26" t="s">
        <v>8569</v>
      </c>
      <c r="J293" s="26" t="s">
        <v>8116</v>
      </c>
      <c r="K293" s="26"/>
      <c r="L293" s="26" t="s">
        <v>8560</v>
      </c>
      <c r="M293" s="26" t="e">
        <v>#N/A</v>
      </c>
      <c r="N293" s="26" t="e">
        <v>#N/A</v>
      </c>
      <c r="W293" s="26" t="s">
        <v>8570</v>
      </c>
      <c r="X293" s="28">
        <v>250.0</v>
      </c>
      <c r="Y293" s="28" t="s">
        <v>7769</v>
      </c>
    </row>
    <row r="294" ht="17.25" hidden="1" customHeight="1">
      <c r="B294" s="26" t="s">
        <v>294</v>
      </c>
      <c r="C294" s="26" t="s">
        <v>295</v>
      </c>
      <c r="D294" s="26" t="s">
        <v>8556</v>
      </c>
      <c r="E294" s="26" t="s">
        <v>20</v>
      </c>
      <c r="F294" s="26" t="s">
        <v>7826</v>
      </c>
      <c r="G294" s="26" t="s">
        <v>8557</v>
      </c>
      <c r="H294" s="26" t="s">
        <v>8571</v>
      </c>
      <c r="I294" s="26" t="s">
        <v>8572</v>
      </c>
      <c r="J294" s="26"/>
      <c r="K294" s="26"/>
      <c r="L294" s="26" t="s">
        <v>8560</v>
      </c>
      <c r="M294" s="26" t="e">
        <v>#N/A</v>
      </c>
      <c r="N294" s="26" t="e">
        <v>#N/A</v>
      </c>
      <c r="W294" s="26" t="s">
        <v>8572</v>
      </c>
    </row>
    <row r="295" ht="17.25" hidden="1" customHeight="1">
      <c r="B295" s="26" t="s">
        <v>294</v>
      </c>
      <c r="C295" s="26" t="s">
        <v>295</v>
      </c>
      <c r="D295" s="26" t="s">
        <v>8573</v>
      </c>
      <c r="E295" s="26" t="s">
        <v>12</v>
      </c>
      <c r="F295" s="26" t="s">
        <v>7911</v>
      </c>
      <c r="G295" s="26" t="s">
        <v>8574</v>
      </c>
      <c r="H295" s="26" t="s">
        <v>8097</v>
      </c>
      <c r="I295" s="26" t="s">
        <v>8575</v>
      </c>
      <c r="J295" s="26"/>
      <c r="K295" s="26"/>
      <c r="L295" s="26" t="s">
        <v>8560</v>
      </c>
      <c r="M295" s="26" t="e">
        <v>#N/A</v>
      </c>
      <c r="N295" s="26" t="e">
        <v>#N/A</v>
      </c>
      <c r="W295" s="26" t="s">
        <v>8575</v>
      </c>
    </row>
    <row r="296" ht="17.25" hidden="1" customHeight="1">
      <c r="B296" s="26" t="s">
        <v>294</v>
      </c>
      <c r="C296" s="26" t="s">
        <v>295</v>
      </c>
      <c r="D296" s="26" t="s">
        <v>8573</v>
      </c>
      <c r="E296" s="26" t="s">
        <v>20</v>
      </c>
      <c r="F296" s="26" t="s">
        <v>7911</v>
      </c>
      <c r="G296" s="26" t="s">
        <v>8574</v>
      </c>
      <c r="H296" s="26" t="s">
        <v>8094</v>
      </c>
      <c r="I296" s="26" t="s">
        <v>8576</v>
      </c>
      <c r="J296" s="26"/>
      <c r="K296" s="26"/>
      <c r="L296" s="26" t="s">
        <v>8560</v>
      </c>
      <c r="M296" s="26" t="e">
        <v>#N/A</v>
      </c>
      <c r="N296" s="26" t="e">
        <v>#N/A</v>
      </c>
      <c r="W296" s="26" t="s">
        <v>8576</v>
      </c>
    </row>
    <row r="297" ht="17.25" hidden="1" customHeight="1">
      <c r="B297" s="26" t="s">
        <v>294</v>
      </c>
      <c r="C297" s="26" t="s">
        <v>295</v>
      </c>
      <c r="D297" s="26" t="s">
        <v>8573</v>
      </c>
      <c r="E297" s="26" t="s">
        <v>20</v>
      </c>
      <c r="F297" s="26" t="s">
        <v>7911</v>
      </c>
      <c r="G297" s="26" t="s">
        <v>8574</v>
      </c>
      <c r="H297" s="26" t="s">
        <v>8076</v>
      </c>
      <c r="I297" s="26" t="s">
        <v>8577</v>
      </c>
      <c r="J297" s="26"/>
      <c r="K297" s="26"/>
      <c r="L297" s="26" t="s">
        <v>8560</v>
      </c>
      <c r="M297" s="26" t="e">
        <v>#N/A</v>
      </c>
      <c r="N297" s="26" t="e">
        <v>#N/A</v>
      </c>
      <c r="W297" s="26" t="s">
        <v>8577</v>
      </c>
    </row>
    <row r="298" ht="17.25" hidden="1" customHeight="1">
      <c r="B298" s="26" t="s">
        <v>294</v>
      </c>
      <c r="C298" s="26" t="s">
        <v>295</v>
      </c>
      <c r="D298" s="26" t="s">
        <v>8578</v>
      </c>
      <c r="E298" s="26" t="s">
        <v>20</v>
      </c>
      <c r="F298" s="26" t="s">
        <v>7758</v>
      </c>
      <c r="G298" s="26" t="s">
        <v>8565</v>
      </c>
      <c r="H298" s="26" t="s">
        <v>8114</v>
      </c>
      <c r="I298" s="26" t="s">
        <v>8579</v>
      </c>
      <c r="J298" s="26" t="s">
        <v>8116</v>
      </c>
      <c r="K298" s="26"/>
      <c r="L298" s="26" t="s">
        <v>8554</v>
      </c>
      <c r="M298" s="26" t="e">
        <v>#N/A</v>
      </c>
      <c r="N298" s="26" t="e">
        <v>#N/A</v>
      </c>
      <c r="W298" s="26" t="s">
        <v>8567</v>
      </c>
      <c r="X298" s="28">
        <v>250.0</v>
      </c>
      <c r="Y298" s="28" t="s">
        <v>7769</v>
      </c>
    </row>
    <row r="299" ht="17.25" hidden="1" customHeight="1">
      <c r="B299" s="26" t="s">
        <v>294</v>
      </c>
      <c r="C299" s="26" t="s">
        <v>295</v>
      </c>
      <c r="D299" s="26" t="s">
        <v>8578</v>
      </c>
      <c r="E299" s="26" t="s">
        <v>20</v>
      </c>
      <c r="F299" s="26" t="s">
        <v>701</v>
      </c>
      <c r="G299" s="26" t="s">
        <v>8568</v>
      </c>
      <c r="H299" s="26" t="s">
        <v>7811</v>
      </c>
      <c r="I299" s="26" t="s">
        <v>8580</v>
      </c>
      <c r="J299" s="26" t="s">
        <v>7813</v>
      </c>
      <c r="K299" s="26"/>
      <c r="L299" s="26" t="s">
        <v>8560</v>
      </c>
      <c r="M299" s="26" t="e">
        <v>#N/A</v>
      </c>
      <c r="N299" s="26" t="e">
        <v>#N/A</v>
      </c>
      <c r="W299" s="26" t="s">
        <v>8570</v>
      </c>
      <c r="X299" s="28">
        <v>500.0</v>
      </c>
      <c r="Y299" s="28" t="s">
        <v>7769</v>
      </c>
    </row>
    <row r="300" ht="17.25" hidden="1" customHeight="1">
      <c r="B300" s="26" t="s">
        <v>294</v>
      </c>
      <c r="C300" s="26" t="s">
        <v>295</v>
      </c>
      <c r="D300" s="26" t="s">
        <v>8581</v>
      </c>
      <c r="E300" s="26" t="s">
        <v>12</v>
      </c>
      <c r="F300" s="26" t="s">
        <v>1305</v>
      </c>
      <c r="G300" s="26" t="s">
        <v>296</v>
      </c>
      <c r="H300" s="26" t="s">
        <v>8187</v>
      </c>
      <c r="I300" s="26" t="s">
        <v>8582</v>
      </c>
      <c r="J300" s="26" t="s">
        <v>8189</v>
      </c>
      <c r="K300" s="26"/>
      <c r="L300" s="26" t="s">
        <v>8554</v>
      </c>
      <c r="M300" s="26" t="e">
        <v>#N/A</v>
      </c>
      <c r="N300" s="26" t="e">
        <v>#N/A</v>
      </c>
      <c r="W300" s="26" t="s">
        <v>8583</v>
      </c>
      <c r="X300" s="28" t="s">
        <v>8190</v>
      </c>
      <c r="Y300" s="28" t="s">
        <v>7769</v>
      </c>
    </row>
    <row r="301" ht="17.25" hidden="1" customHeight="1">
      <c r="B301" s="26" t="s">
        <v>294</v>
      </c>
      <c r="C301" s="26" t="s">
        <v>295</v>
      </c>
      <c r="D301" s="26" t="s">
        <v>8581</v>
      </c>
      <c r="E301" s="26" t="s">
        <v>12</v>
      </c>
      <c r="F301" s="26" t="s">
        <v>1305</v>
      </c>
      <c r="G301" s="26" t="s">
        <v>296</v>
      </c>
      <c r="H301" s="26" t="s">
        <v>8584</v>
      </c>
      <c r="I301" s="26" t="s">
        <v>8585</v>
      </c>
      <c r="J301" s="26" t="s">
        <v>8586</v>
      </c>
      <c r="K301" s="26"/>
      <c r="L301" s="26" t="s">
        <v>8554</v>
      </c>
      <c r="M301" s="26" t="e">
        <v>#N/A</v>
      </c>
      <c r="N301" s="26" t="e">
        <v>#N/A</v>
      </c>
      <c r="W301" s="26" t="s">
        <v>8583</v>
      </c>
      <c r="X301" s="28" t="s">
        <v>8587</v>
      </c>
      <c r="Y301" s="28" t="s">
        <v>7769</v>
      </c>
    </row>
    <row r="302" ht="17.25" hidden="1" customHeight="1">
      <c r="B302" s="26" t="s">
        <v>294</v>
      </c>
      <c r="C302" s="26" t="s">
        <v>295</v>
      </c>
      <c r="D302" s="26" t="s">
        <v>8581</v>
      </c>
      <c r="E302" s="26" t="s">
        <v>12</v>
      </c>
      <c r="F302" s="26" t="s">
        <v>7826</v>
      </c>
      <c r="G302" s="26" t="s">
        <v>8588</v>
      </c>
      <c r="H302" s="26" t="s">
        <v>8187</v>
      </c>
      <c r="I302" s="26" t="s">
        <v>8589</v>
      </c>
      <c r="J302" s="26" t="s">
        <v>8189</v>
      </c>
      <c r="K302" s="26"/>
      <c r="L302" s="26" t="s">
        <v>8554</v>
      </c>
      <c r="M302" s="26" t="e">
        <v>#N/A</v>
      </c>
      <c r="N302" s="26" t="e">
        <v>#N/A</v>
      </c>
      <c r="W302" s="26" t="s">
        <v>8590</v>
      </c>
      <c r="X302" s="28" t="s">
        <v>8190</v>
      </c>
      <c r="Y302" s="28" t="s">
        <v>7769</v>
      </c>
    </row>
    <row r="303" ht="17.25" hidden="1" customHeight="1">
      <c r="B303" s="26" t="s">
        <v>294</v>
      </c>
      <c r="C303" s="26" t="s">
        <v>295</v>
      </c>
      <c r="D303" s="26" t="s">
        <v>8581</v>
      </c>
      <c r="E303" s="26" t="s">
        <v>12</v>
      </c>
      <c r="F303" s="26" t="s">
        <v>7826</v>
      </c>
      <c r="G303" s="26" t="s">
        <v>8588</v>
      </c>
      <c r="H303" s="26" t="s">
        <v>8584</v>
      </c>
      <c r="I303" s="26" t="s">
        <v>8591</v>
      </c>
      <c r="J303" s="26" t="s">
        <v>8586</v>
      </c>
      <c r="K303" s="26"/>
      <c r="L303" s="26" t="s">
        <v>8554</v>
      </c>
      <c r="M303" s="26" t="e">
        <v>#N/A</v>
      </c>
      <c r="N303" s="26" t="e">
        <v>#N/A</v>
      </c>
      <c r="W303" s="26" t="s">
        <v>8590</v>
      </c>
      <c r="X303" s="28" t="s">
        <v>8587</v>
      </c>
      <c r="Y303" s="28" t="s">
        <v>7769</v>
      </c>
    </row>
    <row r="304" ht="17.25" hidden="1" customHeight="1">
      <c r="B304" s="26" t="s">
        <v>294</v>
      </c>
      <c r="C304" s="26" t="s">
        <v>295</v>
      </c>
      <c r="D304" s="26" t="s">
        <v>8581</v>
      </c>
      <c r="E304" s="26" t="s">
        <v>20</v>
      </c>
      <c r="F304" s="26" t="s">
        <v>1305</v>
      </c>
      <c r="G304" s="26" t="s">
        <v>296</v>
      </c>
      <c r="H304" s="26" t="s">
        <v>8183</v>
      </c>
      <c r="I304" s="26" t="s">
        <v>8592</v>
      </c>
      <c r="J304" s="26" t="s">
        <v>8185</v>
      </c>
      <c r="K304" s="26"/>
      <c r="L304" s="26" t="s">
        <v>8554</v>
      </c>
      <c r="M304" s="26" t="e">
        <v>#N/A</v>
      </c>
      <c r="N304" s="26" t="e">
        <v>#N/A</v>
      </c>
      <c r="W304" s="26" t="s">
        <v>8583</v>
      </c>
      <c r="X304" s="28" t="s">
        <v>8186</v>
      </c>
      <c r="Y304" s="28" t="s">
        <v>7769</v>
      </c>
    </row>
    <row r="305" ht="17.25" hidden="1" customHeight="1">
      <c r="B305" s="26" t="s">
        <v>294</v>
      </c>
      <c r="C305" s="26" t="s">
        <v>295</v>
      </c>
      <c r="D305" s="26" t="s">
        <v>8593</v>
      </c>
      <c r="E305" s="26" t="s">
        <v>12</v>
      </c>
      <c r="F305" s="26" t="s">
        <v>7895</v>
      </c>
      <c r="G305" s="26" t="s">
        <v>8594</v>
      </c>
      <c r="H305" s="26" t="s">
        <v>8595</v>
      </c>
      <c r="I305" s="26" t="s">
        <v>8596</v>
      </c>
      <c r="J305" s="26" t="s">
        <v>8597</v>
      </c>
      <c r="K305" s="26"/>
      <c r="L305" s="26" t="s">
        <v>8560</v>
      </c>
      <c r="M305" s="26" t="e">
        <v>#N/A</v>
      </c>
      <c r="N305" s="26" t="e">
        <v>#N/A</v>
      </c>
      <c r="W305" s="26" t="s">
        <v>8598</v>
      </c>
      <c r="X305" s="28" t="s">
        <v>8599</v>
      </c>
      <c r="Y305" s="28" t="s">
        <v>7769</v>
      </c>
    </row>
    <row r="306" ht="17.25" hidden="1" customHeight="1">
      <c r="B306" s="26" t="s">
        <v>294</v>
      </c>
      <c r="C306" s="26" t="s">
        <v>295</v>
      </c>
      <c r="D306" s="26" t="s">
        <v>8593</v>
      </c>
      <c r="E306" s="26" t="s">
        <v>12</v>
      </c>
      <c r="F306" s="26" t="s">
        <v>7895</v>
      </c>
      <c r="G306" s="26" t="s">
        <v>8594</v>
      </c>
      <c r="H306" s="26" t="s">
        <v>8584</v>
      </c>
      <c r="I306" s="26" t="s">
        <v>8600</v>
      </c>
      <c r="J306" s="26" t="s">
        <v>8586</v>
      </c>
      <c r="K306" s="26"/>
      <c r="L306" s="26" t="s">
        <v>8560</v>
      </c>
      <c r="M306" s="26" t="e">
        <v>#N/A</v>
      </c>
      <c r="N306" s="26" t="e">
        <v>#N/A</v>
      </c>
      <c r="W306" s="26" t="s">
        <v>8598</v>
      </c>
      <c r="X306" s="28" t="s">
        <v>8587</v>
      </c>
      <c r="Y306" s="28" t="s">
        <v>7769</v>
      </c>
    </row>
    <row r="307" ht="17.25" hidden="1" customHeight="1">
      <c r="B307" s="26" t="s">
        <v>294</v>
      </c>
      <c r="C307" s="26" t="s">
        <v>295</v>
      </c>
      <c r="D307" s="26" t="s">
        <v>8593</v>
      </c>
      <c r="E307" s="26" t="s">
        <v>12</v>
      </c>
      <c r="F307" s="26" t="s">
        <v>7895</v>
      </c>
      <c r="G307" s="26" t="s">
        <v>8594</v>
      </c>
      <c r="H307" s="26" t="s">
        <v>8601</v>
      </c>
      <c r="I307" s="26" t="s">
        <v>8602</v>
      </c>
      <c r="J307" s="26" t="s">
        <v>8603</v>
      </c>
      <c r="K307" s="26"/>
      <c r="L307" s="26" t="s">
        <v>8560</v>
      </c>
      <c r="M307" s="26" t="e">
        <v>#N/A</v>
      </c>
      <c r="N307" s="26" t="e">
        <v>#N/A</v>
      </c>
      <c r="W307" s="26" t="s">
        <v>8598</v>
      </c>
      <c r="X307" s="28" t="s">
        <v>8604</v>
      </c>
      <c r="Y307" s="28" t="s">
        <v>7769</v>
      </c>
    </row>
    <row r="308" ht="17.25" hidden="1" customHeight="1">
      <c r="B308" s="26" t="s">
        <v>294</v>
      </c>
      <c r="C308" s="26" t="s">
        <v>295</v>
      </c>
      <c r="D308" s="26" t="s">
        <v>8605</v>
      </c>
      <c r="E308" s="26" t="s">
        <v>20</v>
      </c>
      <c r="F308" s="26" t="s">
        <v>1305</v>
      </c>
      <c r="G308" s="26" t="s">
        <v>297</v>
      </c>
      <c r="H308" s="26" t="s">
        <v>8584</v>
      </c>
      <c r="I308" s="26" t="s">
        <v>8606</v>
      </c>
      <c r="J308" s="26" t="s">
        <v>8586</v>
      </c>
      <c r="K308" s="26"/>
      <c r="L308" s="26" t="s">
        <v>8554</v>
      </c>
      <c r="M308" s="26" t="e">
        <v>#N/A</v>
      </c>
      <c r="N308" s="26" t="e">
        <v>#N/A</v>
      </c>
      <c r="W308" s="26" t="s">
        <v>8607</v>
      </c>
      <c r="X308" s="28" t="s">
        <v>8587</v>
      </c>
      <c r="Y308" s="28" t="s">
        <v>7769</v>
      </c>
    </row>
    <row r="309" ht="17.25" hidden="1" customHeight="1">
      <c r="B309" s="26" t="s">
        <v>294</v>
      </c>
      <c r="C309" s="26" t="s">
        <v>295</v>
      </c>
      <c r="D309" s="26" t="s">
        <v>8605</v>
      </c>
      <c r="E309" s="26" t="s">
        <v>20</v>
      </c>
      <c r="F309" s="26" t="s">
        <v>880</v>
      </c>
      <c r="G309" s="26" t="s">
        <v>8608</v>
      </c>
      <c r="H309" s="26" t="s">
        <v>8558</v>
      </c>
      <c r="I309" s="26" t="s">
        <v>8609</v>
      </c>
      <c r="J309" s="26"/>
      <c r="K309" s="26"/>
      <c r="L309" s="26" t="s">
        <v>8560</v>
      </c>
      <c r="M309" s="26" t="e">
        <v>#N/A</v>
      </c>
      <c r="N309" s="26" t="e">
        <v>#N/A</v>
      </c>
      <c r="W309" s="26" t="s">
        <v>8609</v>
      </c>
    </row>
    <row r="310" ht="17.25" hidden="1" customHeight="1">
      <c r="B310" s="26" t="s">
        <v>294</v>
      </c>
      <c r="C310" s="26" t="s">
        <v>295</v>
      </c>
      <c r="D310" s="26" t="s">
        <v>8605</v>
      </c>
      <c r="E310" s="26" t="s">
        <v>20</v>
      </c>
      <c r="F310" s="26" t="s">
        <v>880</v>
      </c>
      <c r="G310" s="26" t="s">
        <v>8608</v>
      </c>
      <c r="H310" s="26" t="s">
        <v>8561</v>
      </c>
      <c r="I310" s="26" t="s">
        <v>8610</v>
      </c>
      <c r="J310" s="26"/>
      <c r="K310" s="26"/>
      <c r="L310" s="26" t="s">
        <v>8560</v>
      </c>
      <c r="M310" s="26" t="e">
        <v>#N/A</v>
      </c>
      <c r="N310" s="26" t="e">
        <v>#N/A</v>
      </c>
      <c r="W310" s="26" t="s">
        <v>8610</v>
      </c>
    </row>
    <row r="311" ht="17.25" hidden="1" customHeight="1">
      <c r="B311" s="26" t="s">
        <v>8611</v>
      </c>
      <c r="C311" s="26" t="s">
        <v>8612</v>
      </c>
      <c r="D311" s="26" t="s">
        <v>8613</v>
      </c>
      <c r="E311" s="26" t="s">
        <v>12</v>
      </c>
      <c r="F311" s="26" t="s">
        <v>7826</v>
      </c>
      <c r="G311" s="26" t="s">
        <v>8614</v>
      </c>
      <c r="H311" s="26" t="s">
        <v>8558</v>
      </c>
      <c r="I311" s="26" t="s">
        <v>8615</v>
      </c>
      <c r="J311" s="26"/>
      <c r="K311" s="26"/>
      <c r="L311" s="26" t="s">
        <v>8078</v>
      </c>
      <c r="M311" s="26" t="e">
        <v>#N/A</v>
      </c>
      <c r="N311" s="26" t="e">
        <v>#N/A</v>
      </c>
      <c r="W311" s="26" t="s">
        <v>8615</v>
      </c>
    </row>
    <row r="312" ht="17.25" hidden="1" customHeight="1">
      <c r="B312" s="26" t="s">
        <v>8611</v>
      </c>
      <c r="C312" s="26" t="s">
        <v>8612</v>
      </c>
      <c r="D312" s="26" t="s">
        <v>8613</v>
      </c>
      <c r="E312" s="26" t="s">
        <v>20</v>
      </c>
      <c r="F312" s="26" t="s">
        <v>7826</v>
      </c>
      <c r="G312" s="26" t="s">
        <v>8614</v>
      </c>
      <c r="H312" s="26" t="s">
        <v>8571</v>
      </c>
      <c r="I312" s="26" t="s">
        <v>8616</v>
      </c>
      <c r="J312" s="26"/>
      <c r="K312" s="26"/>
      <c r="L312" s="26" t="s">
        <v>8078</v>
      </c>
      <c r="M312" s="26" t="e">
        <v>#N/A</v>
      </c>
      <c r="N312" s="26" t="e">
        <v>#N/A</v>
      </c>
      <c r="W312" s="26" t="s">
        <v>8616</v>
      </c>
    </row>
    <row r="313" ht="17.25" hidden="1" customHeight="1">
      <c r="B313" s="26" t="s">
        <v>8611</v>
      </c>
      <c r="C313" s="26" t="s">
        <v>8612</v>
      </c>
      <c r="D313" s="26" t="s">
        <v>8617</v>
      </c>
      <c r="E313" s="26" t="s">
        <v>20</v>
      </c>
      <c r="F313" s="26" t="s">
        <v>746</v>
      </c>
      <c r="G313" s="26" t="s">
        <v>8618</v>
      </c>
      <c r="H313" s="26" t="s">
        <v>8619</v>
      </c>
      <c r="I313" s="26" t="s">
        <v>8620</v>
      </c>
      <c r="J313" s="26">
        <v>10.0</v>
      </c>
      <c r="K313" s="26"/>
      <c r="L313" s="26" t="s">
        <v>8090</v>
      </c>
      <c r="M313" s="26" t="e">
        <v>#N/A</v>
      </c>
      <c r="N313" s="26" t="e">
        <v>#N/A</v>
      </c>
      <c r="W313" s="26" t="s">
        <v>8621</v>
      </c>
      <c r="X313" s="28">
        <v>10.0</v>
      </c>
    </row>
    <row r="314" ht="17.25" hidden="1" customHeight="1">
      <c r="B314" s="26" t="s">
        <v>8611</v>
      </c>
      <c r="C314" s="26" t="s">
        <v>8612</v>
      </c>
      <c r="D314" s="26" t="s">
        <v>8617</v>
      </c>
      <c r="E314" s="26" t="s">
        <v>20</v>
      </c>
      <c r="F314" s="26" t="s">
        <v>8080</v>
      </c>
      <c r="G314" s="26" t="s">
        <v>8622</v>
      </c>
      <c r="H314" s="26" t="s">
        <v>8623</v>
      </c>
      <c r="I314" s="26" t="s">
        <v>8624</v>
      </c>
      <c r="J314" s="26" t="s">
        <v>8209</v>
      </c>
      <c r="K314" s="26"/>
      <c r="L314" s="26" t="s">
        <v>8090</v>
      </c>
      <c r="M314" s="26" t="e">
        <v>#N/A</v>
      </c>
      <c r="N314" s="26" t="e">
        <v>#N/A</v>
      </c>
      <c r="W314" s="26" t="s">
        <v>8625</v>
      </c>
      <c r="X314" s="28">
        <v>100.0</v>
      </c>
      <c r="Y314" s="28" t="s">
        <v>7769</v>
      </c>
    </row>
    <row r="315" ht="17.25" hidden="1" customHeight="1">
      <c r="B315" s="26" t="s">
        <v>8611</v>
      </c>
      <c r="C315" s="26" t="s">
        <v>8612</v>
      </c>
      <c r="D315" s="26" t="s">
        <v>8617</v>
      </c>
      <c r="E315" s="26" t="s">
        <v>20</v>
      </c>
      <c r="F315" s="26" t="s">
        <v>8080</v>
      </c>
      <c r="G315" s="26" t="s">
        <v>8622</v>
      </c>
      <c r="H315" s="26" t="s">
        <v>8626</v>
      </c>
      <c r="I315" s="26" t="s">
        <v>8627</v>
      </c>
      <c r="J315" s="26" t="s">
        <v>8628</v>
      </c>
      <c r="K315" s="26"/>
      <c r="L315" s="26" t="s">
        <v>8090</v>
      </c>
      <c r="M315" s="26" t="e">
        <v>#N/A</v>
      </c>
      <c r="N315" s="26" t="e">
        <v>#N/A</v>
      </c>
      <c r="W315" s="26" t="s">
        <v>8629</v>
      </c>
      <c r="X315" s="28">
        <v>150.0</v>
      </c>
      <c r="Y315" s="28" t="s">
        <v>7769</v>
      </c>
    </row>
    <row r="316" ht="17.25" hidden="1" customHeight="1">
      <c r="B316" s="26" t="s">
        <v>8611</v>
      </c>
      <c r="C316" s="26" t="s">
        <v>8612</v>
      </c>
      <c r="D316" s="26" t="s">
        <v>8617</v>
      </c>
      <c r="E316" s="26" t="s">
        <v>20</v>
      </c>
      <c r="F316" s="26" t="s">
        <v>8080</v>
      </c>
      <c r="G316" s="26" t="s">
        <v>8622</v>
      </c>
      <c r="H316" s="26" t="s">
        <v>8619</v>
      </c>
      <c r="I316" s="26" t="s">
        <v>8630</v>
      </c>
      <c r="J316" s="26">
        <v>10.0</v>
      </c>
      <c r="K316" s="26"/>
      <c r="L316" s="26" t="s">
        <v>8090</v>
      </c>
      <c r="M316" s="26" t="e">
        <v>#N/A</v>
      </c>
      <c r="N316" s="26" t="e">
        <v>#N/A</v>
      </c>
      <c r="W316" s="26" t="s">
        <v>8631</v>
      </c>
      <c r="X316" s="28">
        <v>10.0</v>
      </c>
    </row>
    <row r="317" ht="17.25" hidden="1" customHeight="1">
      <c r="B317" s="26" t="s">
        <v>8611</v>
      </c>
      <c r="C317" s="26" t="s">
        <v>8612</v>
      </c>
      <c r="D317" s="26" t="s">
        <v>8617</v>
      </c>
      <c r="E317" s="26" t="s">
        <v>20</v>
      </c>
      <c r="F317" s="26" t="s">
        <v>8080</v>
      </c>
      <c r="G317" s="26" t="s">
        <v>8622</v>
      </c>
      <c r="H317" s="26" t="s">
        <v>8632</v>
      </c>
      <c r="I317" s="26" t="s">
        <v>8633</v>
      </c>
      <c r="J317" s="26">
        <v>15.0</v>
      </c>
      <c r="K317" s="26"/>
      <c r="L317" s="26" t="s">
        <v>8090</v>
      </c>
      <c r="M317" s="26" t="e">
        <v>#N/A</v>
      </c>
      <c r="N317" s="26" t="e">
        <v>#N/A</v>
      </c>
      <c r="W317" s="26" t="s">
        <v>8631</v>
      </c>
      <c r="X317" s="28">
        <v>15.0</v>
      </c>
    </row>
    <row r="318" ht="17.25" hidden="1" customHeight="1">
      <c r="B318" s="26" t="s">
        <v>8611</v>
      </c>
      <c r="C318" s="26" t="s">
        <v>8612</v>
      </c>
      <c r="D318" s="26" t="s">
        <v>8617</v>
      </c>
      <c r="E318" s="26" t="s">
        <v>20</v>
      </c>
      <c r="F318" s="26" t="s">
        <v>1040</v>
      </c>
      <c r="G318" s="26" t="s">
        <v>8634</v>
      </c>
      <c r="H318" s="26" t="s">
        <v>8619</v>
      </c>
      <c r="I318" s="26" t="s">
        <v>8635</v>
      </c>
      <c r="J318" s="26">
        <v>10.0</v>
      </c>
      <c r="K318" s="26"/>
      <c r="L318" s="26" t="s">
        <v>8090</v>
      </c>
      <c r="M318" s="26" t="e">
        <v>#N/A</v>
      </c>
      <c r="N318" s="26" t="e">
        <v>#N/A</v>
      </c>
      <c r="W318" s="26" t="s">
        <v>8636</v>
      </c>
      <c r="X318" s="28">
        <v>10.0</v>
      </c>
    </row>
    <row r="319" ht="17.25" hidden="1" customHeight="1">
      <c r="B319" s="26" t="s">
        <v>8611</v>
      </c>
      <c r="C319" s="26" t="s">
        <v>8612</v>
      </c>
      <c r="D319" s="26" t="s">
        <v>8617</v>
      </c>
      <c r="E319" s="26" t="s">
        <v>20</v>
      </c>
      <c r="F319" s="26" t="s">
        <v>734</v>
      </c>
      <c r="G319" s="26" t="s">
        <v>8637</v>
      </c>
      <c r="H319" s="26" t="s">
        <v>8619</v>
      </c>
      <c r="I319" s="26" t="s">
        <v>8638</v>
      </c>
      <c r="J319" s="26">
        <v>10.0</v>
      </c>
      <c r="K319" s="26"/>
      <c r="L319" s="26" t="s">
        <v>8090</v>
      </c>
      <c r="M319" s="26" t="e">
        <v>#N/A</v>
      </c>
      <c r="N319" s="26" t="e">
        <v>#N/A</v>
      </c>
      <c r="W319" s="26" t="s">
        <v>8639</v>
      </c>
      <c r="X319" s="28">
        <v>10.0</v>
      </c>
    </row>
    <row r="320" ht="17.25" hidden="1" customHeight="1">
      <c r="B320" s="26" t="s">
        <v>247</v>
      </c>
      <c r="C320" s="26" t="s">
        <v>248</v>
      </c>
      <c r="D320" s="26" t="s">
        <v>8640</v>
      </c>
      <c r="E320" s="26" t="s">
        <v>20</v>
      </c>
      <c r="F320" s="26" t="s">
        <v>1305</v>
      </c>
      <c r="G320" s="26" t="s">
        <v>250</v>
      </c>
      <c r="H320" s="26" t="s">
        <v>8114</v>
      </c>
      <c r="I320" s="26" t="s">
        <v>8641</v>
      </c>
      <c r="J320" s="26" t="s">
        <v>8116</v>
      </c>
      <c r="K320" s="26"/>
      <c r="L320" s="26" t="s">
        <v>8078</v>
      </c>
      <c r="M320" s="26" t="e">
        <v>#N/A</v>
      </c>
      <c r="N320" s="26" t="e">
        <v>#N/A</v>
      </c>
      <c r="W320" s="26" t="s">
        <v>8642</v>
      </c>
      <c r="X320" s="28">
        <v>250.0</v>
      </c>
      <c r="Y320" s="28" t="s">
        <v>7769</v>
      </c>
    </row>
    <row r="321" ht="17.25" hidden="1" customHeight="1">
      <c r="B321" s="26" t="s">
        <v>247</v>
      </c>
      <c r="C321" s="26" t="s">
        <v>248</v>
      </c>
      <c r="D321" s="26" t="s">
        <v>8640</v>
      </c>
      <c r="E321" s="26" t="s">
        <v>20</v>
      </c>
      <c r="F321" s="26" t="s">
        <v>8049</v>
      </c>
      <c r="G321" s="26" t="s">
        <v>8643</v>
      </c>
      <c r="H321" s="26" t="s">
        <v>8644</v>
      </c>
      <c r="I321" s="26" t="s">
        <v>8645</v>
      </c>
      <c r="J321" s="26"/>
      <c r="K321" s="26"/>
      <c r="L321" s="26" t="s">
        <v>8078</v>
      </c>
      <c r="M321" s="26" t="e">
        <v>#N/A</v>
      </c>
      <c r="N321" s="26" t="e">
        <v>#N/A</v>
      </c>
      <c r="W321" s="26" t="s">
        <v>8645</v>
      </c>
    </row>
    <row r="322" ht="17.25" hidden="1" customHeight="1">
      <c r="B322" s="26" t="s">
        <v>247</v>
      </c>
      <c r="C322" s="26" t="s">
        <v>248</v>
      </c>
      <c r="D322" s="26" t="s">
        <v>8640</v>
      </c>
      <c r="E322" s="26" t="s">
        <v>20</v>
      </c>
      <c r="F322" s="26" t="s">
        <v>8049</v>
      </c>
      <c r="G322" s="26" t="s">
        <v>8643</v>
      </c>
      <c r="H322" s="26" t="s">
        <v>8153</v>
      </c>
      <c r="I322" s="26" t="s">
        <v>8646</v>
      </c>
      <c r="J322" s="26"/>
      <c r="K322" s="26"/>
      <c r="L322" s="26" t="s">
        <v>8078</v>
      </c>
      <c r="M322" s="26" t="e">
        <v>#N/A</v>
      </c>
      <c r="N322" s="26" t="e">
        <v>#N/A</v>
      </c>
      <c r="W322" s="26" t="s">
        <v>8646</v>
      </c>
    </row>
    <row r="323" ht="17.25" hidden="1" customHeight="1">
      <c r="B323" s="26" t="s">
        <v>247</v>
      </c>
      <c r="C323" s="26" t="s">
        <v>248</v>
      </c>
      <c r="D323" s="26" t="s">
        <v>8522</v>
      </c>
      <c r="E323" s="26" t="s">
        <v>12</v>
      </c>
      <c r="F323" s="26" t="s">
        <v>7826</v>
      </c>
      <c r="G323" s="26" t="s">
        <v>8647</v>
      </c>
      <c r="H323" s="26" t="s">
        <v>8648</v>
      </c>
      <c r="I323" s="26" t="s">
        <v>8649</v>
      </c>
      <c r="J323" s="26"/>
      <c r="K323" s="26"/>
      <c r="L323" s="26" t="s">
        <v>8078</v>
      </c>
      <c r="M323" s="26" t="e">
        <v>#N/A</v>
      </c>
      <c r="N323" s="26" t="e">
        <v>#N/A</v>
      </c>
      <c r="W323" s="26" t="s">
        <v>8649</v>
      </c>
    </row>
    <row r="324" ht="17.25" hidden="1" customHeight="1">
      <c r="B324" s="26" t="s">
        <v>247</v>
      </c>
      <c r="C324" s="26" t="s">
        <v>248</v>
      </c>
      <c r="D324" s="26" t="s">
        <v>8650</v>
      </c>
      <c r="E324" s="26" t="s">
        <v>12</v>
      </c>
      <c r="F324" s="26" t="s">
        <v>8080</v>
      </c>
      <c r="G324" s="26" t="s">
        <v>8651</v>
      </c>
      <c r="H324" s="26" t="s">
        <v>8652</v>
      </c>
      <c r="I324" s="26" t="s">
        <v>8653</v>
      </c>
      <c r="J324" s="26"/>
      <c r="K324" s="26"/>
      <c r="L324" s="26" t="s">
        <v>8078</v>
      </c>
      <c r="M324" s="26" t="e">
        <v>#N/A</v>
      </c>
      <c r="N324" s="26" t="e">
        <v>#N/A</v>
      </c>
      <c r="W324" s="26" t="s">
        <v>8653</v>
      </c>
    </row>
    <row r="325" ht="17.25" hidden="1" customHeight="1">
      <c r="B325" s="26" t="s">
        <v>247</v>
      </c>
      <c r="C325" s="26" t="s">
        <v>248</v>
      </c>
      <c r="D325" s="26" t="s">
        <v>8650</v>
      </c>
      <c r="E325" s="26" t="s">
        <v>12</v>
      </c>
      <c r="F325" s="26" t="s">
        <v>8080</v>
      </c>
      <c r="G325" s="26" t="s">
        <v>8651</v>
      </c>
      <c r="H325" s="26" t="s">
        <v>8654</v>
      </c>
      <c r="I325" s="26" t="s">
        <v>8655</v>
      </c>
      <c r="J325" s="26" t="s">
        <v>8656</v>
      </c>
      <c r="K325" s="26"/>
      <c r="L325" s="26" t="s">
        <v>8078</v>
      </c>
      <c r="M325" s="26" t="e">
        <v>#N/A</v>
      </c>
      <c r="N325" s="26" t="e">
        <v>#N/A</v>
      </c>
      <c r="W325" s="26" t="s">
        <v>8657</v>
      </c>
      <c r="X325" s="28" t="s">
        <v>8658</v>
      </c>
      <c r="Y325" s="28" t="s">
        <v>7769</v>
      </c>
    </row>
    <row r="326" ht="17.25" hidden="1" customHeight="1">
      <c r="B326" s="26" t="s">
        <v>247</v>
      </c>
      <c r="C326" s="26" t="s">
        <v>248</v>
      </c>
      <c r="D326" s="26" t="s">
        <v>8650</v>
      </c>
      <c r="E326" s="26" t="s">
        <v>20</v>
      </c>
      <c r="F326" s="26" t="s">
        <v>788</v>
      </c>
      <c r="G326" s="26" t="s">
        <v>8659</v>
      </c>
      <c r="H326" s="26" t="s">
        <v>8652</v>
      </c>
      <c r="I326" s="26" t="s">
        <v>8660</v>
      </c>
      <c r="J326" s="26"/>
      <c r="K326" s="26"/>
      <c r="L326" s="26" t="s">
        <v>8078</v>
      </c>
      <c r="M326" s="26" t="e">
        <v>#N/A</v>
      </c>
      <c r="N326" s="26" t="e">
        <v>#N/A</v>
      </c>
      <c r="W326" s="26" t="s">
        <v>8660</v>
      </c>
    </row>
    <row r="327" ht="17.25" hidden="1" customHeight="1">
      <c r="B327" s="26" t="s">
        <v>247</v>
      </c>
      <c r="C327" s="26" t="s">
        <v>248</v>
      </c>
      <c r="D327" s="26" t="s">
        <v>8661</v>
      </c>
      <c r="E327" s="26" t="s">
        <v>12</v>
      </c>
      <c r="F327" s="26" t="s">
        <v>7758</v>
      </c>
      <c r="G327" s="26" t="s">
        <v>8662</v>
      </c>
      <c r="H327" s="26" t="s">
        <v>8114</v>
      </c>
      <c r="I327" s="26" t="s">
        <v>8663</v>
      </c>
      <c r="J327" s="26" t="s">
        <v>8116</v>
      </c>
      <c r="K327" s="26"/>
      <c r="L327" s="26" t="s">
        <v>8078</v>
      </c>
      <c r="M327" s="26" t="e">
        <v>#N/A</v>
      </c>
      <c r="N327" s="26" t="e">
        <v>#N/A</v>
      </c>
      <c r="W327" s="26" t="s">
        <v>8664</v>
      </c>
      <c r="X327" s="28">
        <v>250.0</v>
      </c>
      <c r="Y327" s="28" t="s">
        <v>7769</v>
      </c>
    </row>
    <row r="328" ht="17.25" hidden="1" customHeight="1">
      <c r="B328" s="26" t="s">
        <v>247</v>
      </c>
      <c r="C328" s="26" t="s">
        <v>248</v>
      </c>
      <c r="D328" s="26" t="s">
        <v>8661</v>
      </c>
      <c r="E328" s="26" t="s">
        <v>12</v>
      </c>
      <c r="F328" s="26" t="s">
        <v>1305</v>
      </c>
      <c r="G328" s="26" t="s">
        <v>249</v>
      </c>
      <c r="H328" s="26" t="s">
        <v>8114</v>
      </c>
      <c r="I328" s="26" t="s">
        <v>8665</v>
      </c>
      <c r="J328" s="26" t="s">
        <v>8116</v>
      </c>
      <c r="K328" s="26"/>
      <c r="L328" s="26" t="s">
        <v>8078</v>
      </c>
      <c r="M328" s="26" t="e">
        <v>#N/A</v>
      </c>
      <c r="N328" s="26" t="e">
        <v>#N/A</v>
      </c>
      <c r="W328" s="26" t="s">
        <v>8666</v>
      </c>
      <c r="X328" s="28">
        <v>250.0</v>
      </c>
      <c r="Y328" s="28" t="s">
        <v>7769</v>
      </c>
    </row>
    <row r="329" ht="17.25" hidden="1" customHeight="1">
      <c r="B329" s="26" t="s">
        <v>247</v>
      </c>
      <c r="C329" s="26" t="s">
        <v>248</v>
      </c>
      <c r="D329" s="26" t="s">
        <v>8661</v>
      </c>
      <c r="E329" s="26" t="s">
        <v>20</v>
      </c>
      <c r="F329" s="26" t="s">
        <v>1305</v>
      </c>
      <c r="G329" s="26" t="s">
        <v>249</v>
      </c>
      <c r="H329" s="26" t="s">
        <v>8652</v>
      </c>
      <c r="I329" s="26" t="s">
        <v>8667</v>
      </c>
      <c r="J329" s="26"/>
      <c r="K329" s="26"/>
      <c r="L329" s="26" t="s">
        <v>8078</v>
      </c>
      <c r="M329" s="26" t="e">
        <v>#N/A</v>
      </c>
      <c r="N329" s="26" t="e">
        <v>#N/A</v>
      </c>
      <c r="W329" s="26" t="s">
        <v>8667</v>
      </c>
    </row>
    <row r="330" ht="17.25" hidden="1" customHeight="1">
      <c r="B330" s="26" t="s">
        <v>346</v>
      </c>
      <c r="C330" s="26" t="s">
        <v>347</v>
      </c>
      <c r="D330" s="26" t="s">
        <v>8668</v>
      </c>
      <c r="E330" s="26" t="s">
        <v>20</v>
      </c>
      <c r="F330" s="26" t="s">
        <v>8080</v>
      </c>
      <c r="G330" s="26" t="s">
        <v>8669</v>
      </c>
      <c r="H330" s="26" t="s">
        <v>8207</v>
      </c>
      <c r="I330" s="26" t="s">
        <v>8670</v>
      </c>
      <c r="J330" s="26" t="s">
        <v>8209</v>
      </c>
      <c r="K330" s="26"/>
      <c r="L330" s="26" t="s">
        <v>8078</v>
      </c>
      <c r="M330" s="26" t="e">
        <v>#N/A</v>
      </c>
      <c r="N330" s="26" t="e">
        <v>#N/A</v>
      </c>
      <c r="W330" s="26" t="s">
        <v>8671</v>
      </c>
      <c r="X330" s="28">
        <v>100.0</v>
      </c>
      <c r="Y330" s="28" t="s">
        <v>7769</v>
      </c>
    </row>
    <row r="331" ht="17.25" hidden="1" customHeight="1">
      <c r="B331" s="26" t="s">
        <v>346</v>
      </c>
      <c r="C331" s="26" t="s">
        <v>347</v>
      </c>
      <c r="D331" s="26" t="s">
        <v>8672</v>
      </c>
      <c r="E331" s="26" t="s">
        <v>12</v>
      </c>
      <c r="F331" s="26" t="s">
        <v>1305</v>
      </c>
      <c r="G331" s="26" t="s">
        <v>348</v>
      </c>
      <c r="H331" s="26" t="s">
        <v>8673</v>
      </c>
      <c r="I331" s="26" t="s">
        <v>8674</v>
      </c>
      <c r="J331" s="26" t="s">
        <v>8675</v>
      </c>
      <c r="K331" s="26"/>
      <c r="L331" s="26" t="s">
        <v>8078</v>
      </c>
      <c r="M331" s="26" t="e">
        <v>#N/A</v>
      </c>
      <c r="N331" s="26" t="e">
        <v>#N/A</v>
      </c>
      <c r="W331" s="26" t="s">
        <v>8676</v>
      </c>
      <c r="X331" s="28" t="s">
        <v>8677</v>
      </c>
      <c r="Y331" s="28" t="s">
        <v>7769</v>
      </c>
    </row>
    <row r="332" ht="17.25" hidden="1" customHeight="1">
      <c r="B332" s="26" t="s">
        <v>346</v>
      </c>
      <c r="C332" s="26" t="s">
        <v>347</v>
      </c>
      <c r="D332" s="26" t="s">
        <v>8672</v>
      </c>
      <c r="E332" s="26" t="s">
        <v>12</v>
      </c>
      <c r="F332" s="26" t="s">
        <v>1305</v>
      </c>
      <c r="G332" s="26" t="s">
        <v>348</v>
      </c>
      <c r="H332" s="26" t="s">
        <v>8678</v>
      </c>
      <c r="I332" s="26" t="s">
        <v>8679</v>
      </c>
      <c r="J332" s="26" t="s">
        <v>8680</v>
      </c>
      <c r="K332" s="26"/>
      <c r="L332" s="26" t="s">
        <v>8078</v>
      </c>
      <c r="M332" s="26" t="e">
        <v>#N/A</v>
      </c>
      <c r="N332" s="26" t="e">
        <v>#N/A</v>
      </c>
      <c r="W332" s="26" t="s">
        <v>8676</v>
      </c>
      <c r="X332" s="28" t="s">
        <v>8681</v>
      </c>
      <c r="Y332" s="28" t="s">
        <v>7769</v>
      </c>
    </row>
    <row r="333" ht="17.25" hidden="1" customHeight="1">
      <c r="B333" s="26" t="s">
        <v>346</v>
      </c>
      <c r="C333" s="26" t="s">
        <v>347</v>
      </c>
      <c r="D333" s="26" t="s">
        <v>8672</v>
      </c>
      <c r="E333" s="26" t="s">
        <v>20</v>
      </c>
      <c r="F333" s="26" t="s">
        <v>1305</v>
      </c>
      <c r="G333" s="26" t="s">
        <v>348</v>
      </c>
      <c r="H333" s="26" t="s">
        <v>8682</v>
      </c>
      <c r="I333" s="26" t="s">
        <v>8683</v>
      </c>
      <c r="J333" s="26"/>
      <c r="K333" s="26"/>
      <c r="L333" s="26" t="s">
        <v>8078</v>
      </c>
      <c r="M333" s="26" t="e">
        <v>#N/A</v>
      </c>
      <c r="N333" s="26" t="e">
        <v>#N/A</v>
      </c>
      <c r="W333" s="26" t="s">
        <v>8683</v>
      </c>
    </row>
    <row r="334" ht="17.25" hidden="1" customHeight="1">
      <c r="B334" s="26" t="s">
        <v>346</v>
      </c>
      <c r="C334" s="26" t="s">
        <v>347</v>
      </c>
      <c r="D334" s="26" t="s">
        <v>8684</v>
      </c>
      <c r="E334" s="26" t="s">
        <v>20</v>
      </c>
      <c r="F334" s="26" t="s">
        <v>7895</v>
      </c>
      <c r="G334" s="26" t="s">
        <v>8685</v>
      </c>
      <c r="H334" s="26" t="s">
        <v>8686</v>
      </c>
      <c r="I334" s="26" t="s">
        <v>8687</v>
      </c>
      <c r="J334" s="26"/>
      <c r="K334" s="26"/>
      <c r="L334" s="26" t="s">
        <v>8078</v>
      </c>
      <c r="M334" s="26" t="e">
        <v>#N/A</v>
      </c>
      <c r="N334" s="26" t="e">
        <v>#N/A</v>
      </c>
      <c r="W334" s="26" t="s">
        <v>8687</v>
      </c>
    </row>
    <row r="335" ht="17.25" hidden="1" customHeight="1">
      <c r="B335" s="26" t="s">
        <v>346</v>
      </c>
      <c r="C335" s="26" t="s">
        <v>347</v>
      </c>
      <c r="D335" s="26" t="s">
        <v>8684</v>
      </c>
      <c r="E335" s="26" t="s">
        <v>20</v>
      </c>
      <c r="F335" s="26" t="s">
        <v>7895</v>
      </c>
      <c r="G335" s="26" t="s">
        <v>8685</v>
      </c>
      <c r="H335" s="26" t="s">
        <v>8110</v>
      </c>
      <c r="I335" s="26" t="s">
        <v>8688</v>
      </c>
      <c r="J335" s="26"/>
      <c r="K335" s="26"/>
      <c r="L335" s="26" t="s">
        <v>8078</v>
      </c>
      <c r="M335" s="26" t="e">
        <v>#N/A</v>
      </c>
      <c r="N335" s="26" t="e">
        <v>#N/A</v>
      </c>
      <c r="W335" s="26" t="s">
        <v>8688</v>
      </c>
    </row>
    <row r="336" ht="17.25" hidden="1" customHeight="1">
      <c r="B336" s="26" t="s">
        <v>8689</v>
      </c>
      <c r="C336" s="26" t="s">
        <v>8690</v>
      </c>
      <c r="D336" s="26" t="s">
        <v>8691</v>
      </c>
      <c r="E336" s="26" t="s">
        <v>20</v>
      </c>
      <c r="F336" s="26" t="s">
        <v>7895</v>
      </c>
      <c r="G336" s="26" t="s">
        <v>8692</v>
      </c>
      <c r="H336" s="26" t="s">
        <v>8693</v>
      </c>
      <c r="I336" s="26" t="s">
        <v>8694</v>
      </c>
      <c r="J336" s="26" t="s">
        <v>8695</v>
      </c>
      <c r="K336" s="26"/>
      <c r="L336" s="26" t="s">
        <v>8045</v>
      </c>
      <c r="M336" s="26" t="e">
        <v>#N/A</v>
      </c>
      <c r="N336" s="26" t="e">
        <v>#N/A</v>
      </c>
      <c r="W336" s="26" t="s">
        <v>8696</v>
      </c>
      <c r="X336" s="28" t="s">
        <v>8695</v>
      </c>
    </row>
    <row r="337" ht="17.25" customHeight="1">
      <c r="E337" s="32"/>
    </row>
    <row r="338" ht="17.25" customHeight="1">
      <c r="E338" s="32"/>
    </row>
    <row r="339" ht="17.25" customHeight="1">
      <c r="E339" s="32"/>
    </row>
    <row r="340" ht="17.25" customHeight="1">
      <c r="E340" s="32"/>
    </row>
    <row r="341" ht="17.25" customHeight="1">
      <c r="E341" s="32"/>
    </row>
    <row r="342" ht="17.25" customHeight="1">
      <c r="E342" s="32"/>
    </row>
    <row r="343" ht="17.25" customHeight="1">
      <c r="E343" s="32"/>
    </row>
    <row r="344" ht="17.25" customHeight="1">
      <c r="E344" s="32"/>
    </row>
    <row r="345" ht="17.25" customHeight="1">
      <c r="E345" s="32"/>
    </row>
    <row r="346" ht="17.25" customHeight="1">
      <c r="E346" s="32"/>
    </row>
    <row r="347" ht="17.25" customHeight="1">
      <c r="E347" s="32"/>
    </row>
    <row r="348" ht="17.25" customHeight="1">
      <c r="E348" s="32"/>
    </row>
    <row r="349" ht="17.25" customHeight="1">
      <c r="E349" s="32"/>
    </row>
    <row r="350" ht="17.25" customHeight="1">
      <c r="E350" s="32"/>
    </row>
    <row r="351" ht="17.25" customHeight="1">
      <c r="E351" s="32"/>
    </row>
    <row r="352" ht="17.25" customHeight="1">
      <c r="E352" s="32"/>
    </row>
    <row r="353" ht="17.25" customHeight="1">
      <c r="E353" s="32"/>
    </row>
    <row r="354" ht="17.25" customHeight="1">
      <c r="E354" s="32"/>
    </row>
    <row r="355" ht="17.25" customHeight="1">
      <c r="E355" s="32"/>
    </row>
    <row r="356" ht="17.25" customHeight="1">
      <c r="E356" s="32"/>
    </row>
    <row r="357" ht="17.25" customHeight="1">
      <c r="E357" s="32"/>
    </row>
    <row r="358" ht="17.25" customHeight="1">
      <c r="E358" s="32"/>
    </row>
    <row r="359" ht="17.25" customHeight="1">
      <c r="E359" s="32"/>
    </row>
    <row r="360" ht="17.25" customHeight="1">
      <c r="E360" s="32"/>
    </row>
    <row r="361" ht="17.25" customHeight="1">
      <c r="E361" s="32"/>
    </row>
    <row r="362" ht="17.25" customHeight="1">
      <c r="E362" s="32"/>
    </row>
    <row r="363" ht="17.25" customHeight="1">
      <c r="E363" s="32"/>
    </row>
    <row r="364" ht="17.25" customHeight="1">
      <c r="E364" s="32"/>
    </row>
    <row r="365" ht="17.25" customHeight="1">
      <c r="E365" s="32"/>
    </row>
    <row r="366" ht="17.25" customHeight="1">
      <c r="E366" s="32"/>
    </row>
    <row r="367" ht="17.25" customHeight="1">
      <c r="E367" s="32"/>
    </row>
    <row r="368" ht="17.25" customHeight="1">
      <c r="E368" s="32"/>
    </row>
    <row r="369" ht="17.25" customHeight="1">
      <c r="E369" s="32"/>
    </row>
    <row r="370" ht="17.25" customHeight="1">
      <c r="E370" s="32"/>
    </row>
    <row r="371" ht="17.25" customHeight="1">
      <c r="E371" s="32"/>
    </row>
    <row r="372" ht="17.25" customHeight="1">
      <c r="E372" s="32"/>
    </row>
    <row r="373" ht="17.25" customHeight="1">
      <c r="E373" s="32"/>
    </row>
    <row r="374" ht="17.25" customHeight="1">
      <c r="E374" s="32"/>
    </row>
    <row r="375" ht="17.25" customHeight="1">
      <c r="E375" s="32"/>
    </row>
    <row r="376" ht="17.25" customHeight="1">
      <c r="E376" s="32"/>
    </row>
    <row r="377" ht="17.25" customHeight="1">
      <c r="E377" s="32"/>
    </row>
    <row r="378" ht="17.25" customHeight="1">
      <c r="E378" s="32"/>
    </row>
    <row r="379" ht="17.25" customHeight="1">
      <c r="E379" s="32"/>
    </row>
    <row r="380" ht="17.25" customHeight="1">
      <c r="E380" s="32"/>
    </row>
    <row r="381" ht="17.25" customHeight="1">
      <c r="E381" s="32"/>
    </row>
    <row r="382" ht="17.25" customHeight="1">
      <c r="E382" s="32"/>
    </row>
    <row r="383" ht="17.25" customHeight="1">
      <c r="E383" s="32"/>
    </row>
    <row r="384" ht="17.25" customHeight="1">
      <c r="E384" s="32"/>
    </row>
    <row r="385" ht="17.25" customHeight="1">
      <c r="E385" s="32"/>
    </row>
    <row r="386" ht="17.25" customHeight="1">
      <c r="E386" s="32"/>
    </row>
    <row r="387" ht="17.25" customHeight="1">
      <c r="E387" s="32"/>
    </row>
    <row r="388" ht="17.25" customHeight="1">
      <c r="E388" s="32"/>
    </row>
    <row r="389" ht="17.25" customHeight="1">
      <c r="E389" s="32"/>
    </row>
    <row r="390" ht="17.25" customHeight="1">
      <c r="E390" s="32"/>
    </row>
    <row r="391" ht="17.25" customHeight="1">
      <c r="E391" s="32"/>
    </row>
    <row r="392" ht="17.25" customHeight="1">
      <c r="E392" s="32"/>
    </row>
    <row r="393" ht="17.25" customHeight="1">
      <c r="E393" s="32"/>
    </row>
    <row r="394" ht="17.25" customHeight="1">
      <c r="E394" s="32"/>
    </row>
    <row r="395" ht="17.25" customHeight="1">
      <c r="E395" s="32"/>
    </row>
    <row r="396" ht="17.25" customHeight="1">
      <c r="E396" s="32"/>
    </row>
    <row r="397" ht="17.25" customHeight="1">
      <c r="E397" s="32"/>
    </row>
    <row r="398" ht="17.25" customHeight="1">
      <c r="E398" s="32"/>
    </row>
    <row r="399" ht="17.25" customHeight="1">
      <c r="E399" s="32"/>
    </row>
    <row r="400" ht="17.25" customHeight="1">
      <c r="E400" s="32"/>
    </row>
    <row r="401" ht="17.25" customHeight="1">
      <c r="E401" s="32"/>
    </row>
    <row r="402" ht="17.25" customHeight="1">
      <c r="E402" s="32"/>
    </row>
    <row r="403" ht="17.25" customHeight="1">
      <c r="E403" s="32"/>
    </row>
    <row r="404" ht="17.25" customHeight="1">
      <c r="E404" s="32"/>
    </row>
    <row r="405" ht="17.25" customHeight="1">
      <c r="E405" s="32"/>
    </row>
    <row r="406" ht="17.25" customHeight="1">
      <c r="E406" s="32"/>
    </row>
    <row r="407" ht="17.25" customHeight="1">
      <c r="E407" s="32"/>
    </row>
    <row r="408" ht="17.25" customHeight="1">
      <c r="E408" s="32"/>
    </row>
    <row r="409" ht="17.25" customHeight="1">
      <c r="E409" s="32"/>
    </row>
    <row r="410" ht="17.25" customHeight="1">
      <c r="E410" s="32"/>
    </row>
    <row r="411" ht="17.25" customHeight="1">
      <c r="E411" s="32"/>
    </row>
    <row r="412" ht="17.25" customHeight="1">
      <c r="E412" s="32"/>
    </row>
    <row r="413" ht="17.25" customHeight="1">
      <c r="E413" s="32"/>
    </row>
    <row r="414" ht="17.25" customHeight="1">
      <c r="E414" s="32"/>
    </row>
    <row r="415" ht="17.25" customHeight="1">
      <c r="E415" s="32"/>
    </row>
    <row r="416" ht="17.25" customHeight="1">
      <c r="E416" s="32"/>
    </row>
    <row r="417" ht="17.25" customHeight="1">
      <c r="E417" s="32"/>
    </row>
    <row r="418" ht="17.25" customHeight="1">
      <c r="E418" s="32"/>
    </row>
    <row r="419" ht="17.25" customHeight="1">
      <c r="E419" s="32"/>
    </row>
    <row r="420" ht="17.25" customHeight="1">
      <c r="E420" s="32"/>
    </row>
    <row r="421" ht="17.25" customHeight="1">
      <c r="E421" s="32"/>
    </row>
    <row r="422" ht="17.25" customHeight="1">
      <c r="E422" s="32"/>
    </row>
    <row r="423" ht="17.25" customHeight="1">
      <c r="E423" s="32"/>
    </row>
    <row r="424" ht="17.25" customHeight="1">
      <c r="E424" s="32"/>
    </row>
    <row r="425" ht="17.25" customHeight="1">
      <c r="E425" s="32"/>
    </row>
    <row r="426" ht="17.25" customHeight="1">
      <c r="E426" s="32"/>
    </row>
    <row r="427" ht="17.25" customHeight="1">
      <c r="E427" s="32"/>
    </row>
    <row r="428" ht="17.25" customHeight="1">
      <c r="E428" s="32"/>
    </row>
    <row r="429" ht="17.25" customHeight="1">
      <c r="E429" s="32"/>
    </row>
    <row r="430" ht="17.25" customHeight="1">
      <c r="E430" s="32"/>
    </row>
    <row r="431" ht="17.25" customHeight="1">
      <c r="E431" s="32"/>
    </row>
    <row r="432" ht="17.25" customHeight="1">
      <c r="E432" s="32"/>
    </row>
    <row r="433" ht="17.25" customHeight="1">
      <c r="E433" s="32"/>
    </row>
    <row r="434" ht="17.25" customHeight="1">
      <c r="E434" s="32"/>
    </row>
    <row r="435" ht="17.25" customHeight="1">
      <c r="E435" s="32"/>
    </row>
    <row r="436" ht="17.25" customHeight="1">
      <c r="E436" s="32"/>
    </row>
    <row r="437" ht="17.25" customHeight="1">
      <c r="E437" s="32"/>
    </row>
    <row r="438" ht="17.25" customHeight="1">
      <c r="E438" s="32"/>
    </row>
    <row r="439" ht="17.25" customHeight="1">
      <c r="E439" s="32"/>
    </row>
    <row r="440" ht="17.25" customHeight="1">
      <c r="E440" s="32"/>
    </row>
    <row r="441" ht="17.25" customHeight="1">
      <c r="E441" s="32"/>
    </row>
    <row r="442" ht="17.25" customHeight="1">
      <c r="E442" s="32"/>
    </row>
    <row r="443" ht="17.25" customHeight="1">
      <c r="E443" s="32"/>
    </row>
    <row r="444" ht="17.25" customHeight="1">
      <c r="E444" s="32"/>
    </row>
    <row r="445" ht="17.25" customHeight="1">
      <c r="E445" s="32"/>
    </row>
    <row r="446" ht="17.25" customHeight="1">
      <c r="E446" s="32"/>
    </row>
    <row r="447" ht="17.25" customHeight="1">
      <c r="E447" s="32"/>
    </row>
    <row r="448" ht="17.25" customHeight="1">
      <c r="E448" s="32"/>
    </row>
    <row r="449" ht="17.25" customHeight="1">
      <c r="E449" s="32"/>
    </row>
    <row r="450" ht="17.25" customHeight="1">
      <c r="E450" s="32"/>
    </row>
    <row r="451" ht="17.25" customHeight="1">
      <c r="E451" s="32"/>
    </row>
    <row r="452" ht="17.25" customHeight="1">
      <c r="E452" s="32"/>
    </row>
    <row r="453" ht="17.25" customHeight="1">
      <c r="E453" s="32"/>
    </row>
    <row r="454" ht="17.25" customHeight="1">
      <c r="E454" s="32"/>
    </row>
    <row r="455" ht="17.25" customHeight="1">
      <c r="E455" s="32"/>
    </row>
    <row r="456" ht="17.25" customHeight="1">
      <c r="E456" s="32"/>
    </row>
    <row r="457" ht="17.25" customHeight="1">
      <c r="E457" s="32"/>
    </row>
    <row r="458" ht="17.25" customHeight="1">
      <c r="E458" s="32"/>
    </row>
    <row r="459" ht="17.25" customHeight="1">
      <c r="E459" s="32"/>
    </row>
    <row r="460" ht="17.25" customHeight="1">
      <c r="E460" s="32"/>
    </row>
    <row r="461" ht="17.25" customHeight="1">
      <c r="E461" s="32"/>
    </row>
    <row r="462" ht="17.25" customHeight="1">
      <c r="E462" s="32"/>
    </row>
    <row r="463" ht="17.25" customHeight="1">
      <c r="E463" s="32"/>
    </row>
    <row r="464" ht="17.25" customHeight="1">
      <c r="E464" s="32"/>
    </row>
    <row r="465" ht="17.25" customHeight="1">
      <c r="E465" s="32"/>
    </row>
    <row r="466" ht="17.25" customHeight="1">
      <c r="E466" s="32"/>
    </row>
    <row r="467" ht="17.25" customHeight="1">
      <c r="E467" s="32"/>
    </row>
    <row r="468" ht="17.25" customHeight="1">
      <c r="E468" s="32"/>
    </row>
    <row r="469" ht="17.25" customHeight="1">
      <c r="E469" s="32"/>
    </row>
    <row r="470" ht="17.25" customHeight="1">
      <c r="E470" s="32"/>
    </row>
    <row r="471" ht="17.25" customHeight="1">
      <c r="E471" s="32"/>
    </row>
    <row r="472" ht="17.25" customHeight="1">
      <c r="E472" s="32"/>
    </row>
    <row r="473" ht="17.25" customHeight="1">
      <c r="E473" s="32"/>
    </row>
    <row r="474" ht="17.25" customHeight="1">
      <c r="E474" s="32"/>
    </row>
    <row r="475" ht="17.25" customHeight="1">
      <c r="E475" s="32"/>
    </row>
    <row r="476" ht="17.25" customHeight="1">
      <c r="E476" s="32"/>
    </row>
    <row r="477" ht="17.25" customHeight="1">
      <c r="E477" s="32"/>
    </row>
    <row r="478" ht="17.25" customHeight="1">
      <c r="E478" s="32"/>
    </row>
    <row r="479" ht="17.25" customHeight="1">
      <c r="E479" s="32"/>
    </row>
    <row r="480" ht="17.25" customHeight="1">
      <c r="E480" s="32"/>
    </row>
    <row r="481" ht="17.25" customHeight="1">
      <c r="E481" s="32"/>
    </row>
    <row r="482" ht="17.25" customHeight="1">
      <c r="E482" s="32"/>
    </row>
    <row r="483" ht="17.25" customHeight="1">
      <c r="E483" s="32"/>
    </row>
    <row r="484" ht="17.25" customHeight="1">
      <c r="E484" s="32"/>
    </row>
    <row r="485" ht="17.25" customHeight="1">
      <c r="E485" s="32"/>
    </row>
    <row r="486" ht="17.25" customHeight="1">
      <c r="E486" s="32"/>
    </row>
    <row r="487" ht="17.25" customHeight="1">
      <c r="E487" s="32"/>
    </row>
    <row r="488" ht="17.25" customHeight="1">
      <c r="E488" s="32"/>
    </row>
    <row r="489" ht="17.25" customHeight="1">
      <c r="E489" s="32"/>
    </row>
    <row r="490" ht="17.25" customHeight="1">
      <c r="E490" s="32"/>
    </row>
    <row r="491" ht="17.25" customHeight="1">
      <c r="E491" s="32"/>
    </row>
    <row r="492" ht="17.25" customHeight="1">
      <c r="E492" s="32"/>
    </row>
    <row r="493" ht="17.25" customHeight="1">
      <c r="E493" s="32"/>
    </row>
    <row r="494" ht="17.25" customHeight="1">
      <c r="E494" s="32"/>
    </row>
    <row r="495" ht="17.25" customHeight="1">
      <c r="E495" s="32"/>
    </row>
    <row r="496" ht="17.25" customHeight="1">
      <c r="E496" s="32"/>
    </row>
    <row r="497" ht="17.25" customHeight="1">
      <c r="E497" s="32"/>
    </row>
    <row r="498" ht="17.25" customHeight="1">
      <c r="E498" s="32"/>
    </row>
    <row r="499" ht="17.25" customHeight="1">
      <c r="E499" s="32"/>
    </row>
    <row r="500" ht="17.25" customHeight="1">
      <c r="E500" s="32"/>
    </row>
    <row r="501" ht="17.25" customHeight="1">
      <c r="E501" s="32"/>
    </row>
    <row r="502" ht="17.25" customHeight="1">
      <c r="E502" s="32"/>
    </row>
    <row r="503" ht="17.25" customHeight="1">
      <c r="E503" s="32"/>
    </row>
    <row r="504" ht="17.25" customHeight="1">
      <c r="E504" s="32"/>
    </row>
    <row r="505" ht="17.25" customHeight="1">
      <c r="E505" s="32"/>
    </row>
    <row r="506" ht="17.25" customHeight="1">
      <c r="E506" s="32"/>
    </row>
    <row r="507" ht="17.25" customHeight="1">
      <c r="E507" s="32"/>
    </row>
    <row r="508" ht="17.25" customHeight="1">
      <c r="E508" s="32"/>
    </row>
    <row r="509" ht="17.25" customHeight="1">
      <c r="E509" s="32"/>
    </row>
    <row r="510" ht="17.25" customHeight="1">
      <c r="E510" s="32"/>
    </row>
    <row r="511" ht="17.25" customHeight="1">
      <c r="E511" s="32"/>
    </row>
    <row r="512" ht="17.25" customHeight="1">
      <c r="E512" s="32"/>
    </row>
    <row r="513" ht="17.25" customHeight="1">
      <c r="E513" s="32"/>
    </row>
    <row r="514" ht="17.25" customHeight="1">
      <c r="E514" s="32"/>
    </row>
    <row r="515" ht="17.25" customHeight="1">
      <c r="E515" s="32"/>
    </row>
    <row r="516" ht="17.25" customHeight="1">
      <c r="E516" s="32"/>
    </row>
    <row r="517" ht="17.25" customHeight="1">
      <c r="E517" s="32"/>
    </row>
    <row r="518" ht="17.25" customHeight="1">
      <c r="E518" s="32"/>
    </row>
    <row r="519" ht="17.25" customHeight="1">
      <c r="E519" s="32"/>
    </row>
    <row r="520" ht="17.25" customHeight="1">
      <c r="E520" s="32"/>
    </row>
    <row r="521" ht="17.25" customHeight="1">
      <c r="E521" s="32"/>
    </row>
    <row r="522" ht="17.25" customHeight="1">
      <c r="E522" s="32"/>
    </row>
    <row r="523" ht="17.25" customHeight="1">
      <c r="E523" s="32"/>
    </row>
    <row r="524" ht="17.25" customHeight="1">
      <c r="E524" s="32"/>
    </row>
    <row r="525" ht="17.25" customHeight="1">
      <c r="E525" s="32"/>
    </row>
    <row r="526" ht="17.25" customHeight="1">
      <c r="E526" s="32"/>
    </row>
    <row r="527" ht="17.25" customHeight="1">
      <c r="E527" s="32"/>
    </row>
    <row r="528" ht="17.25" customHeight="1">
      <c r="E528" s="32"/>
    </row>
    <row r="529" ht="17.25" customHeight="1">
      <c r="E529" s="32"/>
    </row>
    <row r="530" ht="17.25" customHeight="1">
      <c r="E530" s="32"/>
    </row>
    <row r="531" ht="17.25" customHeight="1">
      <c r="E531" s="32"/>
    </row>
    <row r="532" ht="17.25" customHeight="1">
      <c r="E532" s="32"/>
    </row>
    <row r="533" ht="17.25" customHeight="1">
      <c r="E533" s="32"/>
    </row>
    <row r="534" ht="17.25" customHeight="1">
      <c r="E534" s="32"/>
    </row>
    <row r="535" ht="17.25" customHeight="1">
      <c r="E535" s="32"/>
    </row>
    <row r="536" ht="17.25" customHeight="1">
      <c r="E536" s="32"/>
    </row>
    <row r="537" ht="17.25" customHeight="1">
      <c r="E537" s="32"/>
    </row>
    <row r="538" ht="17.25" customHeight="1">
      <c r="E538" s="32"/>
    </row>
    <row r="539" ht="17.25" customHeight="1">
      <c r="E539" s="32"/>
    </row>
    <row r="540" ht="17.25" customHeight="1">
      <c r="E540" s="32"/>
    </row>
    <row r="541" ht="17.25" customHeight="1">
      <c r="E541" s="32"/>
    </row>
    <row r="542" ht="17.25" customHeight="1">
      <c r="E542" s="32"/>
    </row>
    <row r="543" ht="17.25" customHeight="1">
      <c r="E543" s="32"/>
    </row>
    <row r="544" ht="17.25" customHeight="1">
      <c r="E544" s="32"/>
    </row>
    <row r="545" ht="17.25" customHeight="1">
      <c r="E545" s="32"/>
    </row>
    <row r="546" ht="17.25" customHeight="1">
      <c r="E546" s="32"/>
    </row>
    <row r="547" ht="17.25" customHeight="1">
      <c r="E547" s="32"/>
    </row>
    <row r="548" ht="17.25" customHeight="1">
      <c r="E548" s="32"/>
    </row>
    <row r="549" ht="17.25" customHeight="1">
      <c r="E549" s="32"/>
    </row>
    <row r="550" ht="17.25" customHeight="1">
      <c r="E550" s="32"/>
    </row>
    <row r="551" ht="17.25" customHeight="1">
      <c r="E551" s="32"/>
    </row>
    <row r="552" ht="17.25" customHeight="1">
      <c r="E552" s="32"/>
    </row>
    <row r="553" ht="17.25" customHeight="1">
      <c r="E553" s="32"/>
    </row>
    <row r="554" ht="17.25" customHeight="1">
      <c r="E554" s="32"/>
    </row>
    <row r="555" ht="17.25" customHeight="1">
      <c r="E555" s="32"/>
    </row>
    <row r="556" ht="17.25" customHeight="1">
      <c r="E556" s="32"/>
    </row>
    <row r="557" ht="17.25" customHeight="1">
      <c r="E557" s="32"/>
    </row>
    <row r="558" ht="17.25" customHeight="1">
      <c r="E558" s="32"/>
    </row>
    <row r="559" ht="17.25" customHeight="1">
      <c r="E559" s="32"/>
    </row>
    <row r="560" ht="17.25" customHeight="1">
      <c r="E560" s="32"/>
    </row>
    <row r="561" ht="17.25" customHeight="1">
      <c r="E561" s="32"/>
    </row>
    <row r="562" ht="17.25" customHeight="1">
      <c r="E562" s="32"/>
    </row>
    <row r="563" ht="17.25" customHeight="1">
      <c r="E563" s="32"/>
    </row>
    <row r="564" ht="17.25" customHeight="1">
      <c r="E564" s="32"/>
    </row>
    <row r="565" ht="17.25" customHeight="1">
      <c r="E565" s="32"/>
    </row>
    <row r="566" ht="17.25" customHeight="1">
      <c r="E566" s="32"/>
    </row>
    <row r="567" ht="17.25" customHeight="1">
      <c r="E567" s="32"/>
    </row>
    <row r="568" ht="17.25" customHeight="1">
      <c r="E568" s="32"/>
    </row>
    <row r="569" ht="17.25" customHeight="1">
      <c r="E569" s="32"/>
    </row>
    <row r="570" ht="17.25" customHeight="1">
      <c r="E570" s="32"/>
    </row>
    <row r="571" ht="17.25" customHeight="1">
      <c r="E571" s="32"/>
    </row>
    <row r="572" ht="17.25" customHeight="1">
      <c r="E572" s="32"/>
    </row>
    <row r="573" ht="17.25" customHeight="1">
      <c r="E573" s="32"/>
    </row>
    <row r="574" ht="17.25" customHeight="1">
      <c r="E574" s="32"/>
    </row>
    <row r="575" ht="17.25" customHeight="1">
      <c r="E575" s="32"/>
    </row>
    <row r="576" ht="17.25" customHeight="1">
      <c r="E576" s="32"/>
    </row>
    <row r="577" ht="17.25" customHeight="1">
      <c r="E577" s="32"/>
    </row>
    <row r="578" ht="17.25" customHeight="1">
      <c r="E578" s="32"/>
    </row>
    <row r="579" ht="17.25" customHeight="1">
      <c r="E579" s="32"/>
    </row>
    <row r="580" ht="17.25" customHeight="1">
      <c r="E580" s="32"/>
    </row>
    <row r="581" ht="17.25" customHeight="1">
      <c r="E581" s="32"/>
    </row>
    <row r="582" ht="17.25" customHeight="1">
      <c r="E582" s="32"/>
    </row>
    <row r="583" ht="17.25" customHeight="1">
      <c r="E583" s="32"/>
    </row>
    <row r="584" ht="17.25" customHeight="1">
      <c r="E584" s="32"/>
    </row>
    <row r="585" ht="17.25" customHeight="1">
      <c r="E585" s="32"/>
    </row>
    <row r="586" ht="17.25" customHeight="1">
      <c r="E586" s="32"/>
    </row>
    <row r="587" ht="17.25" customHeight="1">
      <c r="E587" s="32"/>
    </row>
    <row r="588" ht="17.25" customHeight="1">
      <c r="E588" s="32"/>
    </row>
    <row r="589" ht="17.25" customHeight="1">
      <c r="E589" s="32"/>
    </row>
    <row r="590" ht="17.25" customHeight="1">
      <c r="E590" s="32"/>
    </row>
    <row r="591" ht="17.25" customHeight="1">
      <c r="E591" s="32"/>
    </row>
    <row r="592" ht="17.25" customHeight="1">
      <c r="E592" s="32"/>
    </row>
    <row r="593" ht="17.25" customHeight="1">
      <c r="E593" s="32"/>
    </row>
    <row r="594" ht="17.25" customHeight="1">
      <c r="E594" s="32"/>
    </row>
    <row r="595" ht="17.25" customHeight="1">
      <c r="E595" s="32"/>
    </row>
    <row r="596" ht="17.25" customHeight="1">
      <c r="E596" s="32"/>
    </row>
    <row r="597" ht="17.25" customHeight="1">
      <c r="E597" s="32"/>
    </row>
    <row r="598" ht="17.25" customHeight="1">
      <c r="E598" s="32"/>
    </row>
    <row r="599" ht="17.25" customHeight="1">
      <c r="E599" s="32"/>
    </row>
    <row r="600" ht="17.25" customHeight="1">
      <c r="E600" s="32"/>
    </row>
    <row r="601" ht="17.25" customHeight="1">
      <c r="E601" s="32"/>
    </row>
    <row r="602" ht="17.25" customHeight="1">
      <c r="E602" s="32"/>
    </row>
    <row r="603" ht="17.25" customHeight="1">
      <c r="E603" s="32"/>
    </row>
    <row r="604" ht="17.25" customHeight="1">
      <c r="E604" s="32"/>
    </row>
    <row r="605" ht="17.25" customHeight="1">
      <c r="E605" s="32"/>
    </row>
    <row r="606" ht="17.25" customHeight="1">
      <c r="E606" s="32"/>
    </row>
    <row r="607" ht="17.25" customHeight="1">
      <c r="E607" s="32"/>
    </row>
    <row r="608" ht="17.25" customHeight="1">
      <c r="E608" s="32"/>
    </row>
    <row r="609" ht="17.25" customHeight="1">
      <c r="E609" s="32"/>
    </row>
    <row r="610" ht="17.25" customHeight="1">
      <c r="E610" s="32"/>
    </row>
    <row r="611" ht="17.25" customHeight="1">
      <c r="E611" s="32"/>
    </row>
    <row r="612" ht="17.25" customHeight="1">
      <c r="E612" s="32"/>
    </row>
    <row r="613" ht="17.25" customHeight="1">
      <c r="E613" s="32"/>
    </row>
    <row r="614" ht="17.25" customHeight="1">
      <c r="E614" s="32"/>
    </row>
    <row r="615" ht="17.25" customHeight="1">
      <c r="E615" s="32"/>
    </row>
    <row r="616" ht="17.25" customHeight="1">
      <c r="E616" s="32"/>
    </row>
    <row r="617" ht="17.25" customHeight="1">
      <c r="E617" s="32"/>
    </row>
    <row r="618" ht="17.25" customHeight="1">
      <c r="E618" s="32"/>
    </row>
    <row r="619" ht="17.25" customHeight="1">
      <c r="E619" s="32"/>
    </row>
    <row r="620" ht="17.25" customHeight="1">
      <c r="E620" s="32"/>
    </row>
    <row r="621" ht="17.25" customHeight="1">
      <c r="E621" s="32"/>
    </row>
    <row r="622" ht="17.25" customHeight="1">
      <c r="E622" s="32"/>
    </row>
    <row r="623" ht="17.25" customHeight="1">
      <c r="E623" s="32"/>
    </row>
    <row r="624" ht="17.25" customHeight="1">
      <c r="E624" s="32"/>
    </row>
    <row r="625" ht="17.25" customHeight="1">
      <c r="E625" s="32"/>
    </row>
    <row r="626" ht="17.25" customHeight="1">
      <c r="E626" s="32"/>
    </row>
    <row r="627" ht="17.25" customHeight="1">
      <c r="E627" s="32"/>
    </row>
    <row r="628" ht="17.25" customHeight="1">
      <c r="E628" s="32"/>
    </row>
    <row r="629" ht="17.25" customHeight="1">
      <c r="E629" s="32"/>
    </row>
    <row r="630" ht="17.25" customHeight="1">
      <c r="E630" s="32"/>
    </row>
    <row r="631" ht="17.25" customHeight="1">
      <c r="E631" s="32"/>
    </row>
    <row r="632" ht="17.25" customHeight="1">
      <c r="E632" s="32"/>
    </row>
    <row r="633" ht="17.25" customHeight="1">
      <c r="E633" s="32"/>
    </row>
    <row r="634" ht="17.25" customHeight="1">
      <c r="E634" s="32"/>
    </row>
    <row r="635" ht="17.25" customHeight="1">
      <c r="E635" s="32"/>
    </row>
    <row r="636" ht="17.25" customHeight="1">
      <c r="E636" s="32"/>
    </row>
    <row r="637" ht="17.25" customHeight="1">
      <c r="E637" s="32"/>
    </row>
    <row r="638" ht="17.25" customHeight="1">
      <c r="E638" s="32"/>
    </row>
    <row r="639" ht="17.25" customHeight="1">
      <c r="E639" s="32"/>
    </row>
    <row r="640" ht="17.25" customHeight="1">
      <c r="E640" s="32"/>
    </row>
    <row r="641" ht="17.25" customHeight="1">
      <c r="E641" s="32"/>
    </row>
    <row r="642" ht="17.25" customHeight="1">
      <c r="E642" s="32"/>
    </row>
    <row r="643" ht="17.25" customHeight="1">
      <c r="E643" s="32"/>
    </row>
    <row r="644" ht="17.25" customHeight="1">
      <c r="E644" s="32"/>
    </row>
    <row r="645" ht="17.25" customHeight="1">
      <c r="E645" s="32"/>
    </row>
    <row r="646" ht="17.25" customHeight="1">
      <c r="E646" s="32"/>
    </row>
    <row r="647" ht="17.25" customHeight="1">
      <c r="E647" s="32"/>
    </row>
    <row r="648" ht="17.25" customHeight="1">
      <c r="E648" s="32"/>
    </row>
    <row r="649" ht="17.25" customHeight="1">
      <c r="E649" s="32"/>
    </row>
    <row r="650" ht="17.25" customHeight="1">
      <c r="E650" s="32"/>
    </row>
    <row r="651" ht="17.25" customHeight="1">
      <c r="E651" s="32"/>
    </row>
    <row r="652" ht="17.25" customHeight="1">
      <c r="E652" s="32"/>
    </row>
    <row r="653" ht="17.25" customHeight="1">
      <c r="E653" s="32"/>
    </row>
    <row r="654" ht="17.25" customHeight="1">
      <c r="E654" s="32"/>
    </row>
    <row r="655" ht="17.25" customHeight="1">
      <c r="E655" s="32"/>
    </row>
    <row r="656" ht="17.25" customHeight="1">
      <c r="E656" s="32"/>
    </row>
    <row r="657" ht="17.25" customHeight="1">
      <c r="E657" s="32"/>
    </row>
    <row r="658" ht="17.25" customHeight="1">
      <c r="E658" s="32"/>
    </row>
    <row r="659" ht="17.25" customHeight="1">
      <c r="E659" s="32"/>
    </row>
    <row r="660" ht="17.25" customHeight="1">
      <c r="E660" s="32"/>
    </row>
    <row r="661" ht="17.25" customHeight="1">
      <c r="E661" s="32"/>
    </row>
    <row r="662" ht="17.25" customHeight="1">
      <c r="E662" s="32"/>
    </row>
    <row r="663" ht="17.25" customHeight="1">
      <c r="E663" s="32"/>
    </row>
    <row r="664" ht="17.25" customHeight="1">
      <c r="E664" s="32"/>
    </row>
    <row r="665" ht="17.25" customHeight="1">
      <c r="E665" s="32"/>
    </row>
    <row r="666" ht="17.25" customHeight="1">
      <c r="E666" s="32"/>
    </row>
    <row r="667" ht="17.25" customHeight="1">
      <c r="E667" s="32"/>
    </row>
    <row r="668" ht="17.25" customHeight="1">
      <c r="E668" s="32"/>
    </row>
    <row r="669" ht="17.25" customHeight="1">
      <c r="E669" s="32"/>
    </row>
    <row r="670" ht="17.25" customHeight="1">
      <c r="E670" s="32"/>
    </row>
    <row r="671" ht="17.25" customHeight="1">
      <c r="E671" s="32"/>
    </row>
    <row r="672" ht="17.25" customHeight="1">
      <c r="E672" s="32"/>
    </row>
    <row r="673" ht="17.25" customHeight="1">
      <c r="E673" s="32"/>
    </row>
    <row r="674" ht="17.25" customHeight="1">
      <c r="E674" s="32"/>
    </row>
    <row r="675" ht="17.25" customHeight="1">
      <c r="E675" s="32"/>
    </row>
    <row r="676" ht="17.25" customHeight="1">
      <c r="E676" s="32"/>
    </row>
    <row r="677" ht="17.25" customHeight="1">
      <c r="E677" s="32"/>
    </row>
    <row r="678" ht="17.25" customHeight="1">
      <c r="E678" s="32"/>
    </row>
    <row r="679" ht="17.25" customHeight="1">
      <c r="E679" s="32"/>
    </row>
    <row r="680" ht="17.25" customHeight="1">
      <c r="E680" s="32"/>
    </row>
    <row r="681" ht="17.25" customHeight="1">
      <c r="E681" s="32"/>
    </row>
    <row r="682" ht="17.25" customHeight="1">
      <c r="E682" s="32"/>
    </row>
    <row r="683" ht="17.25" customHeight="1">
      <c r="E683" s="32"/>
    </row>
    <row r="684" ht="17.25" customHeight="1">
      <c r="E684" s="32"/>
    </row>
    <row r="685" ht="17.25" customHeight="1">
      <c r="E685" s="32"/>
    </row>
    <row r="686" ht="17.25" customHeight="1">
      <c r="E686" s="32"/>
    </row>
    <row r="687" ht="17.25" customHeight="1">
      <c r="E687" s="32"/>
    </row>
    <row r="688" ht="17.25" customHeight="1">
      <c r="E688" s="32"/>
    </row>
    <row r="689" ht="17.25" customHeight="1">
      <c r="E689" s="32"/>
    </row>
    <row r="690" ht="17.25" customHeight="1">
      <c r="E690" s="32"/>
    </row>
    <row r="691" ht="17.25" customHeight="1">
      <c r="E691" s="32"/>
    </row>
    <row r="692" ht="17.25" customHeight="1">
      <c r="E692" s="32"/>
    </row>
    <row r="693" ht="17.25" customHeight="1">
      <c r="E693" s="32"/>
    </row>
    <row r="694" ht="17.25" customHeight="1">
      <c r="E694" s="32"/>
    </row>
    <row r="695" ht="17.25" customHeight="1">
      <c r="E695" s="32"/>
    </row>
    <row r="696" ht="17.25" customHeight="1">
      <c r="E696" s="32"/>
    </row>
    <row r="697" ht="17.25" customHeight="1">
      <c r="E697" s="32"/>
    </row>
    <row r="698" ht="17.25" customHeight="1">
      <c r="E698" s="32"/>
    </row>
    <row r="699" ht="17.25" customHeight="1">
      <c r="E699" s="32"/>
    </row>
    <row r="700" ht="17.25" customHeight="1">
      <c r="E700" s="32"/>
    </row>
    <row r="701" ht="17.25" customHeight="1">
      <c r="E701" s="32"/>
    </row>
    <row r="702" ht="17.25" customHeight="1">
      <c r="E702" s="32"/>
    </row>
    <row r="703" ht="17.25" customHeight="1">
      <c r="E703" s="32"/>
    </row>
    <row r="704" ht="17.25" customHeight="1">
      <c r="E704" s="32"/>
    </row>
    <row r="705" ht="17.25" customHeight="1">
      <c r="E705" s="32"/>
    </row>
    <row r="706" ht="17.25" customHeight="1">
      <c r="E706" s="32"/>
    </row>
    <row r="707" ht="17.25" customHeight="1">
      <c r="E707" s="32"/>
    </row>
    <row r="708" ht="17.25" customHeight="1">
      <c r="E708" s="32"/>
    </row>
    <row r="709" ht="17.25" customHeight="1">
      <c r="E709" s="32"/>
    </row>
    <row r="710" ht="17.25" customHeight="1">
      <c r="E710" s="32"/>
    </row>
    <row r="711" ht="17.25" customHeight="1">
      <c r="E711" s="32"/>
    </row>
    <row r="712" ht="17.25" customHeight="1">
      <c r="E712" s="32"/>
    </row>
    <row r="713" ht="17.25" customHeight="1">
      <c r="E713" s="32"/>
    </row>
    <row r="714" ht="17.25" customHeight="1">
      <c r="E714" s="32"/>
    </row>
    <row r="715" ht="17.25" customHeight="1">
      <c r="E715" s="32"/>
    </row>
    <row r="716" ht="17.25" customHeight="1">
      <c r="E716" s="32"/>
    </row>
    <row r="717" ht="17.25" customHeight="1">
      <c r="E717" s="32"/>
    </row>
    <row r="718" ht="17.25" customHeight="1">
      <c r="E718" s="32"/>
    </row>
    <row r="719" ht="17.25" customHeight="1">
      <c r="E719" s="32"/>
    </row>
    <row r="720" ht="17.25" customHeight="1">
      <c r="E720" s="32"/>
    </row>
    <row r="721" ht="17.25" customHeight="1">
      <c r="E721" s="32"/>
    </row>
    <row r="722" ht="17.25" customHeight="1">
      <c r="E722" s="32"/>
    </row>
    <row r="723" ht="17.25" customHeight="1">
      <c r="E723" s="32"/>
    </row>
    <row r="724" ht="17.25" customHeight="1">
      <c r="E724" s="32"/>
    </row>
    <row r="725" ht="17.25" customHeight="1">
      <c r="E725" s="32"/>
    </row>
    <row r="726" ht="17.25" customHeight="1">
      <c r="E726" s="32"/>
    </row>
    <row r="727" ht="17.25" customHeight="1">
      <c r="E727" s="32"/>
    </row>
    <row r="728" ht="17.25" customHeight="1">
      <c r="E728" s="32"/>
    </row>
    <row r="729" ht="17.25" customHeight="1">
      <c r="E729" s="32"/>
    </row>
    <row r="730" ht="17.25" customHeight="1">
      <c r="E730" s="32"/>
    </row>
    <row r="731" ht="17.25" customHeight="1">
      <c r="E731" s="32"/>
    </row>
    <row r="732" ht="17.25" customHeight="1">
      <c r="E732" s="32"/>
    </row>
    <row r="733" ht="17.25" customHeight="1">
      <c r="E733" s="32"/>
    </row>
    <row r="734" ht="17.25" customHeight="1">
      <c r="E734" s="32"/>
    </row>
    <row r="735" ht="17.25" customHeight="1">
      <c r="E735" s="32"/>
    </row>
    <row r="736" ht="17.25" customHeight="1">
      <c r="E736" s="32"/>
    </row>
    <row r="737" ht="17.25" customHeight="1">
      <c r="E737" s="32"/>
    </row>
    <row r="738" ht="17.25" customHeight="1">
      <c r="E738" s="32"/>
    </row>
    <row r="739" ht="17.25" customHeight="1">
      <c r="E739" s="32"/>
    </row>
    <row r="740" ht="17.25" customHeight="1">
      <c r="E740" s="32"/>
    </row>
    <row r="741" ht="17.25" customHeight="1">
      <c r="E741" s="32"/>
    </row>
    <row r="742" ht="17.25" customHeight="1">
      <c r="E742" s="32"/>
    </row>
    <row r="743" ht="17.25" customHeight="1">
      <c r="E743" s="32"/>
    </row>
    <row r="744" ht="17.25" customHeight="1">
      <c r="E744" s="32"/>
    </row>
    <row r="745" ht="17.25" customHeight="1">
      <c r="E745" s="32"/>
    </row>
    <row r="746" ht="17.25" customHeight="1">
      <c r="E746" s="32"/>
    </row>
    <row r="747" ht="17.25" customHeight="1">
      <c r="E747" s="32"/>
    </row>
    <row r="748" ht="17.25" customHeight="1">
      <c r="E748" s="32"/>
    </row>
    <row r="749" ht="17.25" customHeight="1">
      <c r="E749" s="32"/>
    </row>
    <row r="750" ht="17.25" customHeight="1">
      <c r="E750" s="32"/>
    </row>
    <row r="751" ht="17.25" customHeight="1">
      <c r="E751" s="32"/>
    </row>
    <row r="752" ht="17.25" customHeight="1">
      <c r="E752" s="32"/>
    </row>
    <row r="753" ht="17.25" customHeight="1">
      <c r="E753" s="32"/>
    </row>
    <row r="754" ht="17.25" customHeight="1">
      <c r="E754" s="32"/>
    </row>
    <row r="755" ht="17.25" customHeight="1">
      <c r="E755" s="32"/>
    </row>
    <row r="756" ht="17.25" customHeight="1">
      <c r="E756" s="32"/>
    </row>
    <row r="757" ht="17.25" customHeight="1">
      <c r="E757" s="32"/>
    </row>
    <row r="758" ht="17.25" customHeight="1">
      <c r="E758" s="32"/>
    </row>
    <row r="759" ht="17.25" customHeight="1">
      <c r="E759" s="32"/>
    </row>
    <row r="760" ht="17.25" customHeight="1">
      <c r="E760" s="32"/>
    </row>
    <row r="761" ht="17.25" customHeight="1">
      <c r="E761" s="32"/>
    </row>
    <row r="762" ht="17.25" customHeight="1">
      <c r="E762" s="32"/>
    </row>
    <row r="763" ht="17.25" customHeight="1">
      <c r="E763" s="32"/>
    </row>
    <row r="764" ht="17.25" customHeight="1">
      <c r="E764" s="32"/>
    </row>
    <row r="765" ht="17.25" customHeight="1">
      <c r="E765" s="32"/>
    </row>
    <row r="766" ht="17.25" customHeight="1">
      <c r="E766" s="32"/>
    </row>
    <row r="767" ht="17.25" customHeight="1">
      <c r="E767" s="32"/>
    </row>
    <row r="768" ht="17.25" customHeight="1">
      <c r="E768" s="32"/>
    </row>
    <row r="769" ht="17.25" customHeight="1">
      <c r="E769" s="32"/>
    </row>
    <row r="770" ht="17.25" customHeight="1">
      <c r="E770" s="32"/>
    </row>
    <row r="771" ht="17.25" customHeight="1">
      <c r="E771" s="32"/>
    </row>
    <row r="772" ht="17.25" customHeight="1">
      <c r="E772" s="32"/>
    </row>
    <row r="773" ht="17.25" customHeight="1">
      <c r="E773" s="32"/>
    </row>
    <row r="774" ht="17.25" customHeight="1">
      <c r="E774" s="32"/>
    </row>
    <row r="775" ht="17.25" customHeight="1">
      <c r="E775" s="32"/>
    </row>
    <row r="776" ht="17.25" customHeight="1">
      <c r="E776" s="32"/>
    </row>
    <row r="777" ht="17.25" customHeight="1">
      <c r="E777" s="32"/>
    </row>
    <row r="778" ht="17.25" customHeight="1">
      <c r="E778" s="32"/>
    </row>
    <row r="779" ht="17.25" customHeight="1">
      <c r="E779" s="32"/>
    </row>
    <row r="780" ht="17.25" customHeight="1">
      <c r="E780" s="32"/>
    </row>
    <row r="781" ht="17.25" customHeight="1">
      <c r="E781" s="32"/>
    </row>
    <row r="782" ht="17.25" customHeight="1">
      <c r="E782" s="32"/>
    </row>
    <row r="783" ht="17.25" customHeight="1">
      <c r="E783" s="32"/>
    </row>
    <row r="784" ht="17.25" customHeight="1">
      <c r="E784" s="32"/>
    </row>
    <row r="785" ht="17.25" customHeight="1">
      <c r="E785" s="32"/>
    </row>
    <row r="786" ht="17.25" customHeight="1">
      <c r="E786" s="32"/>
    </row>
    <row r="787" ht="17.25" customHeight="1">
      <c r="E787" s="32"/>
    </row>
    <row r="788" ht="17.25" customHeight="1">
      <c r="E788" s="32"/>
    </row>
    <row r="789" ht="17.25" customHeight="1">
      <c r="E789" s="32"/>
    </row>
    <row r="790" ht="17.25" customHeight="1">
      <c r="E790" s="32"/>
    </row>
    <row r="791" ht="17.25" customHeight="1">
      <c r="E791" s="32"/>
    </row>
    <row r="792" ht="17.25" customHeight="1">
      <c r="E792" s="32"/>
    </row>
    <row r="793" ht="17.25" customHeight="1">
      <c r="E793" s="32"/>
    </row>
    <row r="794" ht="17.25" customHeight="1">
      <c r="E794" s="32"/>
    </row>
    <row r="795" ht="17.25" customHeight="1">
      <c r="E795" s="32"/>
    </row>
    <row r="796" ht="17.25" customHeight="1">
      <c r="E796" s="32"/>
    </row>
    <row r="797" ht="17.25" customHeight="1">
      <c r="E797" s="32"/>
    </row>
    <row r="798" ht="17.25" customHeight="1">
      <c r="E798" s="32"/>
    </row>
    <row r="799" ht="17.25" customHeight="1">
      <c r="E799" s="32"/>
    </row>
    <row r="800" ht="17.25" customHeight="1">
      <c r="E800" s="32"/>
    </row>
    <row r="801" ht="17.25" customHeight="1">
      <c r="E801" s="32"/>
    </row>
    <row r="802" ht="17.25" customHeight="1">
      <c r="E802" s="32"/>
    </row>
    <row r="803" ht="17.25" customHeight="1">
      <c r="E803" s="32"/>
    </row>
    <row r="804" ht="17.25" customHeight="1">
      <c r="E804" s="32"/>
    </row>
    <row r="805" ht="17.25" customHeight="1">
      <c r="E805" s="32"/>
    </row>
    <row r="806" ht="17.25" customHeight="1">
      <c r="E806" s="32"/>
    </row>
    <row r="807" ht="17.25" customHeight="1">
      <c r="E807" s="32"/>
    </row>
    <row r="808" ht="17.25" customHeight="1">
      <c r="E808" s="32"/>
    </row>
    <row r="809" ht="17.25" customHeight="1">
      <c r="E809" s="32"/>
    </row>
    <row r="810" ht="17.25" customHeight="1">
      <c r="E810" s="32"/>
    </row>
    <row r="811" ht="17.25" customHeight="1">
      <c r="E811" s="32"/>
    </row>
    <row r="812" ht="17.25" customHeight="1">
      <c r="E812" s="32"/>
    </row>
    <row r="813" ht="17.25" customHeight="1">
      <c r="E813" s="32"/>
    </row>
    <row r="814" ht="17.25" customHeight="1">
      <c r="E814" s="32"/>
    </row>
    <row r="815" ht="17.25" customHeight="1">
      <c r="E815" s="32"/>
    </row>
    <row r="816" ht="17.25" customHeight="1">
      <c r="E816" s="32"/>
    </row>
    <row r="817" ht="17.25" customHeight="1">
      <c r="E817" s="32"/>
    </row>
    <row r="818" ht="17.25" customHeight="1">
      <c r="E818" s="32"/>
    </row>
    <row r="819" ht="17.25" customHeight="1">
      <c r="E819" s="32"/>
    </row>
    <row r="820" ht="17.25" customHeight="1">
      <c r="E820" s="32"/>
    </row>
    <row r="821" ht="17.25" customHeight="1">
      <c r="E821" s="32"/>
    </row>
    <row r="822" ht="17.25" customHeight="1">
      <c r="E822" s="32"/>
    </row>
    <row r="823" ht="17.25" customHeight="1">
      <c r="E823" s="32"/>
    </row>
    <row r="824" ht="17.25" customHeight="1">
      <c r="E824" s="32"/>
    </row>
    <row r="825" ht="17.25" customHeight="1">
      <c r="E825" s="32"/>
    </row>
    <row r="826" ht="17.25" customHeight="1">
      <c r="E826" s="32"/>
    </row>
    <row r="827" ht="17.25" customHeight="1">
      <c r="E827" s="32"/>
    </row>
    <row r="828" ht="17.25" customHeight="1">
      <c r="E828" s="32"/>
    </row>
    <row r="829" ht="17.25" customHeight="1">
      <c r="E829" s="32"/>
    </row>
    <row r="830" ht="17.25" customHeight="1">
      <c r="E830" s="32"/>
    </row>
    <row r="831" ht="17.25" customHeight="1">
      <c r="E831" s="32"/>
    </row>
    <row r="832" ht="17.25" customHeight="1">
      <c r="E832" s="32"/>
    </row>
    <row r="833" ht="17.25" customHeight="1">
      <c r="E833" s="32"/>
    </row>
    <row r="834" ht="17.25" customHeight="1">
      <c r="E834" s="32"/>
    </row>
    <row r="835" ht="17.25" customHeight="1">
      <c r="E835" s="32"/>
    </row>
    <row r="836" ht="17.25" customHeight="1">
      <c r="E836" s="32"/>
    </row>
    <row r="837" ht="17.25" customHeight="1">
      <c r="E837" s="32"/>
    </row>
    <row r="838" ht="17.25" customHeight="1">
      <c r="E838" s="32"/>
    </row>
    <row r="839" ht="17.25" customHeight="1">
      <c r="E839" s="32"/>
    </row>
    <row r="840" ht="17.25" customHeight="1">
      <c r="E840" s="32"/>
    </row>
    <row r="841" ht="17.25" customHeight="1">
      <c r="E841" s="32"/>
    </row>
    <row r="842" ht="17.25" customHeight="1">
      <c r="E842" s="32"/>
    </row>
    <row r="843" ht="17.25" customHeight="1">
      <c r="E843" s="32"/>
    </row>
    <row r="844" ht="17.25" customHeight="1">
      <c r="E844" s="32"/>
    </row>
    <row r="845" ht="17.25" customHeight="1">
      <c r="E845" s="32"/>
    </row>
    <row r="846" ht="17.25" customHeight="1">
      <c r="E846" s="32"/>
    </row>
    <row r="847" ht="17.25" customHeight="1">
      <c r="E847" s="32"/>
    </row>
    <row r="848" ht="17.25" customHeight="1">
      <c r="E848" s="32"/>
    </row>
    <row r="849" ht="17.25" customHeight="1">
      <c r="E849" s="32"/>
    </row>
    <row r="850" ht="17.25" customHeight="1">
      <c r="E850" s="32"/>
    </row>
    <row r="851" ht="17.25" customHeight="1">
      <c r="E851" s="32"/>
    </row>
    <row r="852" ht="17.25" customHeight="1">
      <c r="E852" s="32"/>
    </row>
    <row r="853" ht="17.25" customHeight="1">
      <c r="E853" s="32"/>
    </row>
    <row r="854" ht="17.25" customHeight="1">
      <c r="E854" s="32"/>
    </row>
    <row r="855" ht="17.25" customHeight="1">
      <c r="E855" s="32"/>
    </row>
    <row r="856" ht="17.25" customHeight="1">
      <c r="E856" s="32"/>
    </row>
    <row r="857" ht="17.25" customHeight="1">
      <c r="E857" s="32"/>
    </row>
    <row r="858" ht="17.25" customHeight="1">
      <c r="E858" s="32"/>
    </row>
    <row r="859" ht="17.25" customHeight="1">
      <c r="E859" s="32"/>
    </row>
    <row r="860" ht="17.25" customHeight="1">
      <c r="E860" s="32"/>
    </row>
    <row r="861" ht="17.25" customHeight="1">
      <c r="E861" s="32"/>
    </row>
    <row r="862" ht="17.25" customHeight="1">
      <c r="E862" s="32"/>
    </row>
    <row r="863" ht="17.25" customHeight="1">
      <c r="E863" s="32"/>
    </row>
    <row r="864" ht="17.25" customHeight="1">
      <c r="E864" s="32"/>
    </row>
    <row r="865" ht="17.25" customHeight="1">
      <c r="E865" s="32"/>
    </row>
    <row r="866" ht="17.25" customHeight="1">
      <c r="E866" s="32"/>
    </row>
    <row r="867" ht="17.25" customHeight="1">
      <c r="E867" s="32"/>
    </row>
    <row r="868" ht="17.25" customHeight="1">
      <c r="E868" s="32"/>
    </row>
    <row r="869" ht="17.25" customHeight="1">
      <c r="E869" s="32"/>
    </row>
    <row r="870" ht="17.25" customHeight="1">
      <c r="E870" s="32"/>
    </row>
    <row r="871" ht="17.25" customHeight="1">
      <c r="E871" s="32"/>
    </row>
    <row r="872" ht="17.25" customHeight="1">
      <c r="E872" s="32"/>
    </row>
    <row r="873" ht="17.25" customHeight="1">
      <c r="E873" s="32"/>
    </row>
    <row r="874" ht="17.25" customHeight="1">
      <c r="E874" s="32"/>
    </row>
    <row r="875" ht="17.25" customHeight="1">
      <c r="E875" s="32"/>
    </row>
    <row r="876" ht="17.25" customHeight="1">
      <c r="E876" s="32"/>
    </row>
    <row r="877" ht="17.25" customHeight="1">
      <c r="E877" s="32"/>
    </row>
    <row r="878" ht="17.25" customHeight="1">
      <c r="E878" s="32"/>
    </row>
    <row r="879" ht="17.25" customHeight="1">
      <c r="E879" s="32"/>
    </row>
    <row r="880" ht="17.25" customHeight="1">
      <c r="E880" s="32"/>
    </row>
    <row r="881" ht="17.25" customHeight="1">
      <c r="E881" s="32"/>
    </row>
    <row r="882" ht="17.25" customHeight="1">
      <c r="E882" s="32"/>
    </row>
    <row r="883" ht="17.25" customHeight="1">
      <c r="E883" s="32"/>
    </row>
    <row r="884" ht="17.25" customHeight="1">
      <c r="E884" s="32"/>
    </row>
    <row r="885" ht="17.25" customHeight="1">
      <c r="E885" s="32"/>
    </row>
    <row r="886" ht="17.25" customHeight="1">
      <c r="E886" s="32"/>
    </row>
    <row r="887" ht="17.25" customHeight="1">
      <c r="E887" s="32"/>
    </row>
    <row r="888" ht="17.25" customHeight="1">
      <c r="E888" s="32"/>
    </row>
    <row r="889" ht="17.25" customHeight="1">
      <c r="E889" s="32"/>
    </row>
    <row r="890" ht="17.25" customHeight="1">
      <c r="E890" s="32"/>
    </row>
    <row r="891" ht="17.25" customHeight="1">
      <c r="E891" s="32"/>
    </row>
    <row r="892" ht="17.25" customHeight="1">
      <c r="E892" s="32"/>
    </row>
    <row r="893" ht="17.25" customHeight="1">
      <c r="E893" s="32"/>
    </row>
    <row r="894" ht="17.25" customHeight="1">
      <c r="E894" s="32"/>
    </row>
    <row r="895" ht="17.25" customHeight="1">
      <c r="E895" s="32"/>
    </row>
    <row r="896" ht="17.25" customHeight="1">
      <c r="E896" s="32"/>
    </row>
    <row r="897" ht="17.25" customHeight="1">
      <c r="E897" s="32"/>
    </row>
    <row r="898" ht="17.25" customHeight="1">
      <c r="E898" s="32"/>
    </row>
    <row r="899" ht="17.25" customHeight="1">
      <c r="E899" s="32"/>
    </row>
    <row r="900" ht="17.25" customHeight="1">
      <c r="E900" s="32"/>
    </row>
    <row r="901" ht="17.25" customHeight="1">
      <c r="E901" s="32"/>
    </row>
    <row r="902" ht="17.25" customHeight="1">
      <c r="E902" s="32"/>
    </row>
    <row r="903" ht="17.25" customHeight="1">
      <c r="E903" s="32"/>
    </row>
    <row r="904" ht="17.25" customHeight="1">
      <c r="E904" s="32"/>
    </row>
    <row r="905" ht="17.25" customHeight="1">
      <c r="E905" s="32"/>
    </row>
    <row r="906" ht="17.25" customHeight="1">
      <c r="E906" s="32"/>
    </row>
    <row r="907" ht="17.25" customHeight="1">
      <c r="E907" s="32"/>
    </row>
    <row r="908" ht="17.25" customHeight="1">
      <c r="E908" s="32"/>
    </row>
    <row r="909" ht="17.25" customHeight="1">
      <c r="E909" s="32"/>
    </row>
    <row r="910" ht="17.25" customHeight="1">
      <c r="E910" s="32"/>
    </row>
    <row r="911" ht="17.25" customHeight="1">
      <c r="E911" s="32"/>
    </row>
    <row r="912" ht="17.25" customHeight="1">
      <c r="E912" s="32"/>
    </row>
    <row r="913" ht="17.25" customHeight="1">
      <c r="E913" s="32"/>
    </row>
    <row r="914" ht="17.25" customHeight="1">
      <c r="E914" s="32"/>
    </row>
    <row r="915" ht="17.25" customHeight="1">
      <c r="E915" s="32"/>
    </row>
    <row r="916" ht="17.25" customHeight="1">
      <c r="E916" s="32"/>
    </row>
    <row r="917" ht="17.25" customHeight="1">
      <c r="E917" s="32"/>
    </row>
    <row r="918" ht="17.25" customHeight="1">
      <c r="E918" s="32"/>
    </row>
    <row r="919" ht="17.25" customHeight="1">
      <c r="E919" s="32"/>
    </row>
    <row r="920" ht="17.25" customHeight="1">
      <c r="E920" s="32"/>
    </row>
    <row r="921" ht="17.25" customHeight="1">
      <c r="E921" s="32"/>
    </row>
    <row r="922" ht="17.25" customHeight="1">
      <c r="E922" s="32"/>
    </row>
    <row r="923" ht="17.25" customHeight="1">
      <c r="E923" s="32"/>
    </row>
    <row r="924" ht="17.25" customHeight="1">
      <c r="E924" s="32"/>
    </row>
    <row r="925" ht="17.25" customHeight="1">
      <c r="E925" s="32"/>
    </row>
    <row r="926" ht="17.25" customHeight="1">
      <c r="E926" s="32"/>
    </row>
    <row r="927" ht="17.25" customHeight="1">
      <c r="E927" s="32"/>
    </row>
    <row r="928" ht="17.25" customHeight="1">
      <c r="E928" s="32"/>
    </row>
    <row r="929" ht="17.25" customHeight="1">
      <c r="E929" s="32"/>
    </row>
    <row r="930" ht="17.25" customHeight="1">
      <c r="E930" s="32"/>
    </row>
    <row r="931" ht="17.25" customHeight="1">
      <c r="E931" s="32"/>
    </row>
    <row r="932" ht="17.25" customHeight="1">
      <c r="E932" s="32"/>
    </row>
    <row r="933" ht="17.25" customHeight="1">
      <c r="E933" s="32"/>
    </row>
    <row r="934" ht="17.25" customHeight="1">
      <c r="E934" s="32"/>
    </row>
    <row r="935" ht="17.25" customHeight="1">
      <c r="E935" s="32"/>
    </row>
    <row r="936" ht="17.25" customHeight="1">
      <c r="E936" s="32"/>
    </row>
    <row r="937" ht="17.25" customHeight="1">
      <c r="E937" s="32"/>
    </row>
    <row r="938" ht="17.25" customHeight="1">
      <c r="E938" s="32"/>
    </row>
    <row r="939" ht="17.25" customHeight="1">
      <c r="E939" s="32"/>
    </row>
    <row r="940" ht="17.25" customHeight="1">
      <c r="E940" s="32"/>
    </row>
    <row r="941" ht="17.25" customHeight="1">
      <c r="E941" s="32"/>
    </row>
    <row r="942" ht="17.25" customHeight="1">
      <c r="E942" s="32"/>
    </row>
    <row r="943" ht="17.25" customHeight="1">
      <c r="E943" s="32"/>
    </row>
    <row r="944" ht="17.25" customHeight="1">
      <c r="E944" s="32"/>
    </row>
    <row r="945" ht="17.25" customHeight="1">
      <c r="E945" s="32"/>
    </row>
    <row r="946" ht="17.25" customHeight="1">
      <c r="E946" s="32"/>
    </row>
    <row r="947" ht="17.25" customHeight="1">
      <c r="E947" s="32"/>
    </row>
    <row r="948" ht="17.25" customHeight="1">
      <c r="E948" s="32"/>
    </row>
    <row r="949" ht="17.25" customHeight="1">
      <c r="E949" s="32"/>
    </row>
    <row r="950" ht="17.25" customHeight="1">
      <c r="E950" s="32"/>
    </row>
    <row r="951" ht="17.25" customHeight="1">
      <c r="E951" s="32"/>
    </row>
    <row r="952" ht="17.25" customHeight="1">
      <c r="E952" s="32"/>
    </row>
    <row r="953" ht="17.25" customHeight="1">
      <c r="E953" s="32"/>
    </row>
    <row r="954" ht="17.25" customHeight="1">
      <c r="E954" s="32"/>
    </row>
    <row r="955" ht="17.25" customHeight="1">
      <c r="E955" s="32"/>
    </row>
    <row r="956" ht="17.25" customHeight="1">
      <c r="E956" s="32"/>
    </row>
    <row r="957" ht="17.25" customHeight="1">
      <c r="E957" s="32"/>
    </row>
    <row r="958" ht="17.25" customHeight="1">
      <c r="E958" s="32"/>
    </row>
    <row r="959" ht="17.25" customHeight="1">
      <c r="E959" s="32"/>
    </row>
    <row r="960" ht="17.25" customHeight="1">
      <c r="E960" s="32"/>
    </row>
    <row r="961" ht="17.25" customHeight="1">
      <c r="E961" s="32"/>
    </row>
    <row r="962" ht="17.25" customHeight="1">
      <c r="E962" s="32"/>
    </row>
    <row r="963" ht="17.25" customHeight="1">
      <c r="E963" s="32"/>
    </row>
    <row r="964" ht="17.25" customHeight="1">
      <c r="E964" s="32"/>
    </row>
    <row r="965" ht="17.25" customHeight="1">
      <c r="E965" s="32"/>
    </row>
    <row r="966" ht="17.25" customHeight="1">
      <c r="E966" s="32"/>
    </row>
    <row r="967" ht="17.25" customHeight="1">
      <c r="E967" s="32"/>
    </row>
    <row r="968" ht="17.25" customHeight="1">
      <c r="E968" s="32"/>
    </row>
    <row r="969" ht="17.25" customHeight="1">
      <c r="E969" s="32"/>
    </row>
    <row r="970" ht="17.25" customHeight="1">
      <c r="E970" s="32"/>
    </row>
    <row r="971" ht="17.25" customHeight="1">
      <c r="E971" s="32"/>
    </row>
    <row r="972" ht="17.25" customHeight="1">
      <c r="E972" s="32"/>
    </row>
    <row r="973" ht="17.25" customHeight="1">
      <c r="E973" s="32"/>
    </row>
    <row r="974" ht="17.25" customHeight="1">
      <c r="E974" s="32"/>
    </row>
    <row r="975" ht="17.25" customHeight="1">
      <c r="E975" s="32"/>
    </row>
    <row r="976" ht="17.25" customHeight="1">
      <c r="E976" s="32"/>
    </row>
    <row r="977" ht="17.25" customHeight="1">
      <c r="E977" s="32"/>
    </row>
    <row r="978" ht="17.25" customHeight="1">
      <c r="E978" s="32"/>
    </row>
    <row r="979" ht="17.25" customHeight="1">
      <c r="E979" s="32"/>
    </row>
    <row r="980" ht="17.25" customHeight="1">
      <c r="E980" s="32"/>
    </row>
    <row r="981" ht="17.25" customHeight="1">
      <c r="E981" s="32"/>
    </row>
    <row r="982" ht="17.25" customHeight="1">
      <c r="E982" s="32"/>
    </row>
    <row r="983" ht="17.25" customHeight="1">
      <c r="E983" s="32"/>
    </row>
    <row r="984" ht="17.25" customHeight="1">
      <c r="E984" s="32"/>
    </row>
    <row r="985" ht="17.25" customHeight="1">
      <c r="E985" s="32"/>
    </row>
    <row r="986" ht="17.25" customHeight="1">
      <c r="E986" s="32"/>
    </row>
    <row r="987" ht="17.25" customHeight="1">
      <c r="E987" s="32"/>
    </row>
    <row r="988" ht="17.25" customHeight="1">
      <c r="E988" s="32"/>
    </row>
    <row r="989" ht="17.25" customHeight="1">
      <c r="E989" s="32"/>
    </row>
    <row r="990" ht="17.25" customHeight="1">
      <c r="E990" s="32"/>
    </row>
    <row r="991" ht="17.25" customHeight="1">
      <c r="E991" s="32"/>
    </row>
    <row r="992" ht="17.25" customHeight="1">
      <c r="E992" s="32"/>
    </row>
    <row r="993" ht="17.25" customHeight="1">
      <c r="E993" s="32"/>
    </row>
    <row r="994" ht="17.25" customHeight="1">
      <c r="E994" s="32"/>
    </row>
    <row r="995" ht="17.25" customHeight="1">
      <c r="E995" s="32"/>
    </row>
    <row r="996" ht="17.25" customHeight="1">
      <c r="E996" s="32"/>
    </row>
    <row r="997" ht="17.25" customHeight="1">
      <c r="E997" s="32"/>
    </row>
    <row r="998" ht="17.25" customHeight="1">
      <c r="E998" s="32"/>
    </row>
    <row r="999" ht="17.25" customHeight="1">
      <c r="E999" s="32"/>
    </row>
    <row r="1000" ht="17.25" customHeight="1">
      <c r="E1000" s="32"/>
    </row>
  </sheetData>
  <autoFilter ref="$B$5:$O$336">
    <filterColumn colId="10">
      <filters>
        <filter val="3CB"/>
      </filters>
    </filterColumn>
  </autoFilter>
  <printOptions/>
  <pageMargins bottom="0.75" footer="0.0" header="0.0" left="0.7" right="0.7" top="0.75"/>
  <pageSetup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0.63"/>
    <col customWidth="1" min="3" max="3" width="29.5"/>
    <col customWidth="1" min="4" max="4" width="49.75"/>
    <col customWidth="1" min="5" max="5" width="10.63"/>
    <col customWidth="1" min="6" max="6" width="20.38"/>
    <col customWidth="1" min="7" max="7" width="31.5"/>
    <col customWidth="1" min="8" max="8" width="22.88"/>
    <col customWidth="1" min="9" max="9" width="35.13"/>
    <col customWidth="1" min="10" max="26" width="7.63"/>
  </cols>
  <sheetData>
    <row r="1" ht="17.25" customHeight="1">
      <c r="A1" s="6"/>
      <c r="B1" s="9" t="s">
        <v>1222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0" customHeight="1">
      <c r="A2" s="80"/>
      <c r="B2" s="8" t="s">
        <v>97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ht="17.25" customHeight="1"/>
    <row r="4" ht="17.25" customHeight="1"/>
    <row r="5" ht="17.25" customHeight="1">
      <c r="B5" s="28" t="s">
        <v>0</v>
      </c>
      <c r="C5" s="28" t="s">
        <v>1</v>
      </c>
      <c r="D5" s="28" t="s">
        <v>1224</v>
      </c>
      <c r="E5" s="28" t="s">
        <v>2</v>
      </c>
      <c r="F5" s="28" t="s">
        <v>1225</v>
      </c>
      <c r="G5" s="28" t="s">
        <v>3</v>
      </c>
      <c r="H5" s="28" t="s">
        <v>1441</v>
      </c>
      <c r="I5" s="28" t="s">
        <v>7705</v>
      </c>
    </row>
    <row r="6" ht="17.25" customHeight="1">
      <c r="A6" s="99" t="str">
        <f>CONCAT(B6:C6)</f>
        <v>#N/A</v>
      </c>
      <c r="B6" s="99" t="s">
        <v>95</v>
      </c>
      <c r="C6" s="99" t="s">
        <v>96</v>
      </c>
      <c r="D6" s="99" t="s">
        <v>8697</v>
      </c>
      <c r="E6" s="99" t="s">
        <v>12</v>
      </c>
      <c r="F6" s="99" t="s">
        <v>1305</v>
      </c>
      <c r="G6" s="99" t="s">
        <v>97</v>
      </c>
      <c r="H6" s="99" t="s">
        <v>7897</v>
      </c>
      <c r="I6" s="99" t="s">
        <v>8698</v>
      </c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17.25" customHeight="1">
      <c r="A7" s="99"/>
      <c r="B7" s="99" t="s">
        <v>95</v>
      </c>
      <c r="C7" s="99" t="s">
        <v>96</v>
      </c>
      <c r="D7" s="99" t="s">
        <v>8697</v>
      </c>
      <c r="E7" s="99" t="s">
        <v>12</v>
      </c>
      <c r="F7" s="99" t="s">
        <v>1305</v>
      </c>
      <c r="G7" s="99" t="s">
        <v>97</v>
      </c>
      <c r="H7" s="99" t="s">
        <v>7811</v>
      </c>
      <c r="I7" s="99" t="s">
        <v>8698</v>
      </c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17.25" customHeight="1">
      <c r="B8" s="28" t="s">
        <v>95</v>
      </c>
      <c r="C8" s="28" t="s">
        <v>96</v>
      </c>
      <c r="D8" s="28" t="s">
        <v>8699</v>
      </c>
      <c r="E8" s="28" t="s">
        <v>12</v>
      </c>
      <c r="F8" s="28" t="s">
        <v>7758</v>
      </c>
      <c r="G8" s="28" t="s">
        <v>8700</v>
      </c>
      <c r="H8" s="28" t="s">
        <v>7897</v>
      </c>
      <c r="I8" s="32" t="s">
        <v>8698</v>
      </c>
    </row>
    <row r="9" ht="17.25" customHeight="1">
      <c r="B9" s="28" t="s">
        <v>95</v>
      </c>
      <c r="C9" s="28" t="s">
        <v>96</v>
      </c>
      <c r="D9" s="28" t="s">
        <v>8699</v>
      </c>
      <c r="E9" s="28" t="s">
        <v>12</v>
      </c>
      <c r="F9" s="28" t="s">
        <v>7758</v>
      </c>
      <c r="G9" s="28" t="s">
        <v>8700</v>
      </c>
      <c r="H9" s="28" t="s">
        <v>7811</v>
      </c>
      <c r="I9" s="32" t="s">
        <v>8698</v>
      </c>
    </row>
    <row r="10" ht="17.25" customHeight="1">
      <c r="B10" s="28" t="s">
        <v>95</v>
      </c>
      <c r="C10" s="28" t="s">
        <v>96</v>
      </c>
      <c r="D10" s="32" t="s">
        <v>8701</v>
      </c>
      <c r="E10" s="28" t="s">
        <v>12</v>
      </c>
      <c r="F10" s="28" t="s">
        <v>7758</v>
      </c>
      <c r="G10" s="28" t="s">
        <v>8702</v>
      </c>
      <c r="H10" s="28" t="s">
        <v>7811</v>
      </c>
      <c r="I10" s="28" t="s">
        <v>1851</v>
      </c>
    </row>
    <row r="11" ht="17.25" customHeight="1">
      <c r="B11" s="28" t="s">
        <v>95</v>
      </c>
      <c r="C11" s="28" t="s">
        <v>96</v>
      </c>
      <c r="D11" s="32" t="s">
        <v>8701</v>
      </c>
      <c r="E11" s="28" t="s">
        <v>12</v>
      </c>
      <c r="F11" s="28" t="s">
        <v>8080</v>
      </c>
      <c r="G11" s="28" t="s">
        <v>8703</v>
      </c>
      <c r="H11" s="28" t="s">
        <v>7811</v>
      </c>
      <c r="I11" s="28" t="s">
        <v>1851</v>
      </c>
    </row>
    <row r="12" ht="17.25" customHeight="1">
      <c r="B12" s="28" t="s">
        <v>95</v>
      </c>
      <c r="C12" s="28" t="s">
        <v>96</v>
      </c>
      <c r="D12" s="32" t="s">
        <v>8701</v>
      </c>
      <c r="E12" s="28" t="s">
        <v>12</v>
      </c>
      <c r="F12" s="28" t="s">
        <v>1305</v>
      </c>
      <c r="G12" s="28" t="s">
        <v>101</v>
      </c>
      <c r="H12" s="28" t="s">
        <v>7811</v>
      </c>
      <c r="I12" s="28" t="s">
        <v>1851</v>
      </c>
    </row>
    <row r="13" ht="17.25" customHeight="1">
      <c r="B13" s="28" t="s">
        <v>95</v>
      </c>
      <c r="C13" s="28" t="s">
        <v>96</v>
      </c>
      <c r="D13" s="32" t="s">
        <v>8701</v>
      </c>
      <c r="E13" s="28" t="s">
        <v>20</v>
      </c>
      <c r="F13" s="28" t="s">
        <v>8080</v>
      </c>
      <c r="G13" s="28" t="s">
        <v>8703</v>
      </c>
      <c r="H13" s="28" t="s">
        <v>8097</v>
      </c>
      <c r="I13" s="28" t="s">
        <v>1851</v>
      </c>
    </row>
    <row r="14" ht="17.25" customHeight="1">
      <c r="B14" s="28" t="s">
        <v>95</v>
      </c>
      <c r="C14" s="28" t="s">
        <v>96</v>
      </c>
      <c r="D14" s="32" t="s">
        <v>8704</v>
      </c>
      <c r="E14" s="28" t="s">
        <v>12</v>
      </c>
      <c r="F14" s="28" t="s">
        <v>7758</v>
      </c>
      <c r="G14" s="28" t="s">
        <v>8705</v>
      </c>
      <c r="H14" s="28" t="s">
        <v>7897</v>
      </c>
      <c r="I14" s="28" t="s">
        <v>1851</v>
      </c>
    </row>
    <row r="15" ht="17.25" customHeight="1">
      <c r="B15" s="28" t="s">
        <v>95</v>
      </c>
      <c r="C15" s="28" t="s">
        <v>96</v>
      </c>
      <c r="D15" s="32" t="s">
        <v>8704</v>
      </c>
      <c r="E15" s="28" t="s">
        <v>12</v>
      </c>
      <c r="F15" s="28" t="s">
        <v>7758</v>
      </c>
      <c r="G15" s="28" t="s">
        <v>8705</v>
      </c>
      <c r="H15" s="28" t="s">
        <v>7811</v>
      </c>
      <c r="I15" s="28" t="s">
        <v>1851</v>
      </c>
    </row>
    <row r="16" ht="17.25" customHeight="1">
      <c r="B16" s="28" t="s">
        <v>95</v>
      </c>
      <c r="C16" s="28" t="s">
        <v>96</v>
      </c>
      <c r="D16" s="32" t="s">
        <v>8704</v>
      </c>
      <c r="E16" s="28" t="s">
        <v>12</v>
      </c>
      <c r="F16" s="28" t="s">
        <v>7758</v>
      </c>
      <c r="G16" s="28" t="s">
        <v>8706</v>
      </c>
      <c r="H16" s="28" t="s">
        <v>7897</v>
      </c>
      <c r="I16" s="28" t="s">
        <v>1851</v>
      </c>
    </row>
    <row r="17" ht="17.25" customHeight="1">
      <c r="B17" s="28" t="s">
        <v>95</v>
      </c>
      <c r="C17" s="28" t="s">
        <v>96</v>
      </c>
      <c r="D17" s="32" t="s">
        <v>8704</v>
      </c>
      <c r="E17" s="28" t="s">
        <v>12</v>
      </c>
      <c r="F17" s="28" t="s">
        <v>8080</v>
      </c>
      <c r="G17" s="28" t="s">
        <v>8707</v>
      </c>
      <c r="H17" s="28" t="s">
        <v>7897</v>
      </c>
      <c r="I17" s="28" t="s">
        <v>1851</v>
      </c>
    </row>
    <row r="18" ht="17.25" customHeight="1">
      <c r="B18" s="28" t="s">
        <v>95</v>
      </c>
      <c r="C18" s="28" t="s">
        <v>96</v>
      </c>
      <c r="D18" s="32" t="s">
        <v>8704</v>
      </c>
      <c r="E18" s="28" t="s">
        <v>12</v>
      </c>
      <c r="F18" s="28" t="s">
        <v>8080</v>
      </c>
      <c r="G18" s="28" t="s">
        <v>8707</v>
      </c>
      <c r="H18" s="28" t="s">
        <v>7811</v>
      </c>
      <c r="I18" s="28" t="s">
        <v>1851</v>
      </c>
    </row>
    <row r="19" ht="17.25" customHeight="1">
      <c r="B19" s="28" t="s">
        <v>95</v>
      </c>
      <c r="C19" s="28" t="s">
        <v>96</v>
      </c>
      <c r="D19" s="32" t="s">
        <v>8704</v>
      </c>
      <c r="E19" s="28" t="s">
        <v>12</v>
      </c>
      <c r="F19" s="28" t="s">
        <v>1305</v>
      </c>
      <c r="G19" s="28" t="s">
        <v>99</v>
      </c>
      <c r="H19" s="28" t="s">
        <v>8708</v>
      </c>
      <c r="I19" s="28" t="s">
        <v>1851</v>
      </c>
    </row>
    <row r="20" ht="17.25" customHeight="1">
      <c r="B20" s="28" t="s">
        <v>95</v>
      </c>
      <c r="C20" s="28" t="s">
        <v>96</v>
      </c>
      <c r="D20" s="32" t="s">
        <v>8704</v>
      </c>
      <c r="E20" s="28" t="s">
        <v>12</v>
      </c>
      <c r="F20" s="28" t="s">
        <v>1305</v>
      </c>
      <c r="G20" s="28" t="s">
        <v>99</v>
      </c>
      <c r="H20" s="28" t="s">
        <v>8709</v>
      </c>
      <c r="I20" s="28" t="s">
        <v>1851</v>
      </c>
    </row>
    <row r="21" ht="17.25" customHeight="1">
      <c r="B21" s="28" t="s">
        <v>95</v>
      </c>
      <c r="C21" s="28" t="s">
        <v>96</v>
      </c>
      <c r="D21" s="32" t="s">
        <v>8704</v>
      </c>
      <c r="E21" s="28" t="s">
        <v>12</v>
      </c>
      <c r="F21" s="28" t="s">
        <v>1305</v>
      </c>
      <c r="G21" s="28" t="s">
        <v>99</v>
      </c>
      <c r="H21" s="28" t="s">
        <v>8357</v>
      </c>
      <c r="I21" s="28" t="s">
        <v>1851</v>
      </c>
    </row>
    <row r="22" ht="17.25" customHeight="1">
      <c r="B22" s="28" t="s">
        <v>95</v>
      </c>
      <c r="C22" s="28" t="s">
        <v>96</v>
      </c>
      <c r="D22" s="32" t="s">
        <v>8704</v>
      </c>
      <c r="E22" s="28" t="s">
        <v>12</v>
      </c>
      <c r="F22" s="28" t="s">
        <v>1305</v>
      </c>
      <c r="G22" s="28" t="s">
        <v>100</v>
      </c>
      <c r="H22" s="28" t="s">
        <v>8708</v>
      </c>
      <c r="I22" s="28" t="s">
        <v>1851</v>
      </c>
    </row>
    <row r="23" ht="17.25" customHeight="1">
      <c r="B23" s="28" t="s">
        <v>95</v>
      </c>
      <c r="C23" s="28" t="s">
        <v>96</v>
      </c>
      <c r="D23" s="32" t="s">
        <v>8704</v>
      </c>
      <c r="E23" s="28" t="s">
        <v>12</v>
      </c>
      <c r="F23" s="28" t="s">
        <v>1305</v>
      </c>
      <c r="G23" s="28" t="s">
        <v>100</v>
      </c>
      <c r="H23" s="28" t="s">
        <v>8709</v>
      </c>
      <c r="I23" s="28" t="s">
        <v>1851</v>
      </c>
    </row>
    <row r="24" ht="17.25" customHeight="1">
      <c r="B24" s="28" t="s">
        <v>95</v>
      </c>
      <c r="C24" s="28" t="s">
        <v>96</v>
      </c>
      <c r="D24" s="32" t="s">
        <v>8704</v>
      </c>
      <c r="E24" s="28" t="s">
        <v>20</v>
      </c>
      <c r="F24" s="28" t="s">
        <v>8080</v>
      </c>
      <c r="G24" s="28" t="s">
        <v>8707</v>
      </c>
      <c r="H24" s="28" t="s">
        <v>8710</v>
      </c>
      <c r="I24" s="28" t="s">
        <v>1851</v>
      </c>
    </row>
    <row r="25" ht="17.25" customHeight="1">
      <c r="B25" s="28" t="s">
        <v>139</v>
      </c>
      <c r="C25" s="28" t="s">
        <v>140</v>
      </c>
      <c r="D25" s="32" t="s">
        <v>8711</v>
      </c>
      <c r="E25" s="28" t="s">
        <v>12</v>
      </c>
      <c r="F25" s="28" t="s">
        <v>7758</v>
      </c>
      <c r="G25" s="28" t="s">
        <v>8712</v>
      </c>
      <c r="H25" s="28" t="s">
        <v>7897</v>
      </c>
      <c r="I25" s="28" t="s">
        <v>8713</v>
      </c>
    </row>
    <row r="26" ht="17.25" customHeight="1">
      <c r="B26" s="28" t="s">
        <v>139</v>
      </c>
      <c r="C26" s="28" t="s">
        <v>140</v>
      </c>
      <c r="D26" s="32" t="s">
        <v>8711</v>
      </c>
      <c r="E26" s="28" t="s">
        <v>12</v>
      </c>
      <c r="F26" s="28" t="s">
        <v>7758</v>
      </c>
      <c r="G26" s="28" t="s">
        <v>8712</v>
      </c>
      <c r="H26" s="28" t="s">
        <v>7811</v>
      </c>
      <c r="I26" s="28" t="s">
        <v>8713</v>
      </c>
    </row>
    <row r="27" ht="17.25" customHeight="1">
      <c r="B27" s="28" t="s">
        <v>139</v>
      </c>
      <c r="C27" s="28" t="s">
        <v>140</v>
      </c>
      <c r="D27" s="32" t="s">
        <v>8711</v>
      </c>
      <c r="E27" s="28" t="s">
        <v>12</v>
      </c>
      <c r="F27" s="28" t="s">
        <v>8080</v>
      </c>
      <c r="G27" s="28" t="s">
        <v>8714</v>
      </c>
      <c r="H27" s="28" t="s">
        <v>7897</v>
      </c>
      <c r="I27" s="28" t="s">
        <v>8713</v>
      </c>
    </row>
    <row r="28" ht="17.25" customHeight="1">
      <c r="B28" s="28" t="s">
        <v>139</v>
      </c>
      <c r="C28" s="28" t="s">
        <v>140</v>
      </c>
      <c r="D28" s="32" t="s">
        <v>8711</v>
      </c>
      <c r="E28" s="28" t="s">
        <v>12</v>
      </c>
      <c r="F28" s="28" t="s">
        <v>8080</v>
      </c>
      <c r="G28" s="28" t="s">
        <v>8714</v>
      </c>
      <c r="H28" s="28" t="s">
        <v>7811</v>
      </c>
      <c r="I28" s="28" t="s">
        <v>8713</v>
      </c>
    </row>
    <row r="29" ht="17.25" customHeight="1">
      <c r="B29" s="28" t="s">
        <v>139</v>
      </c>
      <c r="C29" s="28" t="s">
        <v>140</v>
      </c>
      <c r="D29" s="32" t="s">
        <v>8711</v>
      </c>
      <c r="E29" s="28" t="s">
        <v>12</v>
      </c>
      <c r="F29" s="28" t="s">
        <v>1305</v>
      </c>
      <c r="G29" s="28" t="s">
        <v>142</v>
      </c>
      <c r="H29" s="28" t="s">
        <v>7897</v>
      </c>
      <c r="I29" s="28" t="s">
        <v>8713</v>
      </c>
    </row>
    <row r="30" ht="17.25" customHeight="1">
      <c r="B30" s="28" t="s">
        <v>139</v>
      </c>
      <c r="C30" s="28" t="s">
        <v>140</v>
      </c>
      <c r="D30" s="32" t="s">
        <v>8711</v>
      </c>
      <c r="E30" s="28" t="s">
        <v>12</v>
      </c>
      <c r="F30" s="28" t="s">
        <v>1305</v>
      </c>
      <c r="G30" s="28" t="s">
        <v>142</v>
      </c>
      <c r="H30" s="28" t="s">
        <v>7811</v>
      </c>
      <c r="I30" s="28" t="s">
        <v>8713</v>
      </c>
    </row>
    <row r="31" ht="17.25" customHeight="1">
      <c r="B31" s="28" t="s">
        <v>139</v>
      </c>
      <c r="C31" s="28" t="s">
        <v>140</v>
      </c>
      <c r="D31" s="32" t="s">
        <v>8711</v>
      </c>
      <c r="E31" s="28" t="s">
        <v>20</v>
      </c>
      <c r="F31" s="28" t="s">
        <v>8080</v>
      </c>
      <c r="G31" s="28" t="s">
        <v>8714</v>
      </c>
      <c r="H31" s="28" t="s">
        <v>8710</v>
      </c>
      <c r="I31" s="28" t="s">
        <v>1851</v>
      </c>
      <c r="J31" s="28" t="s">
        <v>8713</v>
      </c>
    </row>
    <row r="32" ht="17.25" customHeight="1">
      <c r="B32" s="28" t="s">
        <v>139</v>
      </c>
      <c r="C32" s="28" t="s">
        <v>140</v>
      </c>
      <c r="D32" s="32" t="s">
        <v>8711</v>
      </c>
      <c r="E32" s="28" t="s">
        <v>20</v>
      </c>
      <c r="F32" s="28" t="s">
        <v>8080</v>
      </c>
      <c r="G32" s="28" t="s">
        <v>8714</v>
      </c>
      <c r="H32" s="28" t="s">
        <v>8097</v>
      </c>
      <c r="I32" s="28" t="s">
        <v>1851</v>
      </c>
      <c r="J32" s="28" t="s">
        <v>8713</v>
      </c>
    </row>
    <row r="33" ht="17.25" customHeight="1">
      <c r="B33" s="28" t="s">
        <v>139</v>
      </c>
      <c r="C33" s="28" t="s">
        <v>140</v>
      </c>
      <c r="D33" s="32" t="s">
        <v>8715</v>
      </c>
      <c r="E33" s="28" t="s">
        <v>12</v>
      </c>
      <c r="F33" s="28" t="s">
        <v>7758</v>
      </c>
      <c r="G33" s="28" t="s">
        <v>8716</v>
      </c>
      <c r="H33" s="28" t="s">
        <v>7897</v>
      </c>
      <c r="I33" s="28" t="s">
        <v>8717</v>
      </c>
    </row>
    <row r="34" ht="17.25" customHeight="1">
      <c r="B34" s="28" t="s">
        <v>139</v>
      </c>
      <c r="C34" s="28" t="s">
        <v>140</v>
      </c>
      <c r="D34" s="32" t="s">
        <v>8715</v>
      </c>
      <c r="E34" s="28" t="s">
        <v>12</v>
      </c>
      <c r="F34" s="28" t="s">
        <v>7758</v>
      </c>
      <c r="G34" s="28" t="s">
        <v>8716</v>
      </c>
      <c r="H34" s="28" t="s">
        <v>7811</v>
      </c>
      <c r="I34" s="28" t="s">
        <v>8717</v>
      </c>
    </row>
    <row r="35" ht="17.25" customHeight="1">
      <c r="B35" s="28" t="s">
        <v>139</v>
      </c>
      <c r="C35" s="28" t="s">
        <v>140</v>
      </c>
      <c r="D35" s="32" t="s">
        <v>8715</v>
      </c>
      <c r="E35" s="28" t="s">
        <v>12</v>
      </c>
      <c r="F35" s="28" t="s">
        <v>8080</v>
      </c>
      <c r="G35" s="28" t="s">
        <v>8718</v>
      </c>
      <c r="H35" s="28" t="s">
        <v>7897</v>
      </c>
      <c r="I35" s="28" t="s">
        <v>8717</v>
      </c>
    </row>
    <row r="36" ht="17.25" customHeight="1">
      <c r="B36" s="28" t="s">
        <v>139</v>
      </c>
      <c r="C36" s="28" t="s">
        <v>140</v>
      </c>
      <c r="D36" s="32" t="s">
        <v>8715</v>
      </c>
      <c r="E36" s="28" t="s">
        <v>12</v>
      </c>
      <c r="F36" s="28" t="s">
        <v>8080</v>
      </c>
      <c r="G36" s="28" t="s">
        <v>8718</v>
      </c>
      <c r="H36" s="28" t="s">
        <v>7811</v>
      </c>
      <c r="I36" s="28" t="s">
        <v>8717</v>
      </c>
    </row>
    <row r="37" ht="17.25" customHeight="1">
      <c r="B37" s="28" t="s">
        <v>139</v>
      </c>
      <c r="C37" s="28" t="s">
        <v>140</v>
      </c>
      <c r="D37" s="32" t="s">
        <v>8715</v>
      </c>
      <c r="E37" s="28" t="s">
        <v>12</v>
      </c>
      <c r="F37" s="28" t="s">
        <v>1305</v>
      </c>
      <c r="G37" s="28" t="s">
        <v>141</v>
      </c>
      <c r="H37" s="28" t="s">
        <v>7897</v>
      </c>
      <c r="I37" s="28" t="s">
        <v>8717</v>
      </c>
    </row>
    <row r="38" ht="17.25" customHeight="1">
      <c r="B38" s="28" t="s">
        <v>139</v>
      </c>
      <c r="C38" s="28" t="s">
        <v>140</v>
      </c>
      <c r="D38" s="32" t="s">
        <v>8715</v>
      </c>
      <c r="E38" s="28" t="s">
        <v>12</v>
      </c>
      <c r="F38" s="28" t="s">
        <v>1305</v>
      </c>
      <c r="G38" s="28" t="s">
        <v>141</v>
      </c>
      <c r="H38" s="28" t="s">
        <v>7811</v>
      </c>
      <c r="I38" s="28" t="s">
        <v>8717</v>
      </c>
    </row>
    <row r="39" ht="17.25" customHeight="1">
      <c r="B39" s="28" t="s">
        <v>139</v>
      </c>
      <c r="C39" s="28" t="s">
        <v>140</v>
      </c>
      <c r="D39" s="32" t="s">
        <v>8715</v>
      </c>
      <c r="E39" s="28" t="s">
        <v>20</v>
      </c>
      <c r="F39" s="28" t="s">
        <v>8080</v>
      </c>
      <c r="G39" s="28" t="s">
        <v>8718</v>
      </c>
      <c r="H39" s="28" t="s">
        <v>8710</v>
      </c>
      <c r="I39" s="28" t="s">
        <v>1851</v>
      </c>
      <c r="J39" s="28" t="s">
        <v>8717</v>
      </c>
    </row>
    <row r="40" ht="17.25" customHeight="1">
      <c r="B40" s="28" t="s">
        <v>139</v>
      </c>
      <c r="C40" s="28" t="s">
        <v>140</v>
      </c>
      <c r="D40" s="32" t="s">
        <v>8715</v>
      </c>
      <c r="E40" s="28" t="s">
        <v>20</v>
      </c>
      <c r="F40" s="28" t="s">
        <v>8080</v>
      </c>
      <c r="G40" s="28" t="s">
        <v>8718</v>
      </c>
      <c r="H40" s="28" t="s">
        <v>8097</v>
      </c>
      <c r="I40" s="28" t="s">
        <v>1851</v>
      </c>
      <c r="J40" s="28" t="s">
        <v>8717</v>
      </c>
    </row>
    <row r="41" ht="17.25" customHeight="1">
      <c r="B41" s="28" t="s">
        <v>139</v>
      </c>
      <c r="C41" s="28" t="s">
        <v>140</v>
      </c>
      <c r="D41" s="32" t="s">
        <v>8715</v>
      </c>
      <c r="E41" s="28" t="s">
        <v>20</v>
      </c>
      <c r="F41" s="28" t="s">
        <v>880</v>
      </c>
      <c r="G41" s="28" t="s">
        <v>8719</v>
      </c>
      <c r="H41" s="28" t="s">
        <v>8097</v>
      </c>
      <c r="I41" s="28" t="s">
        <v>1851</v>
      </c>
      <c r="J41" s="28" t="s">
        <v>8717</v>
      </c>
    </row>
    <row r="42" ht="17.25" customHeight="1">
      <c r="A42" s="28" t="str">
        <f>CONCAT(B42:C42)</f>
        <v>#N/A</v>
      </c>
      <c r="B42" s="28" t="s">
        <v>323</v>
      </c>
      <c r="C42" s="28" t="s">
        <v>324</v>
      </c>
      <c r="D42" s="28" t="s">
        <v>8697</v>
      </c>
      <c r="E42" s="28" t="s">
        <v>12</v>
      </c>
      <c r="F42" s="28" t="s">
        <v>8080</v>
      </c>
      <c r="G42" s="28" t="s">
        <v>8720</v>
      </c>
      <c r="H42" s="28" t="s">
        <v>7897</v>
      </c>
      <c r="I42" s="32" t="s">
        <v>8698</v>
      </c>
    </row>
    <row r="43" ht="17.25" customHeight="1">
      <c r="B43" s="28" t="s">
        <v>323</v>
      </c>
      <c r="C43" s="28" t="s">
        <v>324</v>
      </c>
      <c r="D43" s="28" t="s">
        <v>8697</v>
      </c>
      <c r="E43" s="28" t="s">
        <v>12</v>
      </c>
      <c r="F43" s="28" t="s">
        <v>8080</v>
      </c>
      <c r="G43" s="28" t="s">
        <v>8720</v>
      </c>
      <c r="H43" s="28" t="s">
        <v>7811</v>
      </c>
      <c r="I43" s="32" t="s">
        <v>8698</v>
      </c>
    </row>
    <row r="44" ht="17.25" customHeight="1">
      <c r="B44" s="28" t="s">
        <v>323</v>
      </c>
      <c r="C44" s="28" t="s">
        <v>324</v>
      </c>
      <c r="D44" s="28" t="s">
        <v>8721</v>
      </c>
      <c r="E44" s="28" t="s">
        <v>12</v>
      </c>
      <c r="F44" s="28" t="s">
        <v>7895</v>
      </c>
      <c r="G44" s="28" t="s">
        <v>8722</v>
      </c>
      <c r="H44" s="28" t="s">
        <v>7897</v>
      </c>
      <c r="I44" s="32" t="s">
        <v>8698</v>
      </c>
    </row>
    <row r="45" ht="17.25" customHeight="1">
      <c r="B45" s="28" t="s">
        <v>323</v>
      </c>
      <c r="C45" s="28" t="s">
        <v>324</v>
      </c>
      <c r="D45" s="32" t="s">
        <v>8721</v>
      </c>
      <c r="E45" s="28" t="s">
        <v>20</v>
      </c>
      <c r="F45" s="28" t="s">
        <v>7895</v>
      </c>
      <c r="G45" s="28" t="s">
        <v>8722</v>
      </c>
      <c r="H45" s="28" t="s">
        <v>7811</v>
      </c>
      <c r="I45" s="32" t="s">
        <v>8698</v>
      </c>
      <c r="J45" s="28" t="s">
        <v>8698</v>
      </c>
    </row>
    <row r="46" ht="17.25" customHeight="1">
      <c r="B46" s="28" t="s">
        <v>323</v>
      </c>
      <c r="C46" s="28" t="s">
        <v>324</v>
      </c>
      <c r="D46" s="32" t="s">
        <v>8723</v>
      </c>
      <c r="E46" s="28" t="s">
        <v>12</v>
      </c>
      <c r="F46" s="28" t="s">
        <v>1305</v>
      </c>
      <c r="G46" s="28" t="s">
        <v>327</v>
      </c>
      <c r="H46" s="28" t="s">
        <v>7811</v>
      </c>
      <c r="I46" s="28" t="s">
        <v>1851</v>
      </c>
    </row>
    <row r="47" ht="17.25" customHeight="1">
      <c r="B47" s="28" t="s">
        <v>323</v>
      </c>
      <c r="C47" s="28" t="s">
        <v>324</v>
      </c>
      <c r="D47" s="32" t="s">
        <v>8723</v>
      </c>
      <c r="E47" s="28" t="s">
        <v>20</v>
      </c>
      <c r="F47" s="28" t="s">
        <v>1305</v>
      </c>
      <c r="G47" s="28" t="s">
        <v>327</v>
      </c>
      <c r="H47" s="28" t="s">
        <v>8097</v>
      </c>
      <c r="I47" s="28" t="s">
        <v>1851</v>
      </c>
    </row>
    <row r="48" ht="17.25" customHeight="1">
      <c r="B48" s="28" t="s">
        <v>323</v>
      </c>
      <c r="C48" s="28" t="s">
        <v>324</v>
      </c>
      <c r="D48" s="32" t="s">
        <v>8704</v>
      </c>
      <c r="E48" s="28" t="s">
        <v>12</v>
      </c>
      <c r="F48" s="28" t="s">
        <v>1305</v>
      </c>
      <c r="G48" s="28" t="s">
        <v>326</v>
      </c>
      <c r="H48" s="28" t="s">
        <v>7897</v>
      </c>
      <c r="I48" s="28" t="s">
        <v>1851</v>
      </c>
    </row>
    <row r="49" ht="17.25" customHeight="1">
      <c r="B49" s="28" t="s">
        <v>323</v>
      </c>
      <c r="C49" s="28" t="s">
        <v>324</v>
      </c>
      <c r="D49" s="32" t="s">
        <v>8724</v>
      </c>
      <c r="E49" s="28" t="s">
        <v>12</v>
      </c>
      <c r="F49" s="28" t="s">
        <v>1305</v>
      </c>
      <c r="G49" s="28" t="s">
        <v>325</v>
      </c>
      <c r="H49" s="28" t="s">
        <v>8094</v>
      </c>
      <c r="I49" s="28" t="s">
        <v>1851</v>
      </c>
    </row>
    <row r="50" ht="17.25" customHeight="1">
      <c r="B50" s="28" t="s">
        <v>412</v>
      </c>
      <c r="C50" s="28" t="s">
        <v>413</v>
      </c>
      <c r="D50" s="32" t="s">
        <v>8704</v>
      </c>
      <c r="E50" s="28" t="s">
        <v>12</v>
      </c>
      <c r="F50" s="28" t="s">
        <v>7758</v>
      </c>
      <c r="G50" s="28" t="s">
        <v>8725</v>
      </c>
      <c r="H50" s="28" t="s">
        <v>7811</v>
      </c>
      <c r="I50" s="28" t="s">
        <v>1851</v>
      </c>
    </row>
    <row r="51" ht="17.25" customHeight="1">
      <c r="B51" s="28" t="s">
        <v>412</v>
      </c>
      <c r="C51" s="28" t="s">
        <v>413</v>
      </c>
      <c r="D51" s="32" t="s">
        <v>8704</v>
      </c>
      <c r="E51" s="28" t="s">
        <v>12</v>
      </c>
      <c r="F51" s="28" t="s">
        <v>8080</v>
      </c>
      <c r="G51" s="28" t="s">
        <v>8726</v>
      </c>
      <c r="H51" s="28" t="s">
        <v>7811</v>
      </c>
      <c r="I51" s="28" t="s">
        <v>1851</v>
      </c>
    </row>
    <row r="52" ht="17.25" customHeight="1">
      <c r="B52" s="28" t="s">
        <v>412</v>
      </c>
      <c r="C52" s="28" t="s">
        <v>413</v>
      </c>
      <c r="D52" s="32" t="s">
        <v>8704</v>
      </c>
      <c r="E52" s="28" t="s">
        <v>20</v>
      </c>
      <c r="F52" s="28" t="s">
        <v>8080</v>
      </c>
      <c r="G52" s="28" t="s">
        <v>8726</v>
      </c>
      <c r="H52" s="28" t="s">
        <v>8097</v>
      </c>
      <c r="I52" s="28" t="s">
        <v>1851</v>
      </c>
    </row>
    <row r="53" ht="17.25" customHeight="1">
      <c r="B53" s="28" t="s">
        <v>412</v>
      </c>
      <c r="C53" s="28" t="s">
        <v>413</v>
      </c>
      <c r="D53" s="32" t="s">
        <v>8724</v>
      </c>
      <c r="E53" s="28" t="s">
        <v>12</v>
      </c>
      <c r="F53" s="28" t="s">
        <v>1305</v>
      </c>
      <c r="G53" s="28" t="s">
        <v>414</v>
      </c>
      <c r="H53" s="28" t="s">
        <v>8727</v>
      </c>
      <c r="I53" s="28" t="s">
        <v>1851</v>
      </c>
    </row>
    <row r="54" ht="17.25" customHeight="1">
      <c r="B54" s="28" t="s">
        <v>8728</v>
      </c>
      <c r="C54" s="28" t="s">
        <v>8729</v>
      </c>
      <c r="D54" s="32" t="s">
        <v>8730</v>
      </c>
      <c r="E54" s="28" t="s">
        <v>20</v>
      </c>
      <c r="F54" s="28" t="s">
        <v>8731</v>
      </c>
      <c r="G54" s="28" t="s">
        <v>8732</v>
      </c>
      <c r="H54" s="28" t="s">
        <v>8733</v>
      </c>
      <c r="I54" s="28" t="s">
        <v>1851</v>
      </c>
    </row>
    <row r="55" ht="17.25" customHeight="1">
      <c r="B55" s="28" t="s">
        <v>8728</v>
      </c>
      <c r="C55" s="28" t="s">
        <v>8729</v>
      </c>
      <c r="D55" s="32" t="s">
        <v>8730</v>
      </c>
      <c r="E55" s="28" t="s">
        <v>20</v>
      </c>
      <c r="F55" s="28" t="s">
        <v>8731</v>
      </c>
      <c r="G55" s="28" t="s">
        <v>8732</v>
      </c>
      <c r="H55" s="28" t="s">
        <v>8734</v>
      </c>
      <c r="I55" s="28" t="s">
        <v>1851</v>
      </c>
    </row>
    <row r="56" ht="17.25" customHeight="1">
      <c r="B56" s="28" t="s">
        <v>421</v>
      </c>
      <c r="C56" s="28" t="s">
        <v>422</v>
      </c>
      <c r="D56" s="32" t="s">
        <v>8735</v>
      </c>
      <c r="E56" s="28" t="s">
        <v>12</v>
      </c>
      <c r="F56" s="28" t="s">
        <v>1305</v>
      </c>
      <c r="G56" s="28" t="s">
        <v>210</v>
      </c>
      <c r="H56" s="28" t="s">
        <v>8736</v>
      </c>
      <c r="I56" s="28" t="s">
        <v>1851</v>
      </c>
    </row>
    <row r="57" ht="17.25" customHeight="1">
      <c r="D57" s="32"/>
    </row>
    <row r="58" ht="17.25" customHeight="1"/>
    <row r="59" ht="17.25" customHeight="1">
      <c r="B59" s="100" t="s">
        <v>8737</v>
      </c>
    </row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autoFilter ref="$B$5:$J$56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2026-04-17T04:26:10Z</dcterms:created>
  <dc:creator>이소영</dc:creator>
</cp:coreProperties>
</file>